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xampp\htdocs\Proyecto_Empapa\vistas\images\"/>
    </mc:Choice>
  </mc:AlternateContent>
  <bookViews>
    <workbookView xWindow="0" yWindow="0" windowWidth="15345" windowHeight="4575" activeTab="2"/>
  </bookViews>
  <sheets>
    <sheet name="2017" sheetId="1" r:id="rId1"/>
    <sheet name="2018 y 2019" sheetId="2" r:id="rId2"/>
    <sheet name="Conceptos Medicos" sheetId="3" r:id="rId3"/>
    <sheet name="Fincas" sheetId="4" r:id="rId4"/>
  </sheets>
  <definedNames>
    <definedName name="_xlnm._FilterDatabase" localSheetId="0" hidden="1">'2017'!$A$1:$F$1094</definedName>
    <definedName name="_xlnm._FilterDatabase" localSheetId="1" hidden="1">'2018 y 2019'!$A$1:$J$1220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974" i="2" l="1"/>
  <c r="G1974" i="2"/>
  <c r="F1961" i="2" l="1"/>
  <c r="F2148" i="2" l="1"/>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F1962" i="2"/>
  <c r="F1963" i="2"/>
  <c r="F1964" i="2"/>
  <c r="F1965" i="2"/>
  <c r="F1966" i="2"/>
  <c r="F1967" i="2"/>
  <c r="F1968" i="2"/>
  <c r="F1969" i="2"/>
  <c r="F1970" i="2"/>
  <c r="F1971" i="2"/>
  <c r="F1972" i="2"/>
  <c r="F1973"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G1962" i="2"/>
  <c r="G1963" i="2"/>
  <c r="G1964" i="2"/>
  <c r="G1965" i="2"/>
  <c r="G1966" i="2"/>
  <c r="G1967" i="2"/>
  <c r="G1968" i="2"/>
  <c r="G1969" i="2"/>
  <c r="G1970" i="2"/>
  <c r="G1971" i="2"/>
  <c r="G1972" i="2"/>
  <c r="G1973"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1961" i="2" l="1"/>
  <c r="F1959" i="2" l="1"/>
  <c r="F1960" i="2"/>
  <c r="G1959" i="2"/>
  <c r="G1960" i="2"/>
  <c r="F1958" i="2"/>
  <c r="G1958" i="2"/>
  <c r="F1953" i="2" l="1"/>
  <c r="F1954" i="2"/>
  <c r="F1955" i="2"/>
  <c r="F1956" i="2"/>
  <c r="F1957" i="2"/>
  <c r="G1953" i="2"/>
  <c r="G1954" i="2"/>
  <c r="G1955" i="2"/>
  <c r="G1956" i="2"/>
  <c r="G1957" i="2"/>
  <c r="F1952" i="2"/>
  <c r="G1952" i="2"/>
  <c r="F1918" i="2" l="1"/>
  <c r="G1918" i="2"/>
  <c r="F1919" i="2"/>
  <c r="G1919" i="2"/>
  <c r="F1920" i="2"/>
  <c r="G1920" i="2"/>
  <c r="F1917" i="2"/>
  <c r="G1917" i="2"/>
  <c r="F1951" i="2"/>
  <c r="G1951" i="2"/>
  <c r="F1950" i="2"/>
  <c r="G1950" i="2"/>
  <c r="F1949" i="2"/>
  <c r="G1949" i="2"/>
  <c r="F1948" i="2"/>
  <c r="G1948" i="2"/>
  <c r="F1947" i="2"/>
  <c r="G1947" i="2"/>
  <c r="F1946" i="2"/>
  <c r="G1946" i="2"/>
  <c r="F1945" i="2"/>
  <c r="G1945" i="2"/>
  <c r="F1944" i="2"/>
  <c r="G1944" i="2"/>
  <c r="F1943" i="2"/>
  <c r="G1943" i="2"/>
  <c r="F1942" i="2"/>
  <c r="G1942" i="2"/>
  <c r="F1941" i="2"/>
  <c r="G1941" i="2"/>
  <c r="F1940" i="2"/>
  <c r="G1940" i="2"/>
  <c r="F1939" i="2"/>
  <c r="G1939" i="2"/>
  <c r="F1938" i="2"/>
  <c r="G1938" i="2"/>
  <c r="F1937" i="2"/>
  <c r="G1937" i="2"/>
  <c r="F1936" i="2"/>
  <c r="G1936" i="2"/>
  <c r="F1935" i="2"/>
  <c r="G1935" i="2"/>
  <c r="F1934" i="2"/>
  <c r="G1934" i="2"/>
  <c r="F1933" i="2" l="1"/>
  <c r="G1933" i="2"/>
  <c r="F1932" i="2"/>
  <c r="G1932" i="2"/>
  <c r="F1931" i="2"/>
  <c r="G1931" i="2"/>
  <c r="F1930" i="2"/>
  <c r="G1930" i="2"/>
  <c r="F1925" i="2" l="1"/>
  <c r="F1926" i="2"/>
  <c r="F1927" i="2"/>
  <c r="F1928" i="2"/>
  <c r="F1929" i="2"/>
  <c r="G1925" i="2"/>
  <c r="G1926" i="2"/>
  <c r="G1927" i="2"/>
  <c r="G1928" i="2"/>
  <c r="G1929" i="2"/>
  <c r="F1924" i="2"/>
  <c r="G1924" i="2"/>
  <c r="F1923" i="2"/>
  <c r="G1923" i="2"/>
  <c r="F1916" i="2" l="1"/>
  <c r="G1916" i="2"/>
  <c r="F1915" i="2"/>
  <c r="G1915" i="2"/>
  <c r="F1911" i="2"/>
  <c r="F1912" i="2"/>
  <c r="F1913" i="2"/>
  <c r="F1914" i="2"/>
  <c r="G1911" i="2"/>
  <c r="G1912" i="2"/>
  <c r="G1913" i="2"/>
  <c r="G1914" i="2"/>
  <c r="F1910" i="2"/>
  <c r="G1910" i="2"/>
  <c r="F1909" i="2" l="1"/>
  <c r="G1909" i="2"/>
  <c r="F1908" i="2"/>
  <c r="G1908" i="2"/>
  <c r="F1907" i="2"/>
  <c r="G1907" i="2"/>
  <c r="F1906" i="2"/>
  <c r="G1906" i="2"/>
  <c r="F1905" i="2"/>
  <c r="G1905" i="2"/>
  <c r="F1900" i="2" l="1"/>
  <c r="F1901" i="2"/>
  <c r="F1902" i="2"/>
  <c r="F1903" i="2"/>
  <c r="G1900" i="2"/>
  <c r="G1901" i="2"/>
  <c r="G1902" i="2"/>
  <c r="G1903" i="2"/>
  <c r="F1899" i="2"/>
  <c r="G1899" i="2"/>
  <c r="F1897" i="2"/>
  <c r="F1898" i="2"/>
  <c r="F1904" i="2"/>
  <c r="G1897" i="2"/>
  <c r="G1898" i="2"/>
  <c r="G1904" i="2"/>
  <c r="F1896" i="2"/>
  <c r="G1896" i="2"/>
  <c r="F1895" i="2"/>
  <c r="G1895" i="2"/>
  <c r="F1893" i="2" l="1"/>
  <c r="F1894" i="2"/>
  <c r="F1921" i="2"/>
  <c r="G1893" i="2"/>
  <c r="G1894" i="2"/>
  <c r="G1921" i="2"/>
  <c r="F1892" i="2"/>
  <c r="G1892" i="2"/>
  <c r="F1891" i="2"/>
  <c r="G1891" i="2"/>
  <c r="F1890" i="2" l="1"/>
  <c r="G1890" i="2"/>
  <c r="F1883" i="2" l="1"/>
  <c r="F1884" i="2"/>
  <c r="F1885" i="2"/>
  <c r="F1886" i="2"/>
  <c r="F1887" i="2"/>
  <c r="F1888" i="2"/>
  <c r="F1889" i="2"/>
  <c r="G1883" i="2"/>
  <c r="G1884" i="2"/>
  <c r="G1885" i="2"/>
  <c r="G1886" i="2"/>
  <c r="G1887" i="2"/>
  <c r="G1888" i="2"/>
  <c r="G1889" i="2"/>
  <c r="F1922" i="2"/>
  <c r="G1922" i="2"/>
  <c r="F1877" i="2"/>
  <c r="F1878" i="2"/>
  <c r="F1879" i="2"/>
  <c r="F1880" i="2"/>
  <c r="F1881" i="2"/>
  <c r="F1882" i="2"/>
  <c r="G1877" i="2"/>
  <c r="G1878" i="2"/>
  <c r="G1879" i="2"/>
  <c r="G1880" i="2"/>
  <c r="G1881" i="2"/>
  <c r="G1882" i="2"/>
  <c r="F1876" i="2"/>
  <c r="G1876" i="2"/>
  <c r="F1874" i="2"/>
  <c r="F1875" i="2"/>
  <c r="G1874" i="2"/>
  <c r="G1875" i="2"/>
  <c r="F1873" i="2"/>
  <c r="G1873" i="2"/>
  <c r="F1872" i="2"/>
  <c r="G1872" i="2"/>
  <c r="F1866" i="2"/>
  <c r="F1867" i="2"/>
  <c r="F1868" i="2"/>
  <c r="F1869" i="2"/>
  <c r="F1870" i="2"/>
  <c r="F1871" i="2"/>
  <c r="G1866" i="2"/>
  <c r="G1867" i="2"/>
  <c r="G1868" i="2"/>
  <c r="G1869" i="2"/>
  <c r="G1870" i="2"/>
  <c r="G1871" i="2"/>
  <c r="F1865" i="2"/>
  <c r="G1865" i="2"/>
  <c r="F1864" i="2"/>
  <c r="G1864" i="2"/>
  <c r="F1863" i="2"/>
  <c r="G1863" i="2"/>
  <c r="F1862" i="2"/>
  <c r="G1862" i="2"/>
  <c r="F1861" i="2"/>
  <c r="G1861" i="2"/>
  <c r="F1860" i="2" l="1"/>
  <c r="G1860" i="2"/>
  <c r="F1859" i="2"/>
  <c r="G1859" i="2"/>
  <c r="F1858" i="2" l="1"/>
  <c r="G1858" i="2"/>
  <c r="F1857" i="2" l="1"/>
  <c r="G1857" i="2"/>
  <c r="F1855" i="2"/>
  <c r="G1855" i="2"/>
  <c r="F1849" i="2" l="1"/>
  <c r="G1849" i="2"/>
  <c r="F1850" i="2"/>
  <c r="G1850" i="2"/>
  <c r="F1853" i="2"/>
  <c r="F1851" i="2"/>
  <c r="F1852" i="2"/>
  <c r="G1853" i="2"/>
  <c r="G1851" i="2"/>
  <c r="G1852" i="2"/>
  <c r="F1854" i="2"/>
  <c r="G1854" i="2"/>
  <c r="F1817" i="2" l="1"/>
  <c r="F1818" i="2"/>
  <c r="F1821" i="2"/>
  <c r="F1836" i="2"/>
  <c r="F1826" i="2"/>
  <c r="F1831" i="2"/>
  <c r="F1834" i="2"/>
  <c r="F1840" i="2"/>
  <c r="F1837" i="2"/>
  <c r="F1842" i="2"/>
  <c r="F1839" i="2"/>
  <c r="F1841" i="2"/>
  <c r="F1845" i="2"/>
  <c r="F1846" i="2"/>
  <c r="F1808" i="2"/>
  <c r="F1847" i="2"/>
  <c r="F1848" i="2"/>
  <c r="G1817" i="2"/>
  <c r="G1818" i="2"/>
  <c r="G1821" i="2"/>
  <c r="G1836" i="2"/>
  <c r="G1826" i="2"/>
  <c r="G1831" i="2"/>
  <c r="G1834" i="2"/>
  <c r="G1840" i="2"/>
  <c r="G1837" i="2"/>
  <c r="G1842" i="2"/>
  <c r="G1839" i="2"/>
  <c r="G1841" i="2"/>
  <c r="G1845" i="2"/>
  <c r="G1846" i="2"/>
  <c r="G1808" i="2"/>
  <c r="G1847" i="2"/>
  <c r="G1848" i="2"/>
  <c r="F1832" i="2" l="1"/>
  <c r="G1832" i="2"/>
  <c r="F1824" i="2"/>
  <c r="G1824" i="2"/>
  <c r="F1830" i="2"/>
  <c r="G1830" i="2"/>
  <c r="F1829" i="2"/>
  <c r="G1829" i="2"/>
  <c r="F1833" i="2"/>
  <c r="G1833" i="2"/>
  <c r="F1827" i="2"/>
  <c r="G1827" i="2"/>
  <c r="F1835" i="2"/>
  <c r="G1835" i="2"/>
  <c r="F1856" i="2"/>
  <c r="G1856" i="2"/>
  <c r="F1843" i="2"/>
  <c r="G1843" i="2"/>
  <c r="F1844" i="2"/>
  <c r="G1844" i="2"/>
  <c r="F1823" i="2" l="1"/>
  <c r="G1823" i="2"/>
  <c r="F1822" i="2"/>
  <c r="G1822" i="2"/>
  <c r="F1820" i="2"/>
  <c r="G1820" i="2"/>
  <c r="F1838" i="2"/>
  <c r="G1838" i="2"/>
  <c r="F1819" i="2"/>
  <c r="G1819" i="2"/>
  <c r="F1828" i="2"/>
  <c r="G1828" i="2"/>
  <c r="F1825" i="2"/>
  <c r="G1825" i="2"/>
  <c r="F1816" i="2" l="1"/>
  <c r="G1816" i="2"/>
  <c r="F1815" i="2"/>
  <c r="G1815" i="2"/>
  <c r="F1814" i="2"/>
  <c r="G1814" i="2"/>
  <c r="F1813" i="2"/>
  <c r="G1813" i="2"/>
  <c r="F1812" i="2"/>
  <c r="G1812" i="2"/>
  <c r="F1811" i="2"/>
  <c r="G1811" i="2"/>
  <c r="F1810" i="2"/>
  <c r="G1810" i="2"/>
  <c r="F1809" i="2"/>
  <c r="G1809" i="2"/>
  <c r="F1807" i="2"/>
  <c r="G1807" i="2"/>
  <c r="F1800" i="2"/>
  <c r="G1800" i="2"/>
  <c r="F1805" i="2"/>
  <c r="G1805" i="2"/>
  <c r="F1804" i="2"/>
  <c r="G1804" i="2"/>
  <c r="F1803" i="2"/>
  <c r="G1803" i="2"/>
  <c r="F1802" i="2"/>
  <c r="G1802" i="2"/>
  <c r="F1801" i="2"/>
  <c r="G1801" i="2"/>
  <c r="F1806" i="2"/>
  <c r="G1806" i="2"/>
  <c r="F1799" i="2"/>
  <c r="G1799" i="2"/>
  <c r="F1797" i="2" l="1"/>
  <c r="F1793" i="2"/>
  <c r="G1797" i="2"/>
  <c r="G1793" i="2"/>
  <c r="F1796" i="2"/>
  <c r="G1796" i="2"/>
  <c r="F1788" i="2"/>
  <c r="F1789" i="2"/>
  <c r="G1788" i="2"/>
  <c r="G1789" i="2"/>
  <c r="F1791" i="2"/>
  <c r="G1791" i="2"/>
  <c r="F1790" i="2"/>
  <c r="F1798" i="2"/>
  <c r="F1795" i="2"/>
  <c r="F1792" i="2"/>
  <c r="G1790" i="2"/>
  <c r="G1798" i="2"/>
  <c r="G1795" i="2"/>
  <c r="G1792" i="2"/>
  <c r="F1794" i="2"/>
  <c r="G1794" i="2"/>
  <c r="F1787" i="2" l="1"/>
  <c r="G1787" i="2"/>
  <c r="F1767" i="2"/>
  <c r="G1767" i="2"/>
  <c r="F1785" i="2"/>
  <c r="G1785" i="2"/>
  <c r="F1784" i="2"/>
  <c r="G1784" i="2"/>
  <c r="F1783" i="2"/>
  <c r="G1783" i="2"/>
  <c r="F1775" i="2"/>
  <c r="F1776" i="2"/>
  <c r="F1771" i="2"/>
  <c r="G1775" i="2"/>
  <c r="G1776" i="2"/>
  <c r="G1771" i="2"/>
  <c r="F1773" i="2"/>
  <c r="G1773" i="2"/>
  <c r="F1780" i="2"/>
  <c r="F1777" i="2"/>
  <c r="F1778" i="2"/>
  <c r="G1780" i="2"/>
  <c r="G1777" i="2"/>
  <c r="G1778" i="2"/>
  <c r="F1762" i="2"/>
  <c r="G1762" i="2"/>
  <c r="F1763" i="2"/>
  <c r="F1782" i="2"/>
  <c r="F1761" i="2"/>
  <c r="F1774" i="2"/>
  <c r="G1763" i="2"/>
  <c r="G1782" i="2"/>
  <c r="G1761" i="2"/>
  <c r="G1774" i="2"/>
  <c r="F1770" i="2"/>
  <c r="G1770" i="2"/>
  <c r="F1779" i="2"/>
  <c r="F1772" i="2"/>
  <c r="F1765" i="2"/>
  <c r="F1766" i="2"/>
  <c r="F1781" i="2"/>
  <c r="F1768" i="2"/>
  <c r="F1769" i="2"/>
  <c r="G1779" i="2"/>
  <c r="G1772" i="2"/>
  <c r="G1765" i="2"/>
  <c r="G1766" i="2"/>
  <c r="G1781" i="2"/>
  <c r="G1768" i="2"/>
  <c r="G1769" i="2"/>
  <c r="F1786" i="2"/>
  <c r="G1786" i="2"/>
  <c r="F1759" i="2" l="1"/>
  <c r="F1754" i="2"/>
  <c r="G1759" i="2"/>
  <c r="G1754" i="2"/>
  <c r="F1760" i="2"/>
  <c r="G1760" i="2"/>
  <c r="F1755" i="2"/>
  <c r="F1753" i="2"/>
  <c r="F1756" i="2"/>
  <c r="F1757" i="2"/>
  <c r="G1755" i="2"/>
  <c r="G1753" i="2"/>
  <c r="G1756" i="2"/>
  <c r="G1757" i="2"/>
  <c r="F1752" i="2"/>
  <c r="G1752" i="2"/>
  <c r="F1751" i="2" l="1"/>
  <c r="G1751" i="2"/>
  <c r="F1745" i="2"/>
  <c r="G1745" i="2"/>
  <c r="F1744" i="2"/>
  <c r="G1744" i="2"/>
  <c r="F1748" i="2"/>
  <c r="G1748" i="2"/>
  <c r="F1747" i="2" l="1"/>
  <c r="F1749" i="2"/>
  <c r="F1750" i="2"/>
  <c r="F1746" i="2"/>
  <c r="F1764" i="2"/>
  <c r="G1747" i="2"/>
  <c r="G1749" i="2"/>
  <c r="G1750" i="2"/>
  <c r="G1746" i="2"/>
  <c r="G1764" i="2"/>
  <c r="F1743" i="2"/>
  <c r="G1743" i="2"/>
  <c r="F1742" i="2" l="1"/>
  <c r="G1742" i="2"/>
  <c r="F1737" i="2" l="1"/>
  <c r="F1739" i="2"/>
  <c r="F1738" i="2"/>
  <c r="F1740" i="2"/>
  <c r="G1737" i="2"/>
  <c r="G1739" i="2"/>
  <c r="G1738" i="2"/>
  <c r="G1740" i="2"/>
  <c r="F1741" i="2"/>
  <c r="G1741" i="2"/>
  <c r="F1734" i="2" l="1"/>
  <c r="G1734" i="2"/>
  <c r="F1735" i="2"/>
  <c r="G1735" i="2"/>
  <c r="F1736" i="2"/>
  <c r="G1736" i="2"/>
  <c r="F1758" i="2" l="1"/>
  <c r="G1758" i="2"/>
  <c r="F1733" i="2"/>
  <c r="G1733" i="2"/>
  <c r="F1729" i="2" l="1"/>
  <c r="F1727" i="2"/>
  <c r="F1731" i="2"/>
  <c r="F1732" i="2"/>
  <c r="G1729" i="2"/>
  <c r="G1727" i="2"/>
  <c r="G1731" i="2"/>
  <c r="G1732" i="2"/>
  <c r="F1728" i="2"/>
  <c r="G1728" i="2"/>
  <c r="G1714" i="2" l="1"/>
  <c r="G1721" i="2"/>
  <c r="F1718" i="2"/>
  <c r="F1724" i="2"/>
  <c r="F1723" i="2"/>
  <c r="F1726" i="2"/>
  <c r="G1718" i="2"/>
  <c r="G1724" i="2"/>
  <c r="G1723" i="2"/>
  <c r="G1726" i="2"/>
  <c r="F1722" i="2"/>
  <c r="G1722" i="2"/>
  <c r="F1720" i="2"/>
  <c r="F1721" i="2"/>
  <c r="G1720" i="2"/>
  <c r="F1725" i="2"/>
  <c r="G1725" i="2"/>
  <c r="F1715" i="2" l="1"/>
  <c r="F1716" i="2"/>
  <c r="F1714" i="2"/>
  <c r="F1719" i="2"/>
  <c r="G1715" i="2"/>
  <c r="G1716" i="2"/>
  <c r="G1719" i="2"/>
  <c r="F1713" i="2"/>
  <c r="G1713" i="2"/>
  <c r="F1717" i="2" l="1"/>
  <c r="G1717" i="2"/>
  <c r="F1712" i="2"/>
  <c r="G1712" i="2"/>
  <c r="F1710" i="2"/>
  <c r="F1711" i="2"/>
  <c r="G1710" i="2"/>
  <c r="G1711" i="2"/>
  <c r="F1709" i="2"/>
  <c r="G1709" i="2"/>
  <c r="F1708" i="2"/>
  <c r="G1708" i="2"/>
  <c r="F1706" i="2" l="1"/>
  <c r="G1706" i="2"/>
  <c r="F1707" i="2"/>
  <c r="G1707" i="2"/>
  <c r="F1704" i="2"/>
  <c r="G1704" i="2"/>
  <c r="F1700" i="2" l="1"/>
  <c r="G1700" i="2"/>
  <c r="F1702" i="2"/>
  <c r="G1702" i="2"/>
  <c r="F1698" i="2"/>
  <c r="G1698" i="2"/>
  <c r="F1703" i="2"/>
  <c r="G1703" i="2"/>
  <c r="F1699" i="2"/>
  <c r="G1699" i="2"/>
  <c r="F1701" i="2"/>
  <c r="G1701" i="2"/>
  <c r="F1697" i="2"/>
  <c r="G1697" i="2"/>
  <c r="G1696" i="2"/>
  <c r="F1696" i="2"/>
  <c r="F1730" i="2"/>
  <c r="G1730" i="2"/>
  <c r="F1705" i="2" l="1"/>
  <c r="G1705" i="2"/>
  <c r="F1694" i="2" l="1"/>
  <c r="F1695" i="2"/>
  <c r="G1694" i="2"/>
  <c r="G1695" i="2"/>
  <c r="F1693" i="2"/>
  <c r="G1693" i="2"/>
  <c r="F1692" i="2"/>
  <c r="G1692" i="2"/>
  <c r="F1691" i="2" l="1"/>
  <c r="G1691" i="2"/>
  <c r="F1690" i="2"/>
  <c r="G1690" i="2"/>
  <c r="F1686" i="2" l="1"/>
  <c r="F1684" i="2"/>
  <c r="F1689" i="2"/>
  <c r="F1685" i="2"/>
  <c r="F1683" i="2"/>
  <c r="F1682" i="2"/>
  <c r="F1688" i="2"/>
  <c r="F1675" i="2"/>
  <c r="G1686" i="2"/>
  <c r="G1684" i="2"/>
  <c r="G1689" i="2"/>
  <c r="G1685" i="2"/>
  <c r="G1683" i="2"/>
  <c r="G1682" i="2"/>
  <c r="G1688" i="2"/>
  <c r="G1675" i="2"/>
  <c r="F1679" i="2"/>
  <c r="G1679" i="2"/>
  <c r="F1668" i="2" l="1"/>
  <c r="F1670" i="2"/>
  <c r="F1671" i="2"/>
  <c r="F1672" i="2"/>
  <c r="F1673" i="2"/>
  <c r="F1669" i="2"/>
  <c r="F1681" i="2"/>
  <c r="F1676" i="2"/>
  <c r="F1677" i="2"/>
  <c r="F1678" i="2"/>
  <c r="F1687" i="2"/>
  <c r="F1680" i="2"/>
  <c r="G1668" i="2"/>
  <c r="G1670" i="2"/>
  <c r="G1671" i="2"/>
  <c r="G1672" i="2"/>
  <c r="G1673" i="2"/>
  <c r="G1669" i="2"/>
  <c r="G1681" i="2"/>
  <c r="G1676" i="2"/>
  <c r="G1677" i="2"/>
  <c r="G1678" i="2"/>
  <c r="G1687" i="2"/>
  <c r="G1680" i="2"/>
  <c r="F1674" i="2"/>
  <c r="G1674" i="2"/>
  <c r="F1667" i="2" l="1"/>
  <c r="G1667" i="2"/>
  <c r="F1665" i="2" l="1"/>
  <c r="G1665" i="2"/>
  <c r="F1666" i="2"/>
  <c r="G1666" i="2"/>
  <c r="F1663" i="2" l="1"/>
  <c r="F1660" i="2"/>
  <c r="F1664" i="2"/>
  <c r="G1663" i="2"/>
  <c r="G1660" i="2"/>
  <c r="G1664" i="2"/>
  <c r="F1654" i="2" l="1"/>
  <c r="F1657" i="2"/>
  <c r="F1656" i="2"/>
  <c r="F1655" i="2"/>
  <c r="F1658" i="2"/>
  <c r="F1659" i="2"/>
  <c r="F1662" i="2"/>
  <c r="G1654" i="2"/>
  <c r="G1657" i="2"/>
  <c r="G1656" i="2"/>
  <c r="G1655" i="2"/>
  <c r="G1658" i="2"/>
  <c r="G1659" i="2"/>
  <c r="G1662" i="2"/>
  <c r="F1653" i="2"/>
  <c r="G1653" i="2"/>
  <c r="F1649" i="2" l="1"/>
  <c r="F1648" i="2"/>
  <c r="F1651" i="2"/>
  <c r="F1652" i="2"/>
  <c r="G1649" i="2"/>
  <c r="G1648" i="2"/>
  <c r="G1651" i="2"/>
  <c r="G1652" i="2"/>
  <c r="F1647" i="2"/>
  <c r="G1647" i="2"/>
  <c r="F1640" i="2" l="1"/>
  <c r="F1639" i="2"/>
  <c r="G1639" i="2"/>
  <c r="F1633" i="2" l="1"/>
  <c r="G1633" i="2"/>
  <c r="F1635" i="2"/>
  <c r="G1635" i="2"/>
  <c r="F1646" i="2"/>
  <c r="F1636" i="2"/>
  <c r="F1641" i="2"/>
  <c r="G1646" i="2"/>
  <c r="G1636" i="2"/>
  <c r="G1641" i="2"/>
  <c r="F1644" i="2"/>
  <c r="G1644" i="2"/>
  <c r="F1634" i="2"/>
  <c r="F1643" i="2"/>
  <c r="F1638" i="2"/>
  <c r="F1645" i="2"/>
  <c r="F1632" i="2"/>
  <c r="G1634" i="2"/>
  <c r="G1640" i="2"/>
  <c r="G1643" i="2"/>
  <c r="G1638" i="2"/>
  <c r="G1645" i="2"/>
  <c r="G1632" i="2"/>
  <c r="F1631" i="2"/>
  <c r="G1631" i="2"/>
  <c r="F1637" i="2"/>
  <c r="G1637" i="2"/>
  <c r="F1613" i="2" l="1"/>
  <c r="G1613" i="2"/>
  <c r="F1615" i="2"/>
  <c r="G1615" i="2"/>
  <c r="F1619" i="2"/>
  <c r="F1623" i="2"/>
  <c r="F1620" i="2"/>
  <c r="F1617" i="2"/>
  <c r="G1619" i="2"/>
  <c r="G1623" i="2"/>
  <c r="G1620" i="2"/>
  <c r="G1617" i="2"/>
  <c r="F1629" i="2"/>
  <c r="G1629" i="2"/>
  <c r="F1624" i="2"/>
  <c r="F1630" i="2"/>
  <c r="F1626" i="2"/>
  <c r="G1624" i="2"/>
  <c r="G1630" i="2"/>
  <c r="G1626" i="2"/>
  <c r="F1661" i="2"/>
  <c r="G1661" i="2"/>
  <c r="F1616" i="2"/>
  <c r="F1621" i="2"/>
  <c r="G1616" i="2"/>
  <c r="G1621" i="2"/>
  <c r="F1625" i="2"/>
  <c r="G1625" i="2"/>
  <c r="F1622" i="2"/>
  <c r="F1612" i="2"/>
  <c r="F1614" i="2"/>
  <c r="G1622" i="2"/>
  <c r="G1612" i="2"/>
  <c r="G1614" i="2"/>
  <c r="F1628" i="2"/>
  <c r="G1628" i="2"/>
  <c r="F1593" i="2" l="1"/>
  <c r="F1599" i="2"/>
  <c r="F1597" i="2"/>
  <c r="F1594" i="2"/>
  <c r="F1618" i="2"/>
  <c r="G1593" i="2"/>
  <c r="G1599" i="2"/>
  <c r="G1597" i="2"/>
  <c r="G1594" i="2"/>
  <c r="G1618" i="2"/>
  <c r="F1604" i="2"/>
  <c r="G1604" i="2"/>
  <c r="F1603" i="2"/>
  <c r="F1596" i="2"/>
  <c r="F1600" i="2"/>
  <c r="F1610" i="2"/>
  <c r="G1603" i="2"/>
  <c r="G1596" i="2"/>
  <c r="G1600" i="2"/>
  <c r="G1610" i="2"/>
  <c r="F1605" i="2"/>
  <c r="G1605" i="2"/>
  <c r="F1609" i="2"/>
  <c r="G1609" i="2"/>
  <c r="F1601" i="2"/>
  <c r="G1601" i="2"/>
  <c r="F1607" i="2"/>
  <c r="F1592" i="2"/>
  <c r="G1607" i="2"/>
  <c r="G1592" i="2"/>
  <c r="F1598" i="2"/>
  <c r="G1598" i="2"/>
  <c r="F1575" i="2" l="1"/>
  <c r="G1575" i="2"/>
  <c r="F1576" i="2"/>
  <c r="G1576" i="2"/>
  <c r="F1581" i="2"/>
  <c r="G1581" i="2"/>
  <c r="F1577" i="2"/>
  <c r="G1577" i="2"/>
  <c r="F1578" i="2"/>
  <c r="G1578" i="2"/>
  <c r="F1573" i="2"/>
  <c r="G1573" i="2"/>
  <c r="F1583" i="2"/>
  <c r="G1583" i="2"/>
  <c r="F1591" i="2"/>
  <c r="G1591" i="2"/>
  <c r="F1572" i="2"/>
  <c r="G1572" i="2"/>
  <c r="F1587" i="2"/>
  <c r="G1587" i="2"/>
  <c r="F1585" i="2"/>
  <c r="G1585" i="2"/>
  <c r="F1582" i="2"/>
  <c r="G1582" i="2"/>
  <c r="F1590" i="2"/>
  <c r="G1590" i="2"/>
  <c r="F1650" i="2"/>
  <c r="G1650" i="2"/>
  <c r="F1580" i="2"/>
  <c r="G1580" i="2"/>
  <c r="F1588" i="2"/>
  <c r="G1588" i="2"/>
  <c r="F1579" i="2"/>
  <c r="G1579" i="2"/>
  <c r="F1589" i="2"/>
  <c r="G1589" i="2"/>
  <c r="F1586" i="2"/>
  <c r="G1586" i="2"/>
  <c r="F1574" i="2"/>
  <c r="G1574" i="2"/>
  <c r="F1584" i="2"/>
  <c r="G1584" i="2"/>
  <c r="F1568" i="2" l="1"/>
  <c r="G1568" i="2"/>
  <c r="F1567" i="2"/>
  <c r="G1567" i="2"/>
  <c r="F1569" i="2"/>
  <c r="G1569" i="2"/>
  <c r="F1570" i="2" l="1"/>
  <c r="G1570" i="2"/>
  <c r="F1566" i="2"/>
  <c r="G1566" i="2"/>
  <c r="F1565" i="2"/>
  <c r="G1565" i="2"/>
  <c r="F1564" i="2"/>
  <c r="G1564" i="2"/>
  <c r="F1606" i="2" l="1"/>
  <c r="G1606" i="2"/>
  <c r="F1602" i="2"/>
  <c r="F1558" i="2"/>
  <c r="G1602" i="2"/>
  <c r="G1558" i="2"/>
  <c r="F1560" i="2"/>
  <c r="G1560" i="2"/>
  <c r="F1556" i="2"/>
  <c r="F1611" i="2"/>
  <c r="G1556" i="2"/>
  <c r="G1611" i="2"/>
  <c r="F1561" i="2"/>
  <c r="G1561" i="2"/>
  <c r="F1562" i="2"/>
  <c r="F1559" i="2"/>
  <c r="G1562" i="2"/>
  <c r="G1559" i="2"/>
  <c r="F1563" i="2"/>
  <c r="F1557" i="2"/>
  <c r="G1563" i="2"/>
  <c r="G1557" i="2"/>
  <c r="F1554" i="2" l="1"/>
  <c r="G1554" i="2"/>
  <c r="F1642" i="2"/>
  <c r="G1642" i="2"/>
  <c r="F1571" i="2" l="1"/>
  <c r="G1571" i="2"/>
  <c r="F1608" i="2"/>
  <c r="G1608" i="2"/>
  <c r="F1536" i="2" l="1"/>
  <c r="F1533" i="2"/>
  <c r="G1536" i="2"/>
  <c r="G1533" i="2"/>
  <c r="F1552" i="2"/>
  <c r="G1552" i="2"/>
  <c r="F1542" i="2"/>
  <c r="F1534" i="2"/>
  <c r="F1551" i="2"/>
  <c r="G1542" i="2"/>
  <c r="G1534" i="2"/>
  <c r="G1551" i="2"/>
  <c r="F1545" i="2"/>
  <c r="G1545" i="2"/>
  <c r="F1547" i="2"/>
  <c r="G1547" i="2"/>
  <c r="G1543" i="2"/>
  <c r="F1543" i="2"/>
  <c r="F1531" i="2"/>
  <c r="F1549" i="2"/>
  <c r="G1531" i="2"/>
  <c r="G1549" i="2"/>
  <c r="F1553" i="2"/>
  <c r="G1553" i="2"/>
  <c r="F1537" i="2"/>
  <c r="F1541" i="2"/>
  <c r="F1538" i="2"/>
  <c r="F1546" i="2"/>
  <c r="G1537" i="2"/>
  <c r="G1541" i="2"/>
  <c r="G1538" i="2"/>
  <c r="G1546" i="2"/>
  <c r="F1627" i="2" l="1"/>
  <c r="F1550" i="2"/>
  <c r="F1548" i="2"/>
  <c r="F1544" i="2"/>
  <c r="F1535" i="2"/>
  <c r="F1540" i="2"/>
  <c r="G1627" i="2"/>
  <c r="G1550" i="2"/>
  <c r="G1548" i="2"/>
  <c r="G1544" i="2"/>
  <c r="G1535" i="2"/>
  <c r="G1540" i="2"/>
  <c r="F1539" i="2"/>
  <c r="G1539" i="2"/>
  <c r="F1532" i="2"/>
  <c r="G1532" i="2"/>
  <c r="G1003" i="2" l="1"/>
  <c r="F1003" i="2"/>
  <c r="G982" i="2"/>
  <c r="F982" i="2"/>
  <c r="G995" i="2"/>
  <c r="F995" i="2"/>
  <c r="G994" i="2"/>
  <c r="F994" i="2"/>
  <c r="G987" i="2"/>
  <c r="F987" i="2"/>
  <c r="G997" i="2"/>
  <c r="F997" i="2"/>
  <c r="G969" i="2"/>
  <c r="F969" i="2"/>
  <c r="G936" i="2"/>
  <c r="F936" i="2"/>
  <c r="G930" i="2"/>
  <c r="F930" i="2"/>
  <c r="G929" i="2"/>
  <c r="F929" i="2"/>
  <c r="G926" i="2"/>
  <c r="F926" i="2"/>
  <c r="G913" i="2"/>
  <c r="F913" i="2"/>
  <c r="G911" i="2"/>
  <c r="F911" i="2"/>
  <c r="G910" i="2"/>
  <c r="F910" i="2"/>
  <c r="G882" i="2"/>
  <c r="F882" i="2"/>
  <c r="G826" i="2"/>
  <c r="F826" i="2"/>
  <c r="G800" i="2"/>
  <c r="F800" i="2"/>
  <c r="G803" i="2"/>
  <c r="F803" i="2"/>
  <c r="G792" i="2"/>
  <c r="F792" i="2"/>
  <c r="G785" i="2"/>
  <c r="F785" i="2"/>
  <c r="G764" i="2"/>
  <c r="F764" i="2"/>
  <c r="G776" i="2"/>
  <c r="F776" i="2"/>
  <c r="G755" i="2"/>
  <c r="F755" i="2"/>
  <c r="G742" i="2"/>
  <c r="F742" i="2"/>
  <c r="G725" i="2"/>
  <c r="F725" i="2"/>
  <c r="G728" i="2"/>
  <c r="F728" i="2"/>
  <c r="G713" i="2"/>
  <c r="F713" i="2"/>
  <c r="G701" i="2"/>
  <c r="F701" i="2"/>
  <c r="G697" i="2"/>
  <c r="F697" i="2"/>
  <c r="G676" i="2"/>
  <c r="F676" i="2"/>
  <c r="G674" i="2"/>
  <c r="F674" i="2"/>
  <c r="G661" i="2"/>
  <c r="F661" i="2"/>
  <c r="G598" i="2"/>
  <c r="F598" i="2"/>
  <c r="G600" i="2"/>
  <c r="F600" i="2"/>
  <c r="G585" i="2"/>
  <c r="F585" i="2"/>
  <c r="G568" i="2"/>
  <c r="F568" i="2"/>
  <c r="G567" i="2"/>
  <c r="F567" i="2"/>
  <c r="G562" i="2"/>
  <c r="F562" i="2"/>
  <c r="G552" i="2"/>
  <c r="F552" i="2"/>
  <c r="G494" i="2"/>
  <c r="F494" i="2"/>
  <c r="G489" i="2"/>
  <c r="F489" i="2"/>
  <c r="G468" i="2"/>
  <c r="F468" i="2"/>
  <c r="G460" i="2"/>
  <c r="F460" i="2"/>
  <c r="G461" i="2"/>
  <c r="F461" i="2"/>
  <c r="G447" i="2"/>
  <c r="F447" i="2"/>
  <c r="G420" i="2"/>
  <c r="F420" i="2"/>
  <c r="G382" i="2"/>
  <c r="F382" i="2"/>
  <c r="G374" i="2"/>
  <c r="F374" i="2"/>
  <c r="G378" i="2"/>
  <c r="F378" i="2"/>
  <c r="G370" i="2"/>
  <c r="F370" i="2"/>
  <c r="G379" i="2"/>
  <c r="F379" i="2"/>
  <c r="G341" i="2"/>
  <c r="F341" i="2"/>
  <c r="G357" i="2"/>
  <c r="F357" i="2"/>
  <c r="G347" i="2"/>
  <c r="F347" i="2"/>
  <c r="G346" i="2"/>
  <c r="F346" i="2"/>
  <c r="G342" i="2"/>
  <c r="F342" i="2"/>
  <c r="G355" i="2"/>
  <c r="F355" i="2"/>
  <c r="G339" i="2"/>
  <c r="F339" i="2"/>
  <c r="G330" i="2"/>
  <c r="F330" i="2"/>
  <c r="G329" i="2"/>
  <c r="F329" i="2"/>
  <c r="G319" i="2"/>
  <c r="F319" i="2"/>
  <c r="G324" i="2"/>
  <c r="F324" i="2"/>
  <c r="G314" i="2"/>
  <c r="F314" i="2"/>
  <c r="G318" i="2"/>
  <c r="F318" i="2"/>
  <c r="G325" i="2"/>
  <c r="F325" i="2"/>
  <c r="G312" i="2"/>
  <c r="F312" i="2"/>
  <c r="G283" i="2"/>
  <c r="F283" i="2"/>
  <c r="G289" i="2"/>
  <c r="F289" i="2"/>
  <c r="G306" i="2"/>
  <c r="F306" i="2"/>
  <c r="G288" i="2"/>
  <c r="F288" i="2"/>
  <c r="G309" i="2"/>
  <c r="F309" i="2"/>
  <c r="G295" i="2"/>
  <c r="F295" i="2"/>
  <c r="G293" i="2"/>
  <c r="F293" i="2"/>
  <c r="G302" i="2"/>
  <c r="F302" i="2"/>
  <c r="G261" i="2"/>
  <c r="F261" i="2"/>
  <c r="G248" i="2"/>
  <c r="F248" i="2"/>
  <c r="G241" i="2"/>
  <c r="F241" i="2"/>
  <c r="G236" i="2"/>
  <c r="F236" i="2"/>
  <c r="G234" i="2"/>
  <c r="F234" i="2"/>
  <c r="G230" i="2"/>
  <c r="F230" i="2"/>
  <c r="G226" i="2"/>
  <c r="F226" i="2"/>
  <c r="G228" i="2"/>
  <c r="F228" i="2"/>
  <c r="G202" i="2"/>
  <c r="F202" i="2"/>
  <c r="G195" i="2"/>
  <c r="F195" i="2"/>
  <c r="G187" i="2"/>
  <c r="F187" i="2"/>
  <c r="G161" i="2"/>
  <c r="F161" i="2"/>
  <c r="G146" i="2"/>
  <c r="F146" i="2"/>
  <c r="G135" i="2"/>
  <c r="F135" i="2"/>
  <c r="G147" i="2"/>
  <c r="F147" i="2"/>
  <c r="G148" i="2"/>
  <c r="F148" i="2"/>
  <c r="G140" i="2"/>
  <c r="F140" i="2"/>
  <c r="G149" i="2"/>
  <c r="F149" i="2"/>
  <c r="G126" i="2"/>
  <c r="F126" i="2"/>
  <c r="G105" i="2"/>
  <c r="F105" i="2"/>
  <c r="G99" i="2"/>
  <c r="F99" i="2"/>
  <c r="G107" i="2"/>
  <c r="F107" i="2"/>
  <c r="G116" i="2"/>
  <c r="F116" i="2"/>
  <c r="G122" i="2"/>
  <c r="F122" i="2"/>
  <c r="G118" i="2"/>
  <c r="F118" i="2"/>
  <c r="G1058" i="2"/>
  <c r="F1058" i="2"/>
  <c r="G1045" i="2"/>
  <c r="F1045" i="2"/>
  <c r="G1036" i="2"/>
  <c r="F1036" i="2"/>
  <c r="G1033" i="2"/>
  <c r="F1033" i="2"/>
  <c r="G1124" i="2"/>
  <c r="F1124" i="2"/>
  <c r="G1125" i="2"/>
  <c r="F1125" i="2"/>
  <c r="G1106" i="2"/>
  <c r="F1106" i="2"/>
  <c r="G1104" i="2"/>
  <c r="F1104" i="2"/>
  <c r="G1098" i="2"/>
  <c r="F1098" i="2"/>
  <c r="G1095" i="2"/>
  <c r="F1095" i="2"/>
  <c r="G1094" i="2"/>
  <c r="F1094" i="2"/>
  <c r="F1526" i="2"/>
  <c r="F1530" i="2"/>
  <c r="F1527" i="2"/>
  <c r="F1522" i="2"/>
  <c r="F1523" i="2"/>
  <c r="F1528" i="2"/>
  <c r="F1529" i="2"/>
  <c r="G1526" i="2"/>
  <c r="G1530" i="2"/>
  <c r="G1527" i="2"/>
  <c r="G1522" i="2"/>
  <c r="G1523" i="2"/>
  <c r="G1528" i="2"/>
  <c r="G1529" i="2"/>
  <c r="F1525" i="2"/>
  <c r="G1525" i="2"/>
  <c r="F1519" i="2" l="1"/>
  <c r="G1519" i="2"/>
  <c r="F1518" i="2"/>
  <c r="G1518" i="2"/>
  <c r="F1595" i="2" l="1"/>
  <c r="G1595" i="2"/>
  <c r="F1511" i="2" l="1"/>
  <c r="G1511" i="2"/>
  <c r="F1508" i="2"/>
  <c r="G1508" i="2"/>
  <c r="F1509" i="2"/>
  <c r="G1509" i="2"/>
  <c r="F1512" i="2"/>
  <c r="G1512" i="2"/>
  <c r="F1502" i="2"/>
  <c r="G1502" i="2"/>
  <c r="F1514" i="2"/>
  <c r="G1514" i="2"/>
  <c r="F1517" i="2"/>
  <c r="G1517" i="2"/>
  <c r="F1524" i="2"/>
  <c r="G1524" i="2"/>
  <c r="F1504" i="2"/>
  <c r="G1504" i="2"/>
  <c r="F1506" i="2"/>
  <c r="G1506" i="2"/>
  <c r="F1510" i="2"/>
  <c r="G1510" i="2"/>
  <c r="F1515" i="2"/>
  <c r="G1515" i="2"/>
  <c r="F1507" i="2"/>
  <c r="G1507" i="2"/>
  <c r="F1520" i="2"/>
  <c r="G1520" i="2"/>
  <c r="F1555" i="2"/>
  <c r="G1555" i="2"/>
  <c r="F1513" i="2"/>
  <c r="G1513" i="2"/>
  <c r="F1503" i="2"/>
  <c r="G1503" i="2"/>
  <c r="F1521" i="2"/>
  <c r="G1521" i="2"/>
  <c r="F1516" i="2"/>
  <c r="G1516" i="2"/>
  <c r="F1505" i="2"/>
  <c r="G1505" i="2"/>
  <c r="F1499" i="2" l="1"/>
  <c r="G1499" i="2"/>
  <c r="F1497" i="2"/>
  <c r="G1497" i="2"/>
  <c r="F1496" i="2"/>
  <c r="G1496" i="2"/>
  <c r="F1498" i="2"/>
  <c r="G1498" i="2"/>
  <c r="F1491" i="2" l="1"/>
  <c r="G1491" i="2"/>
  <c r="F1495" i="2"/>
  <c r="G1495" i="2"/>
  <c r="F1492" i="2"/>
  <c r="F1494" i="2"/>
  <c r="G1492" i="2"/>
  <c r="G1494" i="2"/>
  <c r="F1493" i="2" l="1"/>
  <c r="G1493" i="2"/>
  <c r="F1490" i="2"/>
  <c r="G1490" i="2"/>
  <c r="F1488" i="2"/>
  <c r="G1488" i="2"/>
  <c r="F1489" i="2"/>
  <c r="G1489" i="2"/>
  <c r="F1485" i="2"/>
  <c r="G1485" i="2"/>
  <c r="F1487" i="2"/>
  <c r="G1487" i="2"/>
  <c r="F1486" i="2"/>
  <c r="G1486" i="2"/>
  <c r="F1484" i="2"/>
  <c r="G1484" i="2"/>
  <c r="F1470" i="2" l="1"/>
  <c r="G1470" i="2"/>
  <c r="F1475" i="2" l="1"/>
  <c r="G1475" i="2"/>
  <c r="F1480" i="2"/>
  <c r="F1483" i="2"/>
  <c r="F1472" i="2"/>
  <c r="G1480" i="2"/>
  <c r="G1483" i="2"/>
  <c r="G1472" i="2"/>
  <c r="F1462" i="2"/>
  <c r="G1462" i="2"/>
  <c r="F1467" i="2"/>
  <c r="F1478" i="2"/>
  <c r="F1463" i="2"/>
  <c r="G1467" i="2"/>
  <c r="G1478" i="2"/>
  <c r="G1463" i="2"/>
  <c r="F1469" i="2"/>
  <c r="G1469" i="2"/>
  <c r="F1466" i="2"/>
  <c r="F1473" i="2"/>
  <c r="F1476" i="2"/>
  <c r="F1477" i="2"/>
  <c r="F1479" i="2"/>
  <c r="F1481" i="2"/>
  <c r="F1465" i="2"/>
  <c r="F1482" i="2"/>
  <c r="F1464" i="2"/>
  <c r="G1466" i="2"/>
  <c r="G1473" i="2"/>
  <c r="G1476" i="2"/>
  <c r="G1477" i="2"/>
  <c r="G1479" i="2"/>
  <c r="G1481" i="2"/>
  <c r="G1465" i="2"/>
  <c r="G1482" i="2"/>
  <c r="G1464" i="2"/>
  <c r="F1471" i="2"/>
  <c r="G1471" i="2"/>
  <c r="F1457" i="2" l="1"/>
  <c r="G1457" i="2"/>
  <c r="F1500" i="2"/>
  <c r="G1500" i="2"/>
  <c r="F1461" i="2"/>
  <c r="F1460" i="2"/>
  <c r="F1459" i="2"/>
  <c r="F1456" i="2"/>
  <c r="G1461" i="2"/>
  <c r="G1460" i="2"/>
  <c r="G1459" i="2"/>
  <c r="G1456" i="2"/>
  <c r="F1458" i="2"/>
  <c r="G1458" i="2"/>
  <c r="F1449" i="2" l="1"/>
  <c r="F1443" i="2"/>
  <c r="G1449" i="2"/>
  <c r="G1443" i="2"/>
  <c r="F1455" i="2"/>
  <c r="G1455" i="2"/>
  <c r="F1451" i="2"/>
  <c r="G1451" i="2"/>
  <c r="F1440" i="2"/>
  <c r="G1440" i="2"/>
  <c r="F1436" i="2" l="1"/>
  <c r="G1436" i="2"/>
  <c r="F1441" i="2"/>
  <c r="G1441" i="2"/>
  <c r="F1453" i="2"/>
  <c r="G1453" i="2"/>
  <c r="F1450" i="2"/>
  <c r="G1450" i="2"/>
  <c r="F1446" i="2"/>
  <c r="G1446" i="2"/>
  <c r="F1434" i="2"/>
  <c r="G1434" i="2"/>
  <c r="F1444" i="2"/>
  <c r="G1444" i="2"/>
  <c r="F1501" i="2"/>
  <c r="G1501" i="2"/>
  <c r="F1448" i="2"/>
  <c r="G1448" i="2"/>
  <c r="F1439" i="2"/>
  <c r="G1439" i="2"/>
  <c r="F1445" i="2"/>
  <c r="G1445" i="2"/>
  <c r="F1435" i="2"/>
  <c r="G1435" i="2"/>
  <c r="F1433" i="2"/>
  <c r="G1433" i="2"/>
  <c r="G1431" i="2"/>
  <c r="F1437" i="2"/>
  <c r="F1452" i="2"/>
  <c r="F1438" i="2"/>
  <c r="F1454" i="2"/>
  <c r="G1437" i="2"/>
  <c r="G1452" i="2"/>
  <c r="G1438" i="2"/>
  <c r="G1454" i="2"/>
  <c r="F1447" i="2"/>
  <c r="G1447" i="2"/>
  <c r="F1468" i="2"/>
  <c r="G1468" i="2"/>
  <c r="F1431" i="2" l="1"/>
  <c r="F1432" i="2"/>
  <c r="G1432" i="2"/>
  <c r="F1426" i="2"/>
  <c r="G1426" i="2"/>
  <c r="F1430" i="2"/>
  <c r="G1430" i="2"/>
  <c r="F1420" i="2"/>
  <c r="G1420" i="2"/>
  <c r="F1425" i="2"/>
  <c r="F1416" i="2"/>
  <c r="F1424" i="2"/>
  <c r="F1419" i="2"/>
  <c r="F1417" i="2"/>
  <c r="G1425" i="2"/>
  <c r="G1416" i="2"/>
  <c r="G1424" i="2"/>
  <c r="G1419" i="2"/>
  <c r="G1417" i="2"/>
  <c r="F1422" i="2"/>
  <c r="F1429" i="2"/>
  <c r="F1423" i="2"/>
  <c r="F1167" i="2"/>
  <c r="G1422" i="2"/>
  <c r="G1429" i="2"/>
  <c r="G1423" i="2"/>
  <c r="G1167" i="2"/>
  <c r="F1428" i="2" l="1"/>
  <c r="G1428" i="2"/>
  <c r="F1427" i="2" l="1"/>
  <c r="F1421" i="2"/>
  <c r="G1427" i="2"/>
  <c r="G1421" i="2"/>
  <c r="F1411" i="2" l="1"/>
  <c r="F1410" i="2"/>
  <c r="F1412" i="2"/>
  <c r="F1409" i="2"/>
  <c r="F1414" i="2"/>
  <c r="F1413" i="2"/>
  <c r="F1407" i="2"/>
  <c r="F1418" i="2"/>
  <c r="F1415" i="2"/>
  <c r="G1411" i="2"/>
  <c r="G1410" i="2"/>
  <c r="G1412" i="2"/>
  <c r="G1409" i="2"/>
  <c r="G1414" i="2"/>
  <c r="G1413" i="2"/>
  <c r="G1407" i="2"/>
  <c r="G1418" i="2"/>
  <c r="G1415" i="2"/>
  <c r="F1408" i="2"/>
  <c r="G1408" i="2"/>
  <c r="F1405" i="2" l="1"/>
  <c r="G1405" i="2"/>
  <c r="F1400" i="2"/>
  <c r="G1400" i="2"/>
  <c r="F1406" i="2"/>
  <c r="G1406" i="2"/>
  <c r="F1402" i="2"/>
  <c r="G1402" i="2"/>
  <c r="F1403" i="2"/>
  <c r="F1442" i="2"/>
  <c r="F1397" i="2"/>
  <c r="F1404" i="2"/>
  <c r="F1399" i="2"/>
  <c r="G1403" i="2"/>
  <c r="G1442" i="2"/>
  <c r="G1397" i="2"/>
  <c r="G1404" i="2"/>
  <c r="G1399" i="2"/>
  <c r="F1401" i="2"/>
  <c r="G1401" i="2"/>
  <c r="F1398" i="2"/>
  <c r="G1398" i="2"/>
  <c r="F1395" i="2" l="1"/>
  <c r="G1395" i="2"/>
  <c r="F1393" i="2"/>
  <c r="G1393" i="2"/>
  <c r="F1396" i="2"/>
  <c r="G1396" i="2"/>
  <c r="F1392" i="2"/>
  <c r="G1392" i="2"/>
  <c r="F1381" i="2" l="1"/>
  <c r="G1381" i="2"/>
  <c r="G1474" i="2"/>
  <c r="F1386" i="2"/>
  <c r="G1386" i="2"/>
  <c r="F1382" i="2"/>
  <c r="G1382" i="2"/>
  <c r="F1383" i="2"/>
  <c r="G1383" i="2"/>
  <c r="F1388" i="2"/>
  <c r="F1385" i="2"/>
  <c r="F1389" i="2"/>
  <c r="F1384" i="2"/>
  <c r="G1388" i="2"/>
  <c r="G1385" i="2"/>
  <c r="G1389" i="2"/>
  <c r="G1384" i="2"/>
  <c r="F1391" i="2"/>
  <c r="G1391" i="2"/>
  <c r="F1390" i="2"/>
  <c r="G1390" i="2"/>
  <c r="F1474" i="2" l="1"/>
  <c r="F1380" i="2"/>
  <c r="G1380" i="2"/>
  <c r="F1376" i="2" l="1"/>
  <c r="G1376" i="2"/>
  <c r="F1368" i="2"/>
  <c r="F1366" i="2"/>
  <c r="F1370" i="2"/>
  <c r="G1368" i="2"/>
  <c r="G1366" i="2"/>
  <c r="G1370" i="2"/>
  <c r="F1371" i="2"/>
  <c r="G1371" i="2"/>
  <c r="F1363" i="2"/>
  <c r="G1363" i="2"/>
  <c r="F1379" i="2"/>
  <c r="G1379" i="2"/>
  <c r="F1362" i="2" l="1"/>
  <c r="G1362" i="2"/>
  <c r="F1378" i="2"/>
  <c r="G1378" i="2"/>
  <c r="F1372" i="2"/>
  <c r="G1372" i="2"/>
  <c r="F1369" i="2"/>
  <c r="G1369" i="2"/>
  <c r="F1375" i="2"/>
  <c r="G1375" i="2"/>
  <c r="F1374" i="2"/>
  <c r="G1374" i="2"/>
  <c r="F1377" i="2"/>
  <c r="G1377" i="2"/>
  <c r="F1373" i="2"/>
  <c r="G1373" i="2"/>
  <c r="F1365" i="2"/>
  <c r="G1365" i="2"/>
  <c r="F1364" i="2"/>
  <c r="G1364" i="2"/>
  <c r="F1367" i="2"/>
  <c r="G1367" i="2"/>
  <c r="F1394" i="2" l="1"/>
  <c r="G1394" i="2"/>
  <c r="F1359" i="2"/>
  <c r="G1359" i="2"/>
  <c r="F1361" i="2"/>
  <c r="G1361" i="2"/>
  <c r="F1360" i="2"/>
  <c r="G1360" i="2"/>
  <c r="F1348" i="2" l="1"/>
  <c r="F1355" i="2"/>
  <c r="F1344" i="2"/>
  <c r="F1334" i="2"/>
  <c r="G1348" i="2"/>
  <c r="G1355" i="2"/>
  <c r="G1344" i="2"/>
  <c r="G1334" i="2"/>
  <c r="F1356" i="2"/>
  <c r="G1356" i="2"/>
  <c r="F1347" i="2"/>
  <c r="F1342" i="2"/>
  <c r="F1341" i="2"/>
  <c r="F1352" i="2"/>
  <c r="F1354" i="2"/>
  <c r="G1347" i="2"/>
  <c r="G1342" i="2"/>
  <c r="G1341" i="2"/>
  <c r="G1352" i="2"/>
  <c r="G1354" i="2"/>
  <c r="F1346" i="2"/>
  <c r="G1346" i="2"/>
  <c r="F1343" i="2"/>
  <c r="F1349" i="2"/>
  <c r="F1351" i="2"/>
  <c r="F1335" i="2"/>
  <c r="G1343" i="2"/>
  <c r="G1349" i="2"/>
  <c r="G1351" i="2"/>
  <c r="G1335" i="2"/>
  <c r="F1339" i="2"/>
  <c r="F1336" i="2"/>
  <c r="F1358" i="2"/>
  <c r="F1338" i="2"/>
  <c r="F1353" i="2"/>
  <c r="F1357" i="2"/>
  <c r="F1340" i="2"/>
  <c r="G1339" i="2"/>
  <c r="G1336" i="2"/>
  <c r="G1358" i="2"/>
  <c r="G1338" i="2"/>
  <c r="G1353" i="2"/>
  <c r="G1357" i="2"/>
  <c r="G1340" i="2"/>
  <c r="F1345" i="2"/>
  <c r="G1345" i="2"/>
  <c r="F1350" i="2"/>
  <c r="G1350" i="2"/>
  <c r="F1333" i="2" l="1"/>
  <c r="G1333" i="2"/>
  <c r="F1331" i="2" l="1"/>
  <c r="G1331" i="2"/>
  <c r="F1332" i="2"/>
  <c r="G1332" i="2"/>
  <c r="F1328" i="2" l="1"/>
  <c r="F1326" i="2"/>
  <c r="G1328" i="2"/>
  <c r="G1326" i="2"/>
  <c r="F1325" i="2"/>
  <c r="G1325" i="2"/>
  <c r="F1330" i="2"/>
  <c r="G1330" i="2"/>
  <c r="F1327" i="2"/>
  <c r="G1327" i="2"/>
  <c r="F1329" i="2"/>
  <c r="G1329" i="2"/>
  <c r="F1324" i="2" l="1"/>
  <c r="G1324" i="2"/>
  <c r="F1321" i="2"/>
  <c r="G1321" i="2"/>
  <c r="F1318" i="2"/>
  <c r="G1318" i="2"/>
  <c r="F1316" i="2"/>
  <c r="F1319" i="2"/>
  <c r="F1317" i="2"/>
  <c r="F1320" i="2"/>
  <c r="G1316" i="2"/>
  <c r="G1319" i="2"/>
  <c r="G1317" i="2"/>
  <c r="G1320" i="2"/>
  <c r="F1323" i="2"/>
  <c r="G1323" i="2"/>
  <c r="F1322" i="2"/>
  <c r="G1322" i="2"/>
  <c r="F1313" i="2" l="1"/>
  <c r="G1313" i="2"/>
  <c r="F1312" i="2"/>
  <c r="G1312" i="2"/>
  <c r="F1315" i="2"/>
  <c r="G1315" i="2"/>
  <c r="F1314" i="2" l="1"/>
  <c r="G1314" i="2"/>
  <c r="F1296" i="2"/>
  <c r="G1296" i="2"/>
  <c r="F1310" i="2"/>
  <c r="G1310" i="2"/>
  <c r="F1307" i="2"/>
  <c r="G1307" i="2"/>
  <c r="F1293" i="2" l="1"/>
  <c r="G1293" i="2"/>
  <c r="F1309" i="2"/>
  <c r="G1309" i="2"/>
  <c r="F1295" i="2"/>
  <c r="G1295" i="2"/>
  <c r="F1300" i="2"/>
  <c r="G1300" i="2"/>
  <c r="F1306" i="2" l="1"/>
  <c r="G1306" i="2"/>
  <c r="F1305" i="2"/>
  <c r="G1305" i="2"/>
  <c r="F1304" i="2"/>
  <c r="G1304" i="2"/>
  <c r="F1301" i="2"/>
  <c r="G1301" i="2"/>
  <c r="F1311" i="2"/>
  <c r="G1311" i="2"/>
  <c r="F1298" i="2"/>
  <c r="G1298" i="2"/>
  <c r="F1302" i="2"/>
  <c r="G1302" i="2"/>
  <c r="F1299" i="2"/>
  <c r="G1299" i="2"/>
  <c r="F1303" i="2"/>
  <c r="G1303" i="2"/>
  <c r="F1297" i="2"/>
  <c r="G1297" i="2"/>
  <c r="F1308" i="2"/>
  <c r="G1308" i="2"/>
  <c r="F1294" i="2"/>
  <c r="G1294" i="2"/>
  <c r="F1285" i="2" l="1"/>
  <c r="F1288" i="2"/>
  <c r="G1285" i="2"/>
  <c r="G1288" i="2"/>
  <c r="F1290" i="2"/>
  <c r="G1290" i="2"/>
  <c r="F1287" i="2"/>
  <c r="G1287" i="2"/>
  <c r="F1289" i="2"/>
  <c r="G1289" i="2"/>
  <c r="F1292" i="2"/>
  <c r="G1292" i="2"/>
  <c r="F1291" i="2"/>
  <c r="G1291" i="2"/>
  <c r="F1286" i="2"/>
  <c r="G1286" i="2"/>
  <c r="F1284" i="2" l="1"/>
  <c r="G1284" i="2"/>
  <c r="F1283" i="2" l="1"/>
  <c r="G1283" i="2"/>
  <c r="G3" i="2" l="1"/>
  <c r="G2" i="2"/>
  <c r="G4" i="2"/>
  <c r="G5" i="2"/>
  <c r="G6" i="2"/>
  <c r="G9" i="2"/>
  <c r="G8" i="2"/>
  <c r="G7" i="2"/>
  <c r="G10" i="2"/>
  <c r="G16" i="2"/>
  <c r="G14" i="2"/>
  <c r="G15" i="2"/>
  <c r="G13" i="2"/>
  <c r="G11" i="2"/>
  <c r="G12" i="2"/>
  <c r="G19" i="2"/>
  <c r="G21" i="2"/>
  <c r="G18" i="2"/>
  <c r="G17" i="2"/>
  <c r="G23" i="2"/>
  <c r="G20" i="2"/>
  <c r="G22" i="2"/>
  <c r="G24" i="2"/>
  <c r="G25" i="2"/>
  <c r="G34" i="2"/>
  <c r="G30" i="2"/>
  <c r="G29" i="2"/>
  <c r="G27" i="2"/>
  <c r="G28" i="2"/>
  <c r="G32" i="2"/>
  <c r="G26" i="2"/>
  <c r="G31" i="2"/>
  <c r="G33" i="2"/>
  <c r="G35" i="2"/>
  <c r="G47" i="2"/>
  <c r="G37" i="2"/>
  <c r="G40" i="2"/>
  <c r="G38" i="2"/>
  <c r="G53" i="2"/>
  <c r="G54" i="2"/>
  <c r="G55" i="2"/>
  <c r="G50" i="2"/>
  <c r="G42" i="2"/>
  <c r="G44" i="2"/>
  <c r="G51" i="2"/>
  <c r="G49" i="2"/>
  <c r="G45" i="2"/>
  <c r="G36" i="2"/>
  <c r="G41" i="2"/>
  <c r="G46" i="2"/>
  <c r="G39" i="2"/>
  <c r="G52" i="2"/>
  <c r="G48" i="2"/>
  <c r="G43" i="2"/>
  <c r="G58" i="2"/>
  <c r="G57" i="2"/>
  <c r="G56" i="2"/>
  <c r="G59" i="2"/>
  <c r="G61" i="2"/>
  <c r="G60" i="2"/>
  <c r="G63" i="2"/>
  <c r="G62" i="2"/>
  <c r="G64" i="2"/>
  <c r="G68" i="2"/>
  <c r="G70" i="2"/>
  <c r="G71" i="2"/>
  <c r="G66" i="2"/>
  <c r="G65" i="2"/>
  <c r="G69" i="2"/>
  <c r="G67" i="2"/>
  <c r="G73" i="2"/>
  <c r="G74" i="2"/>
  <c r="G76" i="2"/>
  <c r="G72" i="2"/>
  <c r="G75" i="2"/>
  <c r="G85" i="2"/>
  <c r="G87" i="2"/>
  <c r="G88" i="2"/>
  <c r="G83" i="2"/>
  <c r="G84" i="2"/>
  <c r="G79" i="2"/>
  <c r="G78" i="2"/>
  <c r="G80" i="2"/>
  <c r="G86" i="2"/>
  <c r="G77" i="2"/>
  <c r="G82" i="2"/>
  <c r="G81" i="2"/>
  <c r="G94" i="2"/>
  <c r="G92" i="2"/>
  <c r="G90" i="2"/>
  <c r="G93" i="2"/>
  <c r="G89" i="2"/>
  <c r="G95" i="2"/>
  <c r="G91" i="2"/>
  <c r="G96" i="2"/>
  <c r="G97" i="2"/>
  <c r="G104" i="2"/>
  <c r="G113" i="2"/>
  <c r="G112" i="2"/>
  <c r="G123" i="2"/>
  <c r="G108" i="2"/>
  <c r="G124" i="2"/>
  <c r="G125" i="2"/>
  <c r="G110" i="2"/>
  <c r="G121" i="2"/>
  <c r="G98" i="2"/>
  <c r="G101" i="2"/>
  <c r="G114" i="2"/>
  <c r="G120" i="2"/>
  <c r="G109" i="2"/>
  <c r="G103" i="2"/>
  <c r="G111" i="2"/>
  <c r="G115" i="2"/>
  <c r="G102" i="2"/>
  <c r="G119" i="2"/>
  <c r="G100" i="2"/>
  <c r="G117" i="2"/>
  <c r="G106" i="2"/>
  <c r="G128" i="2"/>
  <c r="G127" i="2"/>
  <c r="G129" i="2"/>
  <c r="G130" i="2"/>
  <c r="G139" i="2"/>
  <c r="G142" i="2"/>
  <c r="G141" i="2"/>
  <c r="G138" i="2"/>
  <c r="G144" i="2"/>
  <c r="G136" i="2"/>
  <c r="G131" i="2"/>
  <c r="G134" i="2"/>
  <c r="G145" i="2"/>
  <c r="G133" i="2"/>
  <c r="G132" i="2"/>
  <c r="G137" i="2"/>
  <c r="G143" i="2"/>
  <c r="G150" i="2"/>
  <c r="G151" i="2"/>
  <c r="G152" i="2"/>
  <c r="G153" i="2"/>
  <c r="G154" i="2"/>
  <c r="G163" i="2"/>
  <c r="G165" i="2"/>
  <c r="G172" i="2"/>
  <c r="G167" i="2"/>
  <c r="G164" i="2"/>
  <c r="G170" i="2"/>
  <c r="G160" i="2"/>
  <c r="G158" i="2"/>
  <c r="G157" i="2"/>
  <c r="G155" i="2"/>
  <c r="G159" i="2"/>
  <c r="G174" i="2"/>
  <c r="G169" i="2"/>
  <c r="G166" i="2"/>
  <c r="G162" i="2"/>
  <c r="G156" i="2"/>
  <c r="G168" i="2"/>
  <c r="G175" i="2"/>
  <c r="G171" i="2"/>
  <c r="G173" i="2"/>
  <c r="G178" i="2"/>
  <c r="G176" i="2"/>
  <c r="G182" i="2"/>
  <c r="G181" i="2"/>
  <c r="G177" i="2"/>
  <c r="G179" i="2"/>
  <c r="G180" i="2"/>
  <c r="G184" i="2"/>
  <c r="G188" i="2"/>
  <c r="G185" i="2"/>
  <c r="G183" i="2"/>
  <c r="G186" i="2"/>
  <c r="G190" i="2"/>
  <c r="G196" i="2"/>
  <c r="G194" i="2"/>
  <c r="G191" i="2"/>
  <c r="G193" i="2"/>
  <c r="G192" i="2"/>
  <c r="G189" i="2"/>
  <c r="G197" i="2"/>
  <c r="G198" i="2"/>
  <c r="G199" i="2"/>
  <c r="G200" i="2"/>
  <c r="G201" i="2"/>
  <c r="G203" i="2"/>
  <c r="G207" i="2"/>
  <c r="G204" i="2"/>
  <c r="G205" i="2"/>
  <c r="G206" i="2"/>
  <c r="G208" i="2"/>
  <c r="G210" i="2"/>
  <c r="G216" i="2"/>
  <c r="G209" i="2"/>
  <c r="G211" i="2"/>
  <c r="G215" i="2"/>
  <c r="G212" i="2"/>
  <c r="G214" i="2"/>
  <c r="G213" i="2"/>
  <c r="G224" i="2"/>
  <c r="G218" i="2"/>
  <c r="G225" i="2"/>
  <c r="G235" i="2"/>
  <c r="G219" i="2"/>
  <c r="G222" i="2"/>
  <c r="G229" i="2"/>
  <c r="G233" i="2"/>
  <c r="G223" i="2"/>
  <c r="G221" i="2"/>
  <c r="G232" i="2"/>
  <c r="G231" i="2"/>
  <c r="G217" i="2"/>
  <c r="G220" i="2"/>
  <c r="G227" i="2"/>
  <c r="G237" i="2"/>
  <c r="G238" i="2"/>
  <c r="G239" i="2"/>
  <c r="G240" i="2"/>
  <c r="G242" i="2"/>
  <c r="G243" i="2"/>
  <c r="G244" i="2"/>
  <c r="G245" i="2"/>
  <c r="G250" i="2"/>
  <c r="G246" i="2"/>
  <c r="G252" i="2"/>
  <c r="G251" i="2"/>
  <c r="G253" i="2"/>
  <c r="G247" i="2"/>
  <c r="G249" i="2"/>
  <c r="G254" i="2"/>
  <c r="G257" i="2"/>
  <c r="G256" i="2"/>
  <c r="G255" i="2"/>
  <c r="G263" i="2"/>
  <c r="G259" i="2"/>
  <c r="G260" i="2"/>
  <c r="G258" i="2"/>
  <c r="G262" i="2"/>
  <c r="G267" i="2"/>
  <c r="G264" i="2"/>
  <c r="G268" i="2"/>
  <c r="G266" i="2"/>
  <c r="G265" i="2"/>
  <c r="G275" i="2"/>
  <c r="G269" i="2"/>
  <c r="G278" i="2"/>
  <c r="G273" i="2"/>
  <c r="G270" i="2"/>
  <c r="G272" i="2"/>
  <c r="G271" i="2"/>
  <c r="G279" i="2"/>
  <c r="G274" i="2"/>
  <c r="G276" i="2"/>
  <c r="G277" i="2"/>
  <c r="G280" i="2"/>
  <c r="G284" i="2"/>
  <c r="G294" i="2"/>
  <c r="G300" i="2"/>
  <c r="G304" i="2"/>
  <c r="G307" i="2"/>
  <c r="G281" i="2"/>
  <c r="G296" i="2"/>
  <c r="G299" i="2"/>
  <c r="G308" i="2"/>
  <c r="G292" i="2"/>
  <c r="G291" i="2"/>
  <c r="G298" i="2"/>
  <c r="G287" i="2"/>
  <c r="G297" i="2"/>
  <c r="G305" i="2"/>
  <c r="G303" i="2"/>
  <c r="G282" i="2"/>
  <c r="G301" i="2"/>
  <c r="G285" i="2"/>
  <c r="G286" i="2"/>
  <c r="G290" i="2"/>
  <c r="G310" i="2"/>
  <c r="G311" i="2"/>
  <c r="G317" i="2"/>
  <c r="G321" i="2"/>
  <c r="G322" i="2"/>
  <c r="G316" i="2"/>
  <c r="G326" i="2"/>
  <c r="G323" i="2"/>
  <c r="G315" i="2"/>
  <c r="G313" i="2"/>
  <c r="G320" i="2"/>
  <c r="G327" i="2"/>
  <c r="G328" i="2"/>
  <c r="G334" i="2"/>
  <c r="G332" i="2"/>
  <c r="G335" i="2"/>
  <c r="G331" i="2"/>
  <c r="G333" i="2"/>
  <c r="G336" i="2"/>
  <c r="G350" i="2"/>
  <c r="G356" i="2"/>
  <c r="G353" i="2"/>
  <c r="G349" i="2"/>
  <c r="G343" i="2"/>
  <c r="G340" i="2"/>
  <c r="G344" i="2"/>
  <c r="G338" i="2"/>
  <c r="G348" i="2"/>
  <c r="G352" i="2"/>
  <c r="G337" i="2"/>
  <c r="G345" i="2"/>
  <c r="G354" i="2"/>
  <c r="G351" i="2"/>
  <c r="G367" i="2"/>
  <c r="G372" i="2"/>
  <c r="G365" i="2"/>
  <c r="G362" i="2"/>
  <c r="G359" i="2"/>
  <c r="G375" i="2"/>
  <c r="G369" i="2"/>
  <c r="G371" i="2"/>
  <c r="G361" i="2"/>
  <c r="G380" i="2"/>
  <c r="G368" i="2"/>
  <c r="G358" i="2"/>
  <c r="G373" i="2"/>
  <c r="G381" i="2"/>
  <c r="G363" i="2"/>
  <c r="G364" i="2"/>
  <c r="G376" i="2"/>
  <c r="G360" i="2"/>
  <c r="G377" i="2"/>
  <c r="G366" i="2"/>
  <c r="G383" i="2"/>
  <c r="G386" i="2"/>
  <c r="G388" i="2"/>
  <c r="G385" i="2"/>
  <c r="G384" i="2"/>
  <c r="G387" i="2"/>
  <c r="G395" i="2"/>
  <c r="G394" i="2"/>
  <c r="G397" i="2"/>
  <c r="G392" i="2"/>
  <c r="G396" i="2"/>
  <c r="G391" i="2"/>
  <c r="G393" i="2"/>
  <c r="G389" i="2"/>
  <c r="G390" i="2"/>
  <c r="G404" i="2"/>
  <c r="G407" i="2"/>
  <c r="G402" i="2"/>
  <c r="G408" i="2"/>
  <c r="G401" i="2"/>
  <c r="G398" i="2"/>
  <c r="G409" i="2"/>
  <c r="G400" i="2"/>
  <c r="G403" i="2"/>
  <c r="G405" i="2"/>
  <c r="G399" i="2"/>
  <c r="G406" i="2"/>
  <c r="G416" i="2"/>
  <c r="G411" i="2"/>
  <c r="G410" i="2"/>
  <c r="G413" i="2"/>
  <c r="G414" i="2"/>
  <c r="G412" i="2"/>
  <c r="G415" i="2"/>
  <c r="G417" i="2"/>
  <c r="G425" i="2"/>
  <c r="G419" i="2"/>
  <c r="G418" i="2"/>
  <c r="G423" i="2"/>
  <c r="G427" i="2"/>
  <c r="G424" i="2"/>
  <c r="G422" i="2"/>
  <c r="G421" i="2"/>
  <c r="G426" i="2"/>
  <c r="G428" i="2"/>
  <c r="G429" i="2"/>
  <c r="G432" i="2"/>
  <c r="G440" i="2"/>
  <c r="G436" i="2"/>
  <c r="G445" i="2"/>
  <c r="G437" i="2"/>
  <c r="G442" i="2"/>
  <c r="G444" i="2"/>
  <c r="G430" i="2"/>
  <c r="G443" i="2"/>
  <c r="G438" i="2"/>
  <c r="G431" i="2"/>
  <c r="G435" i="2"/>
  <c r="G433" i="2"/>
  <c r="G441" i="2"/>
  <c r="G439" i="2"/>
  <c r="G434" i="2"/>
  <c r="G446" i="2"/>
  <c r="G449" i="2"/>
  <c r="G450" i="2"/>
  <c r="G448" i="2"/>
  <c r="G451" i="2"/>
  <c r="G452" i="2"/>
  <c r="G453" i="2"/>
  <c r="G455" i="2"/>
  <c r="G454" i="2"/>
  <c r="G456" i="2"/>
  <c r="G457" i="2"/>
  <c r="G459" i="2"/>
  <c r="G458" i="2"/>
  <c r="G472" i="2"/>
  <c r="G471" i="2"/>
  <c r="G470" i="2"/>
  <c r="G464" i="2"/>
  <c r="G463" i="2"/>
  <c r="G462" i="2"/>
  <c r="G466" i="2"/>
  <c r="G465" i="2"/>
  <c r="G467" i="2"/>
  <c r="G469" i="2"/>
  <c r="G473" i="2"/>
  <c r="G476" i="2"/>
  <c r="G474" i="2"/>
  <c r="G475" i="2"/>
  <c r="G478" i="2"/>
  <c r="G477" i="2"/>
  <c r="G480" i="2"/>
  <c r="G479" i="2"/>
  <c r="G488" i="2"/>
  <c r="G482" i="2"/>
  <c r="G486" i="2"/>
  <c r="G481" i="2"/>
  <c r="G485" i="2"/>
  <c r="G487" i="2"/>
  <c r="G483" i="2"/>
  <c r="G484" i="2"/>
  <c r="G490" i="2"/>
  <c r="G492" i="2"/>
  <c r="G493" i="2"/>
  <c r="G491" i="2"/>
  <c r="G496" i="2"/>
  <c r="G497" i="2"/>
  <c r="G495" i="2"/>
  <c r="G498" i="2"/>
  <c r="G499" i="2"/>
  <c r="G501" i="2"/>
  <c r="G500" i="2"/>
  <c r="G503" i="2"/>
  <c r="G502" i="2"/>
  <c r="G504" i="2"/>
  <c r="G505" i="2"/>
  <c r="G506" i="2"/>
  <c r="G507" i="2"/>
  <c r="G508" i="2"/>
  <c r="G509" i="2"/>
  <c r="G512" i="2"/>
  <c r="G510" i="2"/>
  <c r="G511" i="2"/>
  <c r="G513" i="2"/>
  <c r="G514" i="2"/>
  <c r="G515" i="2"/>
  <c r="G517" i="2"/>
  <c r="G523" i="2"/>
  <c r="G520" i="2"/>
  <c r="G516" i="2"/>
  <c r="G519" i="2"/>
  <c r="G524" i="2"/>
  <c r="G518" i="2"/>
  <c r="G521" i="2"/>
  <c r="G522" i="2"/>
  <c r="G525" i="2"/>
  <c r="G531" i="2"/>
  <c r="G530" i="2"/>
  <c r="G529" i="2"/>
  <c r="G527" i="2"/>
  <c r="G526" i="2"/>
  <c r="G528" i="2"/>
  <c r="G532" i="2"/>
  <c r="G533" i="2"/>
  <c r="G534" i="2"/>
  <c r="G535" i="2"/>
  <c r="G536" i="2"/>
  <c r="G537" i="2"/>
  <c r="G539" i="2"/>
  <c r="G540" i="2"/>
  <c r="G538" i="2"/>
  <c r="G542" i="2"/>
  <c r="G541" i="2"/>
  <c r="G543" i="2"/>
  <c r="G544" i="2"/>
  <c r="G545" i="2"/>
  <c r="G546" i="2"/>
  <c r="G547" i="2"/>
  <c r="G549" i="2"/>
  <c r="G548" i="2"/>
  <c r="G550" i="2"/>
  <c r="G551" i="2"/>
  <c r="G556" i="2"/>
  <c r="G555" i="2"/>
  <c r="G553" i="2"/>
  <c r="G554" i="2"/>
  <c r="G559" i="2"/>
  <c r="G558" i="2"/>
  <c r="G557" i="2"/>
  <c r="G561" i="2"/>
  <c r="G563" i="2"/>
  <c r="G564" i="2"/>
  <c r="G560" i="2"/>
  <c r="G566" i="2"/>
  <c r="G565" i="2"/>
  <c r="G569" i="2"/>
  <c r="G571" i="2"/>
  <c r="G570" i="2"/>
  <c r="G572" i="2"/>
  <c r="G573" i="2"/>
  <c r="G575" i="2"/>
  <c r="G574" i="2"/>
  <c r="G576" i="2"/>
  <c r="G577" i="2"/>
  <c r="G578" i="2"/>
  <c r="G579" i="2"/>
  <c r="G584" i="2"/>
  <c r="G580" i="2"/>
  <c r="G582" i="2"/>
  <c r="G583" i="2"/>
  <c r="G581" i="2"/>
  <c r="G587" i="2"/>
  <c r="G588" i="2"/>
  <c r="G586" i="2"/>
  <c r="G590" i="2"/>
  <c r="G591" i="2"/>
  <c r="G593" i="2"/>
  <c r="G592" i="2"/>
  <c r="G589" i="2"/>
  <c r="G597" i="2"/>
  <c r="G594" i="2"/>
  <c r="G602" i="2"/>
  <c r="G596" i="2"/>
  <c r="G599" i="2"/>
  <c r="G595" i="2"/>
  <c r="G601" i="2"/>
  <c r="G615" i="2"/>
  <c r="G613" i="2"/>
  <c r="G603" i="2"/>
  <c r="G608" i="2"/>
  <c r="G609" i="2"/>
  <c r="G611" i="2"/>
  <c r="G604" i="2"/>
  <c r="G610" i="2"/>
  <c r="G614" i="2"/>
  <c r="G606" i="2"/>
  <c r="G612" i="2"/>
  <c r="G607" i="2"/>
  <c r="G605" i="2"/>
  <c r="G619" i="2"/>
  <c r="G622" i="2"/>
  <c r="G621" i="2"/>
  <c r="G630" i="2"/>
  <c r="G618" i="2"/>
  <c r="G628" i="2"/>
  <c r="G627" i="2"/>
  <c r="G625" i="2"/>
  <c r="G616" i="2"/>
  <c r="G626" i="2"/>
  <c r="G629" i="2"/>
  <c r="G620" i="2"/>
  <c r="G631" i="2"/>
  <c r="G617" i="2"/>
  <c r="G624" i="2"/>
  <c r="G623" i="2"/>
  <c r="G637" i="2"/>
  <c r="G636" i="2"/>
  <c r="G634" i="2"/>
  <c r="G635" i="2"/>
  <c r="G639" i="2"/>
  <c r="G638" i="2"/>
  <c r="G633" i="2"/>
  <c r="G632" i="2"/>
  <c r="G643" i="2"/>
  <c r="G644" i="2"/>
  <c r="G642" i="2"/>
  <c r="G640" i="2"/>
  <c r="G641" i="2"/>
  <c r="G651" i="2"/>
  <c r="G657" i="2"/>
  <c r="G659" i="2"/>
  <c r="G654" i="2"/>
  <c r="G649" i="2"/>
  <c r="G647" i="2"/>
  <c r="G650" i="2"/>
  <c r="G648" i="2"/>
  <c r="G645" i="2"/>
  <c r="G658" i="2"/>
  <c r="G646" i="2"/>
  <c r="G655" i="2"/>
  <c r="G662" i="2"/>
  <c r="G656" i="2"/>
  <c r="G652" i="2"/>
  <c r="G653" i="2"/>
  <c r="G660" i="2"/>
  <c r="G663" i="2"/>
  <c r="G665" i="2"/>
  <c r="G664" i="2"/>
  <c r="G666" i="2"/>
  <c r="G672" i="2"/>
  <c r="G673" i="2"/>
  <c r="G670" i="2"/>
  <c r="G668" i="2"/>
  <c r="G671" i="2"/>
  <c r="G667" i="2"/>
  <c r="G669" i="2"/>
  <c r="G680" i="2"/>
  <c r="G679" i="2"/>
  <c r="G677" i="2"/>
  <c r="G678" i="2"/>
  <c r="G675" i="2"/>
  <c r="G686" i="2"/>
  <c r="G689" i="2"/>
  <c r="G681" i="2"/>
  <c r="G688" i="2"/>
  <c r="G683" i="2"/>
  <c r="G682" i="2"/>
  <c r="G684" i="2"/>
  <c r="G687" i="2"/>
  <c r="G685" i="2"/>
  <c r="G690" i="2"/>
  <c r="G691" i="2"/>
  <c r="G696" i="2"/>
  <c r="G694" i="2"/>
  <c r="G693" i="2"/>
  <c r="G692" i="2"/>
  <c r="G698" i="2"/>
  <c r="G695" i="2"/>
  <c r="G703" i="2"/>
  <c r="G699" i="2"/>
  <c r="G700" i="2"/>
  <c r="G702" i="2"/>
  <c r="G706" i="2"/>
  <c r="G705" i="2"/>
  <c r="G709" i="2"/>
  <c r="G707" i="2"/>
  <c r="G704" i="2"/>
  <c r="G708" i="2"/>
  <c r="G715" i="2"/>
  <c r="G710" i="2"/>
  <c r="G712" i="2"/>
  <c r="G711" i="2"/>
  <c r="G714" i="2"/>
  <c r="G719" i="2"/>
  <c r="G721" i="2"/>
  <c r="G716" i="2"/>
  <c r="G723" i="2"/>
  <c r="G720" i="2"/>
  <c r="G722" i="2"/>
  <c r="G718" i="2"/>
  <c r="G717" i="2"/>
  <c r="G733" i="2"/>
  <c r="G738" i="2"/>
  <c r="G731" i="2"/>
  <c r="G736" i="2"/>
  <c r="G724" i="2"/>
  <c r="G732" i="2"/>
  <c r="G735" i="2"/>
  <c r="G730" i="2"/>
  <c r="G737" i="2"/>
  <c r="G727" i="2"/>
  <c r="G726" i="2"/>
  <c r="G734" i="2"/>
  <c r="G729" i="2"/>
  <c r="G741" i="2"/>
  <c r="G739" i="2"/>
  <c r="G740" i="2"/>
  <c r="G748" i="2"/>
  <c r="G750" i="2"/>
  <c r="G746" i="2"/>
  <c r="G745" i="2"/>
  <c r="G747" i="2"/>
  <c r="G744" i="2"/>
  <c r="G749" i="2"/>
  <c r="G743" i="2"/>
  <c r="G752" i="2"/>
  <c r="G753" i="2"/>
  <c r="G751" i="2"/>
  <c r="G754" i="2"/>
  <c r="G757" i="2"/>
  <c r="G756" i="2"/>
  <c r="G778" i="2"/>
  <c r="G789" i="2"/>
  <c r="G771" i="2"/>
  <c r="G768" i="2"/>
  <c r="G788" i="2"/>
  <c r="G762" i="2"/>
  <c r="G766" i="2"/>
  <c r="G759" i="2"/>
  <c r="G782" i="2"/>
  <c r="G784" i="2"/>
  <c r="G761" i="2"/>
  <c r="G780" i="2"/>
  <c r="G779" i="2"/>
  <c r="G774" i="2"/>
  <c r="G777" i="2"/>
  <c r="G767" i="2"/>
  <c r="G773" i="2"/>
  <c r="G781" i="2"/>
  <c r="G758" i="2"/>
  <c r="G760" i="2"/>
  <c r="G770" i="2"/>
  <c r="G769" i="2"/>
  <c r="G765" i="2"/>
  <c r="G786" i="2"/>
  <c r="G783" i="2"/>
  <c r="G772" i="2"/>
  <c r="G763" i="2"/>
  <c r="G775" i="2"/>
  <c r="G787" i="2"/>
  <c r="G790" i="2"/>
  <c r="G791" i="2"/>
  <c r="G801" i="2"/>
  <c r="G795" i="2"/>
  <c r="G794" i="2"/>
  <c r="G793" i="2"/>
  <c r="G799" i="2"/>
  <c r="G804" i="2"/>
  <c r="G798" i="2"/>
  <c r="G802" i="2"/>
  <c r="G797" i="2"/>
  <c r="G796" i="2"/>
  <c r="G806" i="2"/>
  <c r="G807" i="2"/>
  <c r="G808" i="2"/>
  <c r="G805" i="2"/>
  <c r="G809" i="2"/>
  <c r="G816" i="2"/>
  <c r="G810" i="2"/>
  <c r="G812" i="2"/>
  <c r="G815" i="2"/>
  <c r="G814" i="2"/>
  <c r="G813" i="2"/>
  <c r="G811" i="2"/>
  <c r="G818" i="2"/>
  <c r="G817" i="2"/>
  <c r="G820" i="2"/>
  <c r="G819" i="2"/>
  <c r="G823" i="2"/>
  <c r="G822" i="2"/>
  <c r="G824" i="2"/>
  <c r="G821" i="2"/>
  <c r="G834" i="2"/>
  <c r="G827" i="2"/>
  <c r="G833" i="2"/>
  <c r="G825" i="2"/>
  <c r="G832" i="2"/>
  <c r="G831" i="2"/>
  <c r="G830" i="2"/>
  <c r="G829" i="2"/>
  <c r="G835" i="2"/>
  <c r="G828" i="2"/>
  <c r="G836" i="2"/>
  <c r="G838" i="2"/>
  <c r="G840" i="2"/>
  <c r="G837" i="2"/>
  <c r="G842" i="2"/>
  <c r="G841" i="2"/>
  <c r="G839" i="2"/>
  <c r="G843" i="2"/>
  <c r="G844" i="2"/>
  <c r="G845" i="2"/>
  <c r="G851" i="2"/>
  <c r="G850" i="2"/>
  <c r="G852" i="2"/>
  <c r="G847" i="2"/>
  <c r="G849" i="2"/>
  <c r="G848" i="2"/>
  <c r="G846" i="2"/>
  <c r="G855" i="2"/>
  <c r="G854" i="2"/>
  <c r="G856" i="2"/>
  <c r="G853" i="2"/>
  <c r="G857" i="2"/>
  <c r="G859" i="2"/>
  <c r="G858" i="2"/>
  <c r="G862" i="2"/>
  <c r="G861" i="2"/>
  <c r="G860" i="2"/>
  <c r="G864" i="2"/>
  <c r="G867" i="2"/>
  <c r="G863" i="2"/>
  <c r="G866" i="2"/>
  <c r="G865" i="2"/>
  <c r="G868" i="2"/>
  <c r="G869" i="2"/>
  <c r="G876" i="2"/>
  <c r="G878" i="2"/>
  <c r="G877" i="2"/>
  <c r="G879" i="2"/>
  <c r="G872" i="2"/>
  <c r="G874" i="2"/>
  <c r="G873" i="2"/>
  <c r="G870" i="2"/>
  <c r="G871" i="2"/>
  <c r="G875" i="2"/>
  <c r="G883" i="2"/>
  <c r="G881" i="2"/>
  <c r="G887" i="2"/>
  <c r="G886" i="2"/>
  <c r="G885" i="2"/>
  <c r="G880" i="2"/>
  <c r="G884" i="2"/>
  <c r="G895" i="2"/>
  <c r="G894" i="2"/>
  <c r="G890" i="2"/>
  <c r="G891" i="2"/>
  <c r="G893" i="2"/>
  <c r="G889" i="2"/>
  <c r="G888" i="2"/>
  <c r="G892" i="2"/>
  <c r="G896" i="2"/>
  <c r="G897" i="2"/>
  <c r="G898" i="2"/>
  <c r="G900" i="2"/>
  <c r="G899" i="2"/>
  <c r="G903" i="2"/>
  <c r="G909" i="2"/>
  <c r="G902" i="2"/>
  <c r="G904" i="2"/>
  <c r="G907" i="2"/>
  <c r="G906" i="2"/>
  <c r="G908" i="2"/>
  <c r="G905" i="2"/>
  <c r="G901" i="2"/>
  <c r="G914" i="2"/>
  <c r="G912" i="2"/>
  <c r="G916" i="2"/>
  <c r="G919" i="2"/>
  <c r="G920" i="2"/>
  <c r="G922" i="2"/>
  <c r="G923" i="2"/>
  <c r="G924" i="2"/>
  <c r="G925" i="2"/>
  <c r="G918" i="2"/>
  <c r="G915" i="2"/>
  <c r="G921" i="2"/>
  <c r="G917" i="2"/>
  <c r="G931" i="2"/>
  <c r="G928" i="2"/>
  <c r="G932" i="2"/>
  <c r="G927" i="2"/>
  <c r="G935" i="2"/>
  <c r="G933" i="2"/>
  <c r="G934" i="2"/>
  <c r="G938" i="2"/>
  <c r="G939" i="2"/>
  <c r="G937" i="2"/>
  <c r="G941" i="2"/>
  <c r="G942" i="2"/>
  <c r="G944" i="2"/>
  <c r="G940" i="2"/>
  <c r="G948" i="2"/>
  <c r="G946" i="2"/>
  <c r="G947" i="2"/>
  <c r="G943" i="2"/>
  <c r="G949" i="2"/>
  <c r="G945" i="2"/>
  <c r="G954" i="2"/>
  <c r="G953" i="2"/>
  <c r="G952" i="2"/>
  <c r="G950" i="2"/>
  <c r="G951" i="2"/>
  <c r="G959" i="2"/>
  <c r="G958" i="2"/>
  <c r="G960" i="2"/>
  <c r="G961" i="2"/>
  <c r="G955" i="2"/>
  <c r="G957" i="2"/>
  <c r="G956" i="2"/>
  <c r="G971" i="2"/>
  <c r="G964" i="2"/>
  <c r="G967" i="2"/>
  <c r="G966" i="2"/>
  <c r="G965" i="2"/>
  <c r="G963" i="2"/>
  <c r="G962" i="2"/>
  <c r="G973" i="2"/>
  <c r="G972" i="2"/>
  <c r="G970" i="2"/>
  <c r="G968" i="2"/>
  <c r="G976" i="2"/>
  <c r="G998" i="2"/>
  <c r="G988" i="2"/>
  <c r="G990" i="2"/>
  <c r="G991" i="2"/>
  <c r="G975" i="2"/>
  <c r="G996" i="2"/>
  <c r="G984" i="2"/>
  <c r="G986" i="2"/>
  <c r="G989" i="2"/>
  <c r="G985" i="2"/>
  <c r="G992" i="2"/>
  <c r="G981" i="2"/>
  <c r="G980" i="2"/>
  <c r="G977" i="2"/>
  <c r="G974" i="2"/>
  <c r="G978" i="2"/>
  <c r="G979" i="2"/>
  <c r="G993" i="2"/>
  <c r="G983" i="2"/>
  <c r="G1001" i="2"/>
  <c r="G1000" i="2"/>
  <c r="G999" i="2"/>
  <c r="G1002" i="2"/>
  <c r="G1004" i="2"/>
  <c r="G1006" i="2"/>
  <c r="G1009" i="2"/>
  <c r="G1008" i="2"/>
  <c r="G1007" i="2"/>
  <c r="G1010" i="2"/>
  <c r="G1005" i="2"/>
  <c r="G1015" i="2"/>
  <c r="G1014" i="2"/>
  <c r="G1016" i="2"/>
  <c r="G1012" i="2"/>
  <c r="G1013" i="2"/>
  <c r="G1011" i="2"/>
  <c r="G1021" i="2"/>
  <c r="G1017" i="2"/>
  <c r="G1025" i="2"/>
  <c r="G1022" i="2"/>
  <c r="G1027" i="2"/>
  <c r="G1024" i="2"/>
  <c r="G1029" i="2"/>
  <c r="G1030" i="2"/>
  <c r="G1020" i="2"/>
  <c r="G1018" i="2"/>
  <c r="G1023" i="2"/>
  <c r="G1019" i="2"/>
  <c r="G1028" i="2"/>
  <c r="G1026" i="2"/>
  <c r="G1031" i="2"/>
  <c r="G1035" i="2"/>
  <c r="G1034" i="2"/>
  <c r="G1032" i="2"/>
  <c r="G1038" i="2"/>
  <c r="G1037" i="2"/>
  <c r="G1040" i="2"/>
  <c r="G1050" i="2"/>
  <c r="G1047" i="2"/>
  <c r="G1043" i="2"/>
  <c r="G1052" i="2"/>
  <c r="G1042" i="2"/>
  <c r="G1039" i="2"/>
  <c r="G1049" i="2"/>
  <c r="G1046" i="2"/>
  <c r="G1041" i="2"/>
  <c r="G1044" i="2"/>
  <c r="G1051" i="2"/>
  <c r="G1048" i="2"/>
  <c r="G1056" i="2"/>
  <c r="G1054" i="2"/>
  <c r="G1055" i="2"/>
  <c r="G1053" i="2"/>
  <c r="G1057" i="2"/>
  <c r="G1060" i="2"/>
  <c r="G1061" i="2"/>
  <c r="G1059" i="2"/>
  <c r="G1062" i="2"/>
  <c r="G1064" i="2"/>
  <c r="G1063" i="2"/>
  <c r="G1069" i="2"/>
  <c r="G1072" i="2"/>
  <c r="G1065" i="2"/>
  <c r="G1073" i="2"/>
  <c r="G1067" i="2"/>
  <c r="G1070" i="2"/>
  <c r="G1066" i="2"/>
  <c r="G1068" i="2"/>
  <c r="G1071" i="2"/>
  <c r="G1077" i="2"/>
  <c r="G1075" i="2"/>
  <c r="G1082" i="2"/>
  <c r="G1074" i="2"/>
  <c r="G1079" i="2"/>
  <c r="G1085" i="2"/>
  <c r="G1087" i="2"/>
  <c r="G1086" i="2"/>
  <c r="G1084" i="2"/>
  <c r="G1078" i="2"/>
  <c r="G1076" i="2"/>
  <c r="G1080" i="2"/>
  <c r="G1083" i="2"/>
  <c r="G1081" i="2"/>
  <c r="G1091" i="2"/>
  <c r="G1092" i="2"/>
  <c r="G1089" i="2"/>
  <c r="G1093" i="2"/>
  <c r="G1088" i="2"/>
  <c r="G1090" i="2"/>
  <c r="G1096" i="2"/>
  <c r="G1097" i="2"/>
  <c r="G1101" i="2"/>
  <c r="G1102" i="2"/>
  <c r="G1100" i="2"/>
  <c r="G1099" i="2"/>
  <c r="G1108" i="2"/>
  <c r="G1107" i="2"/>
  <c r="G1105" i="2"/>
  <c r="G1103" i="2"/>
  <c r="G1111" i="2"/>
  <c r="G1113" i="2"/>
  <c r="G1112" i="2"/>
  <c r="G1110" i="2"/>
  <c r="G1109" i="2"/>
  <c r="G1115" i="2"/>
  <c r="G1114" i="2"/>
  <c r="G1123" i="2"/>
  <c r="G1118" i="2"/>
  <c r="G1119" i="2"/>
  <c r="G1116" i="2"/>
  <c r="G1126" i="2"/>
  <c r="G1121" i="2"/>
  <c r="G1120" i="2"/>
  <c r="G1122" i="2"/>
  <c r="G1117" i="2"/>
  <c r="G1127" i="2"/>
  <c r="G1128" i="2"/>
  <c r="G1129" i="2"/>
  <c r="G1136" i="2"/>
  <c r="G1132" i="2"/>
  <c r="G1133" i="2"/>
  <c r="G1130" i="2"/>
  <c r="G1131" i="2"/>
  <c r="G1134" i="2"/>
  <c r="G1135" i="2"/>
  <c r="G1139" i="2"/>
  <c r="G1146" i="2"/>
  <c r="G1145" i="2"/>
  <c r="G1147" i="2"/>
  <c r="G1150" i="2"/>
  <c r="G1142" i="2"/>
  <c r="G1155" i="2"/>
  <c r="G1140" i="2"/>
  <c r="G1137" i="2"/>
  <c r="G1141" i="2"/>
  <c r="G1152" i="2"/>
  <c r="G1148" i="2"/>
  <c r="G1149" i="2"/>
  <c r="G1151" i="2"/>
  <c r="G1138" i="2"/>
  <c r="G1154" i="2"/>
  <c r="G1144" i="2"/>
  <c r="G1153" i="2"/>
  <c r="G1143" i="2"/>
  <c r="G1156" i="2"/>
  <c r="G1160" i="2"/>
  <c r="G1159" i="2"/>
  <c r="G1158" i="2"/>
  <c r="G1157" i="2"/>
  <c r="G1170" i="2"/>
  <c r="G1169" i="2"/>
  <c r="G1168" i="2"/>
  <c r="G1171" i="2"/>
  <c r="G1166" i="2"/>
  <c r="G1163" i="2"/>
  <c r="G1162" i="2"/>
  <c r="G1164" i="2"/>
  <c r="G1165" i="2"/>
  <c r="G1161" i="2"/>
  <c r="G1174" i="2"/>
  <c r="G1173" i="2"/>
  <c r="G1172" i="2"/>
  <c r="G1175" i="2"/>
  <c r="G1177" i="2"/>
  <c r="G1176" i="2"/>
  <c r="G1180" i="2"/>
  <c r="G1179" i="2"/>
  <c r="G1178" i="2"/>
  <c r="G1181" i="2"/>
  <c r="G1187" i="2"/>
  <c r="G1209" i="2"/>
  <c r="G1184" i="2"/>
  <c r="G1185" i="2"/>
  <c r="G1194" i="2"/>
  <c r="G1211" i="2"/>
  <c r="G1191" i="2"/>
  <c r="G1193" i="2"/>
  <c r="G1204" i="2"/>
  <c r="G1215" i="2"/>
  <c r="G1199" i="2"/>
  <c r="G1206" i="2"/>
  <c r="G1212" i="2"/>
  <c r="G1200" i="2"/>
  <c r="G1190" i="2"/>
  <c r="G1196" i="2"/>
  <c r="G1203" i="2"/>
  <c r="G1201" i="2"/>
  <c r="G1188" i="2"/>
  <c r="G1195" i="2"/>
  <c r="G1216" i="2"/>
  <c r="G1210" i="2"/>
  <c r="G1213" i="2"/>
  <c r="G1205" i="2"/>
  <c r="G1182" i="2"/>
  <c r="G1197" i="2"/>
  <c r="G1202" i="2"/>
  <c r="G1198" i="2"/>
  <c r="G1192" i="2"/>
  <c r="G1208" i="2"/>
  <c r="G1183" i="2"/>
  <c r="G1214" i="2"/>
  <c r="G1189" i="2"/>
  <c r="G1207" i="2"/>
  <c r="G1186" i="2"/>
  <c r="G1217" i="2"/>
  <c r="G1218" i="2"/>
  <c r="G1219" i="2"/>
  <c r="G1225" i="2"/>
  <c r="G1222" i="2"/>
  <c r="G1223" i="2"/>
  <c r="G1228" i="2"/>
  <c r="G1224" i="2"/>
  <c r="G1231" i="2"/>
  <c r="G1226" i="2"/>
  <c r="G1220" i="2"/>
  <c r="G1229" i="2"/>
  <c r="G1227" i="2"/>
  <c r="G1230" i="2"/>
  <c r="G1221" i="2"/>
  <c r="G1240" i="2"/>
  <c r="G1245" i="2"/>
  <c r="G1237" i="2"/>
  <c r="G1246" i="2"/>
  <c r="G1238" i="2"/>
  <c r="G1241" i="2"/>
  <c r="G1243" i="2"/>
  <c r="G1233" i="2"/>
  <c r="G1234" i="2"/>
  <c r="G1236" i="2"/>
  <c r="G1235" i="2"/>
  <c r="G1242" i="2"/>
  <c r="G1244" i="2"/>
  <c r="G1239" i="2"/>
  <c r="G1232" i="2"/>
  <c r="G1253" i="2"/>
  <c r="G1337" i="2"/>
  <c r="G1266" i="2"/>
  <c r="G1261" i="2"/>
  <c r="G1258" i="2"/>
  <c r="G1271" i="2"/>
  <c r="G1260" i="2"/>
  <c r="G1247" i="2"/>
  <c r="G1268" i="2"/>
  <c r="G1254" i="2"/>
  <c r="G1249" i="2"/>
  <c r="G1263" i="2"/>
  <c r="G1280" i="2"/>
  <c r="G1257" i="2"/>
  <c r="G1278" i="2"/>
  <c r="G1251" i="2"/>
  <c r="G1256" i="2"/>
  <c r="G1276" i="2"/>
  <c r="G1248" i="2"/>
  <c r="G1265" i="2"/>
  <c r="G1387" i="2"/>
  <c r="G1262" i="2"/>
  <c r="G1277" i="2"/>
  <c r="G1259" i="2"/>
  <c r="G1274" i="2"/>
  <c r="G1270" i="2"/>
  <c r="G1282" i="2"/>
  <c r="G1252" i="2"/>
  <c r="G1264" i="2"/>
  <c r="G1275" i="2"/>
  <c r="G1273" i="2"/>
  <c r="G1269" i="2"/>
  <c r="G1281" i="2"/>
  <c r="G1272" i="2"/>
  <c r="G1250" i="2"/>
  <c r="G1255" i="2"/>
  <c r="G1279" i="2"/>
  <c r="G1267" i="2"/>
  <c r="F3" i="2"/>
  <c r="F2" i="2"/>
  <c r="F4" i="2"/>
  <c r="F5" i="2"/>
  <c r="F6" i="2"/>
  <c r="F9" i="2"/>
  <c r="F8" i="2"/>
  <c r="F7" i="2"/>
  <c r="F10" i="2"/>
  <c r="F16" i="2"/>
  <c r="F14" i="2"/>
  <c r="F15" i="2"/>
  <c r="F13" i="2"/>
  <c r="F11" i="2"/>
  <c r="F12" i="2"/>
  <c r="F19" i="2"/>
  <c r="F21" i="2"/>
  <c r="F18" i="2"/>
  <c r="F17" i="2"/>
  <c r="F23" i="2"/>
  <c r="F20" i="2"/>
  <c r="F22" i="2"/>
  <c r="F24" i="2"/>
  <c r="F25" i="2"/>
  <c r="F34" i="2"/>
  <c r="F30" i="2"/>
  <c r="F29" i="2"/>
  <c r="F27" i="2"/>
  <c r="F28" i="2"/>
  <c r="F32" i="2"/>
  <c r="F26" i="2"/>
  <c r="F31" i="2"/>
  <c r="F33" i="2"/>
  <c r="F35" i="2"/>
  <c r="F47" i="2"/>
  <c r="F37" i="2"/>
  <c r="F40" i="2"/>
  <c r="F38" i="2"/>
  <c r="F53" i="2"/>
  <c r="F54" i="2"/>
  <c r="F55" i="2"/>
  <c r="F50" i="2"/>
  <c r="F42" i="2"/>
  <c r="F44" i="2"/>
  <c r="F51" i="2"/>
  <c r="F49" i="2"/>
  <c r="F45" i="2"/>
  <c r="F36" i="2"/>
  <c r="F41" i="2"/>
  <c r="F46" i="2"/>
  <c r="F39" i="2"/>
  <c r="F52" i="2"/>
  <c r="F48" i="2"/>
  <c r="F43" i="2"/>
  <c r="F58" i="2"/>
  <c r="F57" i="2"/>
  <c r="F56" i="2"/>
  <c r="F59" i="2"/>
  <c r="F61" i="2"/>
  <c r="F60" i="2"/>
  <c r="F63" i="2"/>
  <c r="F62" i="2"/>
  <c r="F64" i="2"/>
  <c r="F68" i="2"/>
  <c r="F70" i="2"/>
  <c r="F71" i="2"/>
  <c r="F66" i="2"/>
  <c r="F65" i="2"/>
  <c r="F69" i="2"/>
  <c r="F67" i="2"/>
  <c r="F73" i="2"/>
  <c r="F74" i="2"/>
  <c r="F76" i="2"/>
  <c r="F72" i="2"/>
  <c r="F75" i="2"/>
  <c r="F85" i="2"/>
  <c r="F87" i="2"/>
  <c r="F88" i="2"/>
  <c r="F83" i="2"/>
  <c r="F84" i="2"/>
  <c r="F79" i="2"/>
  <c r="F78" i="2"/>
  <c r="F80" i="2"/>
  <c r="F86" i="2"/>
  <c r="F77" i="2"/>
  <c r="F82" i="2"/>
  <c r="F81" i="2"/>
  <c r="F94" i="2"/>
  <c r="F92" i="2"/>
  <c r="F90" i="2"/>
  <c r="F93" i="2"/>
  <c r="F89" i="2"/>
  <c r="F95" i="2"/>
  <c r="F91" i="2"/>
  <c r="F96" i="2"/>
  <c r="F97" i="2"/>
  <c r="F104" i="2"/>
  <c r="F113" i="2"/>
  <c r="F112" i="2"/>
  <c r="F123" i="2"/>
  <c r="F108" i="2"/>
  <c r="F124" i="2"/>
  <c r="F125" i="2"/>
  <c r="F110" i="2"/>
  <c r="F121" i="2"/>
  <c r="F98" i="2"/>
  <c r="F101" i="2"/>
  <c r="F114" i="2"/>
  <c r="F120" i="2"/>
  <c r="F109" i="2"/>
  <c r="F103" i="2"/>
  <c r="F111" i="2"/>
  <c r="F115" i="2"/>
  <c r="F102" i="2"/>
  <c r="F119" i="2"/>
  <c r="F100" i="2"/>
  <c r="F117" i="2"/>
  <c r="F106" i="2"/>
  <c r="F128" i="2"/>
  <c r="F127" i="2"/>
  <c r="F129" i="2"/>
  <c r="F130" i="2"/>
  <c r="F139" i="2"/>
  <c r="F142" i="2"/>
  <c r="F141" i="2"/>
  <c r="F138" i="2"/>
  <c r="F144" i="2"/>
  <c r="F136" i="2"/>
  <c r="F131" i="2"/>
  <c r="F134" i="2"/>
  <c r="F145" i="2"/>
  <c r="F133" i="2"/>
  <c r="F132" i="2"/>
  <c r="F137" i="2"/>
  <c r="F143" i="2"/>
  <c r="F150" i="2"/>
  <c r="F151" i="2"/>
  <c r="F152" i="2"/>
  <c r="F153" i="2"/>
  <c r="F154" i="2"/>
  <c r="F163" i="2"/>
  <c r="F165" i="2"/>
  <c r="F172" i="2"/>
  <c r="F167" i="2"/>
  <c r="F164" i="2"/>
  <c r="F170" i="2"/>
  <c r="F160" i="2"/>
  <c r="F158" i="2"/>
  <c r="F157" i="2"/>
  <c r="F155" i="2"/>
  <c r="F159" i="2"/>
  <c r="F174" i="2"/>
  <c r="F169" i="2"/>
  <c r="F166" i="2"/>
  <c r="F162" i="2"/>
  <c r="F156" i="2"/>
  <c r="F168" i="2"/>
  <c r="F175" i="2"/>
  <c r="F171" i="2"/>
  <c r="F173" i="2"/>
  <c r="F178" i="2"/>
  <c r="F176" i="2"/>
  <c r="F182" i="2"/>
  <c r="F181" i="2"/>
  <c r="F177" i="2"/>
  <c r="F179" i="2"/>
  <c r="F180" i="2"/>
  <c r="F184" i="2"/>
  <c r="F188" i="2"/>
  <c r="F185" i="2"/>
  <c r="F183" i="2"/>
  <c r="F186" i="2"/>
  <c r="F190" i="2"/>
  <c r="F196" i="2"/>
  <c r="F194" i="2"/>
  <c r="F191" i="2"/>
  <c r="F193" i="2"/>
  <c r="F192" i="2"/>
  <c r="F189" i="2"/>
  <c r="F197" i="2"/>
  <c r="F198" i="2"/>
  <c r="F199" i="2"/>
  <c r="F200" i="2"/>
  <c r="F201" i="2"/>
  <c r="F203" i="2"/>
  <c r="F207" i="2"/>
  <c r="F204" i="2"/>
  <c r="F205" i="2"/>
  <c r="F206" i="2"/>
  <c r="F208" i="2"/>
  <c r="F210" i="2"/>
  <c r="F216" i="2"/>
  <c r="F209" i="2"/>
  <c r="F211" i="2"/>
  <c r="F215" i="2"/>
  <c r="F212" i="2"/>
  <c r="F214" i="2"/>
  <c r="F213" i="2"/>
  <c r="F224" i="2"/>
  <c r="F218" i="2"/>
  <c r="F225" i="2"/>
  <c r="F235" i="2"/>
  <c r="F219" i="2"/>
  <c r="F222" i="2"/>
  <c r="F229" i="2"/>
  <c r="F233" i="2"/>
  <c r="F223" i="2"/>
  <c r="F221" i="2"/>
  <c r="F232" i="2"/>
  <c r="F231" i="2"/>
  <c r="F217" i="2"/>
  <c r="F220" i="2"/>
  <c r="F227" i="2"/>
  <c r="F237" i="2"/>
  <c r="F238" i="2"/>
  <c r="F239" i="2"/>
  <c r="F240" i="2"/>
  <c r="F242" i="2"/>
  <c r="F243" i="2"/>
  <c r="F244" i="2"/>
  <c r="F245" i="2"/>
  <c r="F250" i="2"/>
  <c r="F246" i="2"/>
  <c r="F252" i="2"/>
  <c r="F251" i="2"/>
  <c r="F253" i="2"/>
  <c r="F247" i="2"/>
  <c r="F249" i="2"/>
  <c r="F254" i="2"/>
  <c r="F257" i="2"/>
  <c r="F256" i="2"/>
  <c r="F255" i="2"/>
  <c r="F263" i="2"/>
  <c r="F259" i="2"/>
  <c r="F260" i="2"/>
  <c r="F258" i="2"/>
  <c r="F262" i="2"/>
  <c r="F267" i="2"/>
  <c r="F264" i="2"/>
  <c r="F268" i="2"/>
  <c r="F266" i="2"/>
  <c r="F265" i="2"/>
  <c r="F275" i="2"/>
  <c r="F269" i="2"/>
  <c r="F278" i="2"/>
  <c r="F273" i="2"/>
  <c r="F270" i="2"/>
  <c r="F272" i="2"/>
  <c r="F271" i="2"/>
  <c r="F279" i="2"/>
  <c r="F274" i="2"/>
  <c r="F276" i="2"/>
  <c r="F277" i="2"/>
  <c r="F280" i="2"/>
  <c r="F284" i="2"/>
  <c r="F294" i="2"/>
  <c r="F300" i="2"/>
  <c r="F304" i="2"/>
  <c r="F307" i="2"/>
  <c r="F281" i="2"/>
  <c r="F296" i="2"/>
  <c r="F299" i="2"/>
  <c r="F308" i="2"/>
  <c r="F292" i="2"/>
  <c r="F291" i="2"/>
  <c r="F298" i="2"/>
  <c r="F287" i="2"/>
  <c r="F297" i="2"/>
  <c r="F305" i="2"/>
  <c r="F303" i="2"/>
  <c r="F282" i="2"/>
  <c r="F301" i="2"/>
  <c r="F285" i="2"/>
  <c r="F286" i="2"/>
  <c r="F290" i="2"/>
  <c r="F310" i="2"/>
  <c r="F311" i="2"/>
  <c r="F317" i="2"/>
  <c r="F321" i="2"/>
  <c r="F322" i="2"/>
  <c r="F316" i="2"/>
  <c r="F326" i="2"/>
  <c r="F323" i="2"/>
  <c r="F315" i="2"/>
  <c r="F313" i="2"/>
  <c r="F320" i="2"/>
  <c r="F327" i="2"/>
  <c r="F328" i="2"/>
  <c r="F334" i="2"/>
  <c r="F332" i="2"/>
  <c r="F335" i="2"/>
  <c r="F331" i="2"/>
  <c r="F333" i="2"/>
  <c r="F336" i="2"/>
  <c r="F350" i="2"/>
  <c r="F356" i="2"/>
  <c r="F353" i="2"/>
  <c r="F349" i="2"/>
  <c r="F343" i="2"/>
  <c r="F340" i="2"/>
  <c r="F344" i="2"/>
  <c r="F338" i="2"/>
  <c r="F348" i="2"/>
  <c r="F352" i="2"/>
  <c r="F337" i="2"/>
  <c r="F345" i="2"/>
  <c r="F354" i="2"/>
  <c r="F351" i="2"/>
  <c r="F367" i="2"/>
  <c r="F372" i="2"/>
  <c r="F365" i="2"/>
  <c r="F362" i="2"/>
  <c r="F359" i="2"/>
  <c r="F375" i="2"/>
  <c r="F369" i="2"/>
  <c r="F371" i="2"/>
  <c r="F361" i="2"/>
  <c r="F380" i="2"/>
  <c r="F368" i="2"/>
  <c r="F358" i="2"/>
  <c r="F373" i="2"/>
  <c r="F381" i="2"/>
  <c r="F363" i="2"/>
  <c r="F364" i="2"/>
  <c r="F376" i="2"/>
  <c r="F360" i="2"/>
  <c r="F377" i="2"/>
  <c r="F366" i="2"/>
  <c r="F383" i="2"/>
  <c r="F386" i="2"/>
  <c r="F388" i="2"/>
  <c r="F385" i="2"/>
  <c r="F384" i="2"/>
  <c r="F387" i="2"/>
  <c r="F395" i="2"/>
  <c r="F394" i="2"/>
  <c r="F397" i="2"/>
  <c r="F392" i="2"/>
  <c r="F396" i="2"/>
  <c r="F391" i="2"/>
  <c r="F393" i="2"/>
  <c r="F389" i="2"/>
  <c r="F390" i="2"/>
  <c r="F404" i="2"/>
  <c r="F407" i="2"/>
  <c r="F402" i="2"/>
  <c r="F408" i="2"/>
  <c r="F401" i="2"/>
  <c r="F398" i="2"/>
  <c r="F409" i="2"/>
  <c r="F400" i="2"/>
  <c r="F403" i="2"/>
  <c r="F405" i="2"/>
  <c r="F399" i="2"/>
  <c r="F406" i="2"/>
  <c r="F416" i="2"/>
  <c r="F411" i="2"/>
  <c r="F410" i="2"/>
  <c r="F413" i="2"/>
  <c r="F414" i="2"/>
  <c r="F412" i="2"/>
  <c r="F415" i="2"/>
  <c r="F417" i="2"/>
  <c r="F425" i="2"/>
  <c r="F419" i="2"/>
  <c r="F418" i="2"/>
  <c r="F423" i="2"/>
  <c r="F427" i="2"/>
  <c r="F424" i="2"/>
  <c r="F422" i="2"/>
  <c r="F421" i="2"/>
  <c r="F426" i="2"/>
  <c r="F428" i="2"/>
  <c r="F429" i="2"/>
  <c r="F432" i="2"/>
  <c r="F440" i="2"/>
  <c r="F436" i="2"/>
  <c r="F445" i="2"/>
  <c r="F437" i="2"/>
  <c r="F442" i="2"/>
  <c r="F444" i="2"/>
  <c r="F430" i="2"/>
  <c r="F443" i="2"/>
  <c r="F438" i="2"/>
  <c r="F431" i="2"/>
  <c r="F435" i="2"/>
  <c r="F433" i="2"/>
  <c r="F441" i="2"/>
  <c r="F439" i="2"/>
  <c r="F434" i="2"/>
  <c r="F446" i="2"/>
  <c r="F449" i="2"/>
  <c r="F450" i="2"/>
  <c r="F448" i="2"/>
  <c r="F451" i="2"/>
  <c r="F452" i="2"/>
  <c r="F453" i="2"/>
  <c r="F455" i="2"/>
  <c r="F454" i="2"/>
  <c r="F456" i="2"/>
  <c r="F457" i="2"/>
  <c r="F459" i="2"/>
  <c r="F458" i="2"/>
  <c r="F472" i="2"/>
  <c r="F471" i="2"/>
  <c r="F470" i="2"/>
  <c r="F464" i="2"/>
  <c r="F463" i="2"/>
  <c r="F462" i="2"/>
  <c r="F466" i="2"/>
  <c r="F465" i="2"/>
  <c r="F467" i="2"/>
  <c r="F469" i="2"/>
  <c r="F473" i="2"/>
  <c r="F476" i="2"/>
  <c r="F474" i="2"/>
  <c r="F475" i="2"/>
  <c r="F478" i="2"/>
  <c r="F477" i="2"/>
  <c r="F480" i="2"/>
  <c r="F479" i="2"/>
  <c r="F488" i="2"/>
  <c r="F482" i="2"/>
  <c r="F486" i="2"/>
  <c r="F481" i="2"/>
  <c r="F485" i="2"/>
  <c r="F487" i="2"/>
  <c r="F483" i="2"/>
  <c r="F484" i="2"/>
  <c r="F490" i="2"/>
  <c r="F492" i="2"/>
  <c r="F493" i="2"/>
  <c r="F491" i="2"/>
  <c r="F496" i="2"/>
  <c r="F497" i="2"/>
  <c r="F495" i="2"/>
  <c r="F498" i="2"/>
  <c r="F499" i="2"/>
  <c r="F501" i="2"/>
  <c r="F500" i="2"/>
  <c r="F503" i="2"/>
  <c r="F502" i="2"/>
  <c r="F504" i="2"/>
  <c r="F505" i="2"/>
  <c r="F506" i="2"/>
  <c r="F507" i="2"/>
  <c r="F508" i="2"/>
  <c r="F509" i="2"/>
  <c r="F512" i="2"/>
  <c r="F510" i="2"/>
  <c r="F511" i="2"/>
  <c r="F513" i="2"/>
  <c r="F514" i="2"/>
  <c r="F515" i="2"/>
  <c r="F517" i="2"/>
  <c r="F523" i="2"/>
  <c r="F520" i="2"/>
  <c r="F516" i="2"/>
  <c r="F519" i="2"/>
  <c r="F524" i="2"/>
  <c r="F518" i="2"/>
  <c r="F521" i="2"/>
  <c r="F522" i="2"/>
  <c r="F525" i="2"/>
  <c r="F531" i="2"/>
  <c r="F530" i="2"/>
  <c r="F529" i="2"/>
  <c r="F527" i="2"/>
  <c r="F526" i="2"/>
  <c r="F528" i="2"/>
  <c r="F532" i="2"/>
  <c r="F533" i="2"/>
  <c r="F534" i="2"/>
  <c r="F535" i="2"/>
  <c r="F536" i="2"/>
  <c r="F537" i="2"/>
  <c r="F539" i="2"/>
  <c r="F540" i="2"/>
  <c r="F538" i="2"/>
  <c r="F542" i="2"/>
  <c r="F541" i="2"/>
  <c r="F543" i="2"/>
  <c r="F544" i="2"/>
  <c r="F545" i="2"/>
  <c r="F546" i="2"/>
  <c r="F547" i="2"/>
  <c r="F549" i="2"/>
  <c r="F548" i="2"/>
  <c r="F550" i="2"/>
  <c r="F551" i="2"/>
  <c r="F556" i="2"/>
  <c r="F555" i="2"/>
  <c r="F553" i="2"/>
  <c r="F554" i="2"/>
  <c r="F559" i="2"/>
  <c r="F558" i="2"/>
  <c r="F557" i="2"/>
  <c r="F561" i="2"/>
  <c r="F563" i="2"/>
  <c r="F564" i="2"/>
  <c r="F560" i="2"/>
  <c r="F566" i="2"/>
  <c r="F565" i="2"/>
  <c r="F569" i="2"/>
  <c r="F571" i="2"/>
  <c r="F570" i="2"/>
  <c r="F572" i="2"/>
  <c r="F573" i="2"/>
  <c r="F575" i="2"/>
  <c r="F574" i="2"/>
  <c r="F576" i="2"/>
  <c r="F577" i="2"/>
  <c r="F578" i="2"/>
  <c r="F579" i="2"/>
  <c r="F584" i="2"/>
  <c r="F580" i="2"/>
  <c r="F582" i="2"/>
  <c r="F583" i="2"/>
  <c r="F581" i="2"/>
  <c r="F587" i="2"/>
  <c r="F588" i="2"/>
  <c r="F586" i="2"/>
  <c r="F590" i="2"/>
  <c r="F591" i="2"/>
  <c r="F593" i="2"/>
  <c r="F592" i="2"/>
  <c r="F589" i="2"/>
  <c r="F597" i="2"/>
  <c r="F594" i="2"/>
  <c r="F602" i="2"/>
  <c r="F596" i="2"/>
  <c r="F599" i="2"/>
  <c r="F595" i="2"/>
  <c r="F601" i="2"/>
  <c r="F615" i="2"/>
  <c r="F613" i="2"/>
  <c r="F603" i="2"/>
  <c r="F608" i="2"/>
  <c r="F609" i="2"/>
  <c r="F611" i="2"/>
  <c r="F604" i="2"/>
  <c r="F610" i="2"/>
  <c r="F614" i="2"/>
  <c r="F606" i="2"/>
  <c r="F612" i="2"/>
  <c r="F607" i="2"/>
  <c r="F605" i="2"/>
  <c r="F619" i="2"/>
  <c r="F622" i="2"/>
  <c r="F621" i="2"/>
  <c r="F630" i="2"/>
  <c r="F618" i="2"/>
  <c r="F628" i="2"/>
  <c r="F627" i="2"/>
  <c r="F625" i="2"/>
  <c r="F616" i="2"/>
  <c r="F626" i="2"/>
  <c r="F629" i="2"/>
  <c r="F620" i="2"/>
  <c r="F631" i="2"/>
  <c r="F617" i="2"/>
  <c r="F624" i="2"/>
  <c r="F623" i="2"/>
  <c r="F637" i="2"/>
  <c r="F636" i="2"/>
  <c r="F634" i="2"/>
  <c r="F635" i="2"/>
  <c r="F639" i="2"/>
  <c r="F638" i="2"/>
  <c r="F633" i="2"/>
  <c r="F632" i="2"/>
  <c r="F643" i="2"/>
  <c r="F644" i="2"/>
  <c r="F642" i="2"/>
  <c r="F640" i="2"/>
  <c r="F641" i="2"/>
  <c r="F651" i="2"/>
  <c r="F657" i="2"/>
  <c r="F659" i="2"/>
  <c r="F654" i="2"/>
  <c r="F649" i="2"/>
  <c r="F647" i="2"/>
  <c r="F650" i="2"/>
  <c r="F648" i="2"/>
  <c r="F645" i="2"/>
  <c r="F658" i="2"/>
  <c r="F646" i="2"/>
  <c r="F655" i="2"/>
  <c r="F662" i="2"/>
  <c r="F656" i="2"/>
  <c r="F652" i="2"/>
  <c r="F653" i="2"/>
  <c r="F660" i="2"/>
  <c r="F663" i="2"/>
  <c r="F665" i="2"/>
  <c r="F664" i="2"/>
  <c r="F666" i="2"/>
  <c r="F672" i="2"/>
  <c r="F673" i="2"/>
  <c r="F670" i="2"/>
  <c r="F668" i="2"/>
  <c r="F671" i="2"/>
  <c r="F667" i="2"/>
  <c r="F669" i="2"/>
  <c r="F680" i="2"/>
  <c r="F679" i="2"/>
  <c r="F677" i="2"/>
  <c r="F678" i="2"/>
  <c r="F675" i="2"/>
  <c r="F686" i="2"/>
  <c r="F689" i="2"/>
  <c r="F681" i="2"/>
  <c r="F688" i="2"/>
  <c r="F683" i="2"/>
  <c r="F682" i="2"/>
  <c r="F684" i="2"/>
  <c r="F687" i="2"/>
  <c r="F685" i="2"/>
  <c r="F690" i="2"/>
  <c r="F691" i="2"/>
  <c r="F696" i="2"/>
  <c r="F694" i="2"/>
  <c r="F693" i="2"/>
  <c r="F692" i="2"/>
  <c r="F698" i="2"/>
  <c r="F695" i="2"/>
  <c r="F703" i="2"/>
  <c r="F699" i="2"/>
  <c r="F700" i="2"/>
  <c r="F702" i="2"/>
  <c r="F706" i="2"/>
  <c r="F705" i="2"/>
  <c r="F709" i="2"/>
  <c r="F707" i="2"/>
  <c r="F704" i="2"/>
  <c r="F708" i="2"/>
  <c r="F715" i="2"/>
  <c r="F710" i="2"/>
  <c r="F712" i="2"/>
  <c r="F711" i="2"/>
  <c r="F714" i="2"/>
  <c r="F719" i="2"/>
  <c r="F721" i="2"/>
  <c r="F716" i="2"/>
  <c r="F723" i="2"/>
  <c r="F720" i="2"/>
  <c r="F722" i="2"/>
  <c r="F718" i="2"/>
  <c r="F717" i="2"/>
  <c r="F733" i="2"/>
  <c r="F738" i="2"/>
  <c r="F731" i="2"/>
  <c r="F736" i="2"/>
  <c r="F724" i="2"/>
  <c r="F732" i="2"/>
  <c r="F735" i="2"/>
  <c r="F730" i="2"/>
  <c r="F737" i="2"/>
  <c r="F727" i="2"/>
  <c r="F726" i="2"/>
  <c r="F734" i="2"/>
  <c r="F729" i="2"/>
  <c r="F741" i="2"/>
  <c r="F739" i="2"/>
  <c r="F740" i="2"/>
  <c r="F748" i="2"/>
  <c r="F750" i="2"/>
  <c r="F746" i="2"/>
  <c r="F745" i="2"/>
  <c r="F747" i="2"/>
  <c r="F744" i="2"/>
  <c r="F749" i="2"/>
  <c r="F743" i="2"/>
  <c r="F752" i="2"/>
  <c r="F753" i="2"/>
  <c r="F751" i="2"/>
  <c r="F754" i="2"/>
  <c r="F757" i="2"/>
  <c r="F756" i="2"/>
  <c r="F778" i="2"/>
  <c r="F789" i="2"/>
  <c r="F771" i="2"/>
  <c r="F768" i="2"/>
  <c r="F788" i="2"/>
  <c r="F762" i="2"/>
  <c r="F766" i="2"/>
  <c r="F759" i="2"/>
  <c r="F782" i="2"/>
  <c r="F784" i="2"/>
  <c r="F761" i="2"/>
  <c r="F780" i="2"/>
  <c r="F779" i="2"/>
  <c r="F774" i="2"/>
  <c r="F777" i="2"/>
  <c r="F767" i="2"/>
  <c r="F773" i="2"/>
  <c r="F781" i="2"/>
  <c r="F758" i="2"/>
  <c r="F760" i="2"/>
  <c r="F770" i="2"/>
  <c r="F769" i="2"/>
  <c r="F765" i="2"/>
  <c r="F786" i="2"/>
  <c r="F783" i="2"/>
  <c r="F772" i="2"/>
  <c r="F763" i="2"/>
  <c r="F775" i="2"/>
  <c r="F787" i="2"/>
  <c r="F790" i="2"/>
  <c r="F791" i="2"/>
  <c r="F801" i="2"/>
  <c r="F795" i="2"/>
  <c r="F794" i="2"/>
  <c r="F793" i="2"/>
  <c r="F799" i="2"/>
  <c r="F804" i="2"/>
  <c r="F798" i="2"/>
  <c r="F802" i="2"/>
  <c r="F797" i="2"/>
  <c r="F796" i="2"/>
  <c r="F806" i="2"/>
  <c r="F807" i="2"/>
  <c r="F808" i="2"/>
  <c r="F805" i="2"/>
  <c r="F809" i="2"/>
  <c r="F816" i="2"/>
  <c r="F810" i="2"/>
  <c r="F812" i="2"/>
  <c r="F815" i="2"/>
  <c r="F814" i="2"/>
  <c r="F813" i="2"/>
  <c r="F811" i="2"/>
  <c r="F818" i="2"/>
  <c r="F817" i="2"/>
  <c r="F820" i="2"/>
  <c r="F819" i="2"/>
  <c r="F823" i="2"/>
  <c r="F822" i="2"/>
  <c r="F824" i="2"/>
  <c r="F821" i="2"/>
  <c r="F834" i="2"/>
  <c r="F827" i="2"/>
  <c r="F833" i="2"/>
  <c r="F825" i="2"/>
  <c r="F832" i="2"/>
  <c r="F831" i="2"/>
  <c r="F830" i="2"/>
  <c r="F829" i="2"/>
  <c r="F835" i="2"/>
  <c r="F828" i="2"/>
  <c r="F836" i="2"/>
  <c r="F838" i="2"/>
  <c r="F840" i="2"/>
  <c r="F837" i="2"/>
  <c r="F842" i="2"/>
  <c r="F841" i="2"/>
  <c r="F839" i="2"/>
  <c r="F843" i="2"/>
  <c r="F844" i="2"/>
  <c r="F845" i="2"/>
  <c r="F851" i="2"/>
  <c r="F850" i="2"/>
  <c r="F852" i="2"/>
  <c r="F847" i="2"/>
  <c r="F849" i="2"/>
  <c r="F848" i="2"/>
  <c r="F846" i="2"/>
  <c r="F855" i="2"/>
  <c r="F854" i="2"/>
  <c r="F856" i="2"/>
  <c r="F853" i="2"/>
  <c r="F857" i="2"/>
  <c r="F859" i="2"/>
  <c r="F858" i="2"/>
  <c r="F862" i="2"/>
  <c r="F861" i="2"/>
  <c r="F860" i="2"/>
  <c r="F864" i="2"/>
  <c r="F867" i="2"/>
  <c r="F863" i="2"/>
  <c r="F866" i="2"/>
  <c r="F865" i="2"/>
  <c r="F868" i="2"/>
  <c r="F869" i="2"/>
  <c r="F876" i="2"/>
  <c r="F878" i="2"/>
  <c r="F877" i="2"/>
  <c r="F879" i="2"/>
  <c r="F872" i="2"/>
  <c r="F874" i="2"/>
  <c r="F873" i="2"/>
  <c r="F870" i="2"/>
  <c r="F871" i="2"/>
  <c r="F875" i="2"/>
  <c r="F883" i="2"/>
  <c r="F881" i="2"/>
  <c r="F887" i="2"/>
  <c r="F886" i="2"/>
  <c r="F885" i="2"/>
  <c r="F880" i="2"/>
  <c r="F884" i="2"/>
  <c r="F895" i="2"/>
  <c r="F894" i="2"/>
  <c r="F890" i="2"/>
  <c r="F891" i="2"/>
  <c r="F893" i="2"/>
  <c r="F889" i="2"/>
  <c r="F888" i="2"/>
  <c r="F892" i="2"/>
  <c r="F896" i="2"/>
  <c r="F897" i="2"/>
  <c r="F898" i="2"/>
  <c r="F900" i="2"/>
  <c r="F899" i="2"/>
  <c r="F903" i="2"/>
  <c r="F909" i="2"/>
  <c r="F902" i="2"/>
  <c r="F904" i="2"/>
  <c r="F907" i="2"/>
  <c r="F906" i="2"/>
  <c r="F908" i="2"/>
  <c r="F905" i="2"/>
  <c r="F901" i="2"/>
  <c r="F914" i="2"/>
  <c r="F912" i="2"/>
  <c r="F916" i="2"/>
  <c r="F919" i="2"/>
  <c r="F920" i="2"/>
  <c r="F922" i="2"/>
  <c r="F923" i="2"/>
  <c r="F924" i="2"/>
  <c r="F925" i="2"/>
  <c r="F918" i="2"/>
  <c r="F915" i="2"/>
  <c r="F921" i="2"/>
  <c r="F917" i="2"/>
  <c r="F931" i="2"/>
  <c r="F928" i="2"/>
  <c r="F932" i="2"/>
  <c r="F927" i="2"/>
  <c r="F935" i="2"/>
  <c r="F933" i="2"/>
  <c r="F934" i="2"/>
  <c r="F938" i="2"/>
  <c r="F939" i="2"/>
  <c r="F937" i="2"/>
  <c r="F941" i="2"/>
  <c r="F942" i="2"/>
  <c r="F944" i="2"/>
  <c r="F940" i="2"/>
  <c r="F948" i="2"/>
  <c r="F946" i="2"/>
  <c r="F947" i="2"/>
  <c r="F943" i="2"/>
  <c r="F949" i="2"/>
  <c r="F945" i="2"/>
  <c r="F954" i="2"/>
  <c r="F953" i="2"/>
  <c r="F952" i="2"/>
  <c r="F950" i="2"/>
  <c r="F951" i="2"/>
  <c r="F959" i="2"/>
  <c r="F958" i="2"/>
  <c r="F960" i="2"/>
  <c r="F961" i="2"/>
  <c r="F955" i="2"/>
  <c r="F957" i="2"/>
  <c r="F956" i="2"/>
  <c r="F971" i="2"/>
  <c r="F964" i="2"/>
  <c r="F967" i="2"/>
  <c r="F966" i="2"/>
  <c r="F965" i="2"/>
  <c r="F963" i="2"/>
  <c r="F962" i="2"/>
  <c r="F973" i="2"/>
  <c r="F972" i="2"/>
  <c r="F970" i="2"/>
  <c r="F968" i="2"/>
  <c r="F976" i="2"/>
  <c r="F998" i="2"/>
  <c r="F988" i="2"/>
  <c r="F990" i="2"/>
  <c r="F991" i="2"/>
  <c r="F975" i="2"/>
  <c r="F996" i="2"/>
  <c r="F984" i="2"/>
  <c r="F986" i="2"/>
  <c r="F989" i="2"/>
  <c r="F985" i="2"/>
  <c r="F992" i="2"/>
  <c r="F981" i="2"/>
  <c r="F980" i="2"/>
  <c r="F977" i="2"/>
  <c r="F974" i="2"/>
  <c r="F978" i="2"/>
  <c r="F979" i="2"/>
  <c r="F993" i="2"/>
  <c r="F983" i="2"/>
  <c r="F1001" i="2"/>
  <c r="F1000" i="2"/>
  <c r="F999" i="2"/>
  <c r="F1002" i="2"/>
  <c r="F1004" i="2"/>
  <c r="F1006" i="2"/>
  <c r="F1009" i="2"/>
  <c r="F1008" i="2"/>
  <c r="F1007" i="2"/>
  <c r="F1010" i="2"/>
  <c r="F1005" i="2"/>
  <c r="F1015" i="2"/>
  <c r="F1014" i="2"/>
  <c r="F1016" i="2"/>
  <c r="F1012" i="2"/>
  <c r="F1013" i="2"/>
  <c r="F1011" i="2"/>
  <c r="F1021" i="2"/>
  <c r="F1017" i="2"/>
  <c r="F1025" i="2"/>
  <c r="F1022" i="2"/>
  <c r="F1027" i="2"/>
  <c r="F1024" i="2"/>
  <c r="F1029" i="2"/>
  <c r="F1030" i="2"/>
  <c r="F1020" i="2"/>
  <c r="F1018" i="2"/>
  <c r="F1023" i="2"/>
  <c r="F1019" i="2"/>
  <c r="F1028" i="2"/>
  <c r="F1026" i="2"/>
  <c r="F1031" i="2"/>
  <c r="F1035" i="2"/>
  <c r="F1034" i="2"/>
  <c r="F1032" i="2"/>
  <c r="F1038" i="2"/>
  <c r="F1037" i="2"/>
  <c r="F1040" i="2"/>
  <c r="F1050" i="2"/>
  <c r="F1047" i="2"/>
  <c r="F1043" i="2"/>
  <c r="F1052" i="2"/>
  <c r="F1042" i="2"/>
  <c r="F1039" i="2"/>
  <c r="F1049" i="2"/>
  <c r="F1046" i="2"/>
  <c r="F1041" i="2"/>
  <c r="F1044" i="2"/>
  <c r="F1051" i="2"/>
  <c r="F1048" i="2"/>
  <c r="F1056" i="2"/>
  <c r="F1054" i="2"/>
  <c r="F1055" i="2"/>
  <c r="F1053" i="2"/>
  <c r="F1057" i="2"/>
  <c r="F1060" i="2"/>
  <c r="F1061" i="2"/>
  <c r="F1059" i="2"/>
  <c r="F1062" i="2"/>
  <c r="F1064" i="2"/>
  <c r="F1063" i="2"/>
  <c r="F1069" i="2"/>
  <c r="F1072" i="2"/>
  <c r="F1065" i="2"/>
  <c r="F1073" i="2"/>
  <c r="F1067" i="2"/>
  <c r="F1070" i="2"/>
  <c r="F1066" i="2"/>
  <c r="F1068" i="2"/>
  <c r="F1071" i="2"/>
  <c r="F1077" i="2"/>
  <c r="F1075" i="2"/>
  <c r="F1082" i="2"/>
  <c r="F1074" i="2"/>
  <c r="F1079" i="2"/>
  <c r="F1085" i="2"/>
  <c r="F1087" i="2"/>
  <c r="F1086" i="2"/>
  <c r="F1084" i="2"/>
  <c r="F1078" i="2"/>
  <c r="F1076" i="2"/>
  <c r="F1080" i="2"/>
  <c r="F1083" i="2"/>
  <c r="F1081" i="2"/>
  <c r="F1091" i="2"/>
  <c r="F1092" i="2"/>
  <c r="F1089" i="2"/>
  <c r="F1093" i="2"/>
  <c r="F1088" i="2"/>
  <c r="F1090" i="2"/>
  <c r="F1096" i="2"/>
  <c r="F1097" i="2"/>
  <c r="F1101" i="2"/>
  <c r="F1102" i="2"/>
  <c r="F1100" i="2"/>
  <c r="F1099" i="2"/>
  <c r="F1108" i="2"/>
  <c r="F1107" i="2"/>
  <c r="F1105" i="2"/>
  <c r="F1103" i="2"/>
  <c r="F1111" i="2"/>
  <c r="F1113" i="2"/>
  <c r="F1112" i="2"/>
  <c r="F1110" i="2"/>
  <c r="F1109" i="2"/>
  <c r="F1115" i="2"/>
  <c r="F1114" i="2"/>
  <c r="F1123" i="2"/>
  <c r="F1118" i="2"/>
  <c r="F1119" i="2"/>
  <c r="F1116" i="2"/>
  <c r="F1126" i="2"/>
  <c r="F1121" i="2"/>
  <c r="F1120" i="2"/>
  <c r="F1122" i="2"/>
  <c r="F1117" i="2"/>
  <c r="F1127" i="2"/>
  <c r="F1128" i="2"/>
  <c r="F1129" i="2"/>
  <c r="F1136" i="2"/>
  <c r="F1132" i="2"/>
  <c r="F1133" i="2"/>
  <c r="F1130" i="2"/>
  <c r="F1131" i="2"/>
  <c r="F1134" i="2"/>
  <c r="F1135" i="2"/>
  <c r="F1139" i="2"/>
  <c r="F1146" i="2"/>
  <c r="F1145" i="2"/>
  <c r="F1147" i="2"/>
  <c r="F1150" i="2"/>
  <c r="F1142" i="2"/>
  <c r="F1155" i="2"/>
  <c r="F1140" i="2"/>
  <c r="F1137" i="2"/>
  <c r="F1141" i="2"/>
  <c r="F1152" i="2"/>
  <c r="F1148" i="2"/>
  <c r="F1149" i="2"/>
  <c r="F1151" i="2"/>
  <c r="F1138" i="2"/>
  <c r="F1154" i="2"/>
  <c r="F1144" i="2"/>
  <c r="F1153" i="2"/>
  <c r="F1143" i="2"/>
  <c r="F1156" i="2"/>
  <c r="F1160" i="2"/>
  <c r="F1159" i="2"/>
  <c r="F1158" i="2"/>
  <c r="F1157" i="2"/>
  <c r="F1170" i="2"/>
  <c r="F1169" i="2"/>
  <c r="F1168" i="2"/>
  <c r="F1171" i="2"/>
  <c r="F1166" i="2"/>
  <c r="F1163" i="2"/>
  <c r="F1162" i="2"/>
  <c r="F1164" i="2"/>
  <c r="F1165" i="2"/>
  <c r="F1161" i="2"/>
  <c r="F1174" i="2"/>
  <c r="F1173" i="2"/>
  <c r="F1172" i="2"/>
  <c r="F1175" i="2"/>
  <c r="F1177" i="2"/>
  <c r="F1176" i="2"/>
  <c r="F1180" i="2"/>
  <c r="F1179" i="2"/>
  <c r="F1178" i="2"/>
  <c r="F1181" i="2"/>
  <c r="F1187" i="2"/>
  <c r="F1209" i="2"/>
  <c r="F1184" i="2"/>
  <c r="F1185" i="2"/>
  <c r="F1194" i="2"/>
  <c r="F1211" i="2"/>
  <c r="F1191" i="2"/>
  <c r="F1193" i="2"/>
  <c r="F1204" i="2"/>
  <c r="F1215" i="2"/>
  <c r="F1199" i="2"/>
  <c r="F1206" i="2"/>
  <c r="F1212" i="2"/>
  <c r="F1200" i="2"/>
  <c r="F1190" i="2"/>
  <c r="F1196" i="2"/>
  <c r="F1203" i="2"/>
  <c r="F1201" i="2"/>
  <c r="F1188" i="2"/>
  <c r="F1195" i="2"/>
  <c r="F1216" i="2"/>
  <c r="F1210" i="2"/>
  <c r="F1213" i="2"/>
  <c r="F1205" i="2"/>
  <c r="F1182" i="2"/>
  <c r="F1197" i="2"/>
  <c r="F1202" i="2"/>
  <c r="F1198" i="2"/>
  <c r="F1192" i="2"/>
  <c r="F1208" i="2"/>
  <c r="F1183" i="2"/>
  <c r="F1214" i="2"/>
  <c r="F1189" i="2"/>
  <c r="F1207" i="2"/>
  <c r="F1186" i="2"/>
  <c r="F1217" i="2"/>
  <c r="F1218" i="2"/>
  <c r="F1219" i="2"/>
  <c r="F1225" i="2"/>
  <c r="F1222" i="2"/>
  <c r="F1223" i="2"/>
  <c r="F1228" i="2"/>
  <c r="F1224" i="2"/>
  <c r="F1231" i="2"/>
  <c r="F1226" i="2"/>
  <c r="F1220" i="2"/>
  <c r="F1229" i="2"/>
  <c r="F1227" i="2"/>
  <c r="F1230" i="2"/>
  <c r="F1221" i="2"/>
  <c r="F1240" i="2"/>
  <c r="F1245" i="2"/>
  <c r="F1237" i="2"/>
  <c r="F1246" i="2"/>
  <c r="F1238" i="2"/>
  <c r="F1241" i="2"/>
  <c r="F1243" i="2"/>
  <c r="F1233" i="2"/>
  <c r="F1234" i="2"/>
  <c r="F1236" i="2"/>
  <c r="F1235" i="2"/>
  <c r="F1242" i="2"/>
  <c r="F1244" i="2"/>
  <c r="F1239" i="2"/>
  <c r="F1232" i="2"/>
  <c r="F1253" i="2"/>
  <c r="F1337" i="2"/>
  <c r="F1266" i="2"/>
  <c r="F1261" i="2"/>
  <c r="F1258" i="2"/>
  <c r="F1271" i="2"/>
  <c r="F1260" i="2"/>
  <c r="F1247" i="2"/>
  <c r="F1268" i="2"/>
  <c r="F1254" i="2"/>
  <c r="F1249" i="2"/>
  <c r="F1263" i="2"/>
  <c r="F1280" i="2"/>
  <c r="F1257" i="2"/>
  <c r="F1278" i="2"/>
  <c r="F1251" i="2"/>
  <c r="F1256" i="2"/>
  <c r="F1276" i="2"/>
  <c r="F1248" i="2"/>
  <c r="F1265" i="2"/>
  <c r="F1387" i="2"/>
  <c r="F1262" i="2"/>
  <c r="F1277" i="2"/>
  <c r="F1259" i="2"/>
  <c r="F1274" i="2"/>
  <c r="F1270" i="2"/>
  <c r="F1282" i="2"/>
  <c r="F1252" i="2"/>
  <c r="F1264" i="2"/>
  <c r="F1275" i="2"/>
  <c r="F1273" i="2"/>
  <c r="F1269" i="2"/>
  <c r="F1281" i="2"/>
  <c r="F1272" i="2"/>
  <c r="F1250" i="2"/>
  <c r="F1255" i="2"/>
  <c r="F1279" i="2"/>
  <c r="F1267" i="2"/>
</calcChain>
</file>

<file path=xl/comments1.xml><?xml version="1.0" encoding="utf-8"?>
<comments xmlns="http://schemas.openxmlformats.org/spreadsheetml/2006/main">
  <authors>
    <author>Cruz Elena Ortega Angel</author>
  </authors>
  <commentList>
    <comment ref="B1462" authorId="0" shapeId="0">
      <text>
        <r>
          <rPr>
            <b/>
            <sz val="9"/>
            <color indexed="81"/>
            <rFont val="Tahoma"/>
            <family val="2"/>
          </rPr>
          <t>Cruz Elena Ortega Angel:</t>
        </r>
        <r>
          <rPr>
            <sz val="9"/>
            <color indexed="81"/>
            <rFont val="Tahoma"/>
            <family val="2"/>
          </rPr>
          <t xml:space="preserve">
Favor revisar número de cédula
</t>
        </r>
      </text>
    </comment>
  </commentList>
</comments>
</file>

<file path=xl/sharedStrings.xml><?xml version="1.0" encoding="utf-8"?>
<sst xmlns="http://schemas.openxmlformats.org/spreadsheetml/2006/main" count="15784" uniqueCount="4481">
  <si>
    <t>FECHA</t>
  </si>
  <si>
    <t>NOMBRE</t>
  </si>
  <si>
    <t>CONCEPTO</t>
  </si>
  <si>
    <t xml:space="preserve"> CARLOS ARTURO PADILLA MONTES</t>
  </si>
  <si>
    <t>falta el hemograma</t>
  </si>
  <si>
    <t>JOSE ANDRES FLOREZ MORENO</t>
  </si>
  <si>
    <t>si</t>
  </si>
  <si>
    <t>LILIANA SANTOS SANTOS</t>
  </si>
  <si>
    <t>si, debe consultar por optometria</t>
  </si>
  <si>
    <t xml:space="preserve"> NELSON ANTONIO MURILLO PALACIO</t>
  </si>
  <si>
    <t>OLGA PATRICIA RAMIREZ CEBALLOS</t>
  </si>
  <si>
    <t>primero debe realizarse tratamiento por la alteracion del hemograma y por la anemia leve que tiene</t>
  </si>
  <si>
    <t>JUAN CARLOS NAVARRO CAMARGO</t>
  </si>
  <si>
    <t>ANA VIVIANA PACHECO SERNA</t>
  </si>
  <si>
    <t>si, eosinofilia y al borde de la anemia</t>
  </si>
  <si>
    <t>YOVANNY MANUEL SIBAJA MORALES</t>
  </si>
  <si>
    <t>DANIEL ANTONIO MARQUEZ HERNANDEZ</t>
  </si>
  <si>
    <t>si, eosinofilia</t>
  </si>
  <si>
    <t>NELSON MANUEL MONTALVO DIAZ</t>
  </si>
  <si>
    <t>si, sobrepeso</t>
  </si>
  <si>
    <t>CARLOS ARTURO PADILLA MONTES</t>
  </si>
  <si>
    <t xml:space="preserve">repetir hemograma en 8 dias, </t>
  </si>
  <si>
    <t xml:space="preserve"> DIONEZ ALEXANDER HERNANDEZ PALACIOS</t>
  </si>
  <si>
    <t>si eosinofilia</t>
  </si>
  <si>
    <t>ANIBAL MOVILLA ACEVEDO</t>
  </si>
  <si>
    <t>si, eosinofilia y debe consultar por optometria</t>
  </si>
  <si>
    <t>YOVANY MANUEL SIBAJA MORALES</t>
  </si>
  <si>
    <t xml:space="preserve"> EDER ANDRES ROMERO CHAVERRA</t>
  </si>
  <si>
    <t>ORLANDO JUNIOR GARCIA TAMI</t>
  </si>
  <si>
    <t>HUBER NEY BELTRAN CASTELLANOS</t>
  </si>
  <si>
    <t xml:space="preserve"> DAMARIS ESPITIA SUAREZ</t>
  </si>
  <si>
    <t xml:space="preserve"> RAFAEL ALVAREZ ZABALETA</t>
  </si>
  <si>
    <t>MEDARDO ENRIQUE MORALES ORTIZ</t>
  </si>
  <si>
    <t>VICTOR ALFONSO HEREDIA ARCE</t>
  </si>
  <si>
    <t>DEIBER JENEIS CAMPO DE LEON</t>
  </si>
  <si>
    <t>DANIEL TAMAYO RAMOS</t>
  </si>
  <si>
    <t>si, unicamente por 8 meses</t>
  </si>
  <si>
    <t xml:space="preserve"> LUIS JAVIER MORENO HINESTROZA</t>
  </si>
  <si>
    <t xml:space="preserve"> DAIBER ALJADIS RAMIREZ PALOMEQUE</t>
  </si>
  <si>
    <t>no</t>
  </si>
  <si>
    <t xml:space="preserve"> FABIAN ALEJANDRO MARTINEZ GONZALEZ</t>
  </si>
  <si>
    <t>OXEN AMETH MERCADO JULIO</t>
  </si>
  <si>
    <t>JORGE SAYA BRAVO</t>
  </si>
  <si>
    <t xml:space="preserve"> OKLIDES GOMEZ NIAZA</t>
  </si>
  <si>
    <t>JADER GONZALEZ CORREA</t>
  </si>
  <si>
    <t>LUIS SANTOS PEREZ SIBAJA</t>
  </si>
  <si>
    <t>CARLOS ANDRES HACHITO SIPION</t>
  </si>
  <si>
    <t>JOSE ARLEY MOSQUERA MURILLO</t>
  </si>
  <si>
    <t>WILBER MARTINEZ CORREA</t>
  </si>
  <si>
    <t>WALTER ANDRES CABRERA MONTES</t>
  </si>
  <si>
    <t>GABRIEL BELLO MURILLO</t>
  </si>
  <si>
    <t>SI</t>
  </si>
  <si>
    <t>MELBER ELY FABRA CALLE</t>
  </si>
  <si>
    <t>NO, primero debe curarse la dermatitis que tiene en las manos</t>
  </si>
  <si>
    <t xml:space="preserve"> SANTIAGO VILLA OCHOA</t>
  </si>
  <si>
    <t xml:space="preserve"> JESUS ALBERTO OYOLA ZEA</t>
  </si>
  <si>
    <t xml:space="preserve"> JHAN CARLOS CARDONA MANCO</t>
  </si>
  <si>
    <t>este no habia hecho proceso por otra finca ???</t>
  </si>
  <si>
    <t>USNEY DARIO DIAZ AMAYA</t>
  </si>
  <si>
    <t xml:space="preserve"> JESUS DAVID LOPEZ MONTES</t>
  </si>
  <si>
    <t>JOSE EDINSON MORENO LOPEZ</t>
  </si>
  <si>
    <t>JESUS ANTONIO MARTINEZ LARGACHA</t>
  </si>
  <si>
    <t>MARGER DAVID MEZA MESA</t>
  </si>
  <si>
    <t>WAGNER DE JESUS DAVID ROQUEME</t>
  </si>
  <si>
    <t xml:space="preserve"> ALBEIRO MOSQUERA</t>
  </si>
  <si>
    <t>SANDRO EDINSON CAUSIL VELASCO</t>
  </si>
  <si>
    <t xml:space="preserve"> MARIO ALBERTO MESTRA PAREZ</t>
  </si>
  <si>
    <t xml:space="preserve"> FRANKLIN MIRANDA BELEN</t>
  </si>
  <si>
    <t>DIEGO ALONSO HOYOS CANO</t>
  </si>
  <si>
    <t>ORLANDO QUINTO OREJUELA</t>
  </si>
  <si>
    <t xml:space="preserve">si, tiene casi obesidad, antes de ingresar debo hablar con el </t>
  </si>
  <si>
    <t xml:space="preserve"> JUAN DAVID PALACIOS BECERRA</t>
  </si>
  <si>
    <t>no, persiste la alteracion en su hemograma, debe consultar en su EPS y luego puede volver a realizar el proceso</t>
  </si>
  <si>
    <t>DIANA PATRICIA ESPITIA SUAREZ</t>
  </si>
  <si>
    <t>YULIAN GERARDO ARIAS SERNA</t>
  </si>
  <si>
    <t>VICTOR ALFREDO RAMO CONTRERAS</t>
  </si>
  <si>
    <t>SANTIAGO STIVEN PEÑATA ARTEAGA</t>
  </si>
  <si>
    <t>NATALIA ANDREA OTALVARES ZAPATA</t>
  </si>
  <si>
    <t>si, leve anemia que debe tratar por su EPS</t>
  </si>
  <si>
    <t>DEIMER DE JESUS PEREZ MEJIA</t>
  </si>
  <si>
    <t>si, sobrepeso y eosinofilia</t>
  </si>
  <si>
    <t>ISAAC PALACIOS BECERRA</t>
  </si>
  <si>
    <t xml:space="preserve"> JOSE EDINSON MORENO LOPEZ</t>
  </si>
  <si>
    <t>persiste alteracion del hemograma, debe tratarse esto primero y luego revisamos si puede ingresar</t>
  </si>
  <si>
    <t>LEWIS ANDRES DE LA HOZ SIMANCA</t>
  </si>
  <si>
    <t>JADER YORNEY MURILLO RUEDA</t>
  </si>
  <si>
    <t>SANTIAGO VILLA OCHOA</t>
  </si>
  <si>
    <t> ELVIS PLATA CHARRASQUIEL</t>
  </si>
  <si>
    <t xml:space="preserve">repetir hemograma en 8 dias, ademas tiene un problema de vision en su ojo izquierdo que debe corregir antes del ingreso si mejora el hemograma </t>
  </si>
  <si>
    <t>JHAN CARLOS CARDONA MANCO</t>
  </si>
  <si>
    <t>JESUS ALBERTO URIBE DIAZ</t>
  </si>
  <si>
    <t>repetir hemograma en 8 dias</t>
  </si>
  <si>
    <t>RUBEN DARIO PLAZA BERTEL</t>
  </si>
  <si>
    <t>CAMILO ANDRES GONZALEZ BARRERA</t>
  </si>
  <si>
    <t>JOSE LEONIS JAVE PEÑA</t>
  </si>
  <si>
    <t xml:space="preserve"> RICARDO PEINADO GARCIA</t>
  </si>
  <si>
    <t xml:space="preserve">JESUS ALBERTO URIBE DIAZ </t>
  </si>
  <si>
    <t xml:space="preserve"> BLADIMIR TORRES SEPULVEDA</t>
  </si>
  <si>
    <t xml:space="preserve"> si</t>
  </si>
  <si>
    <t xml:space="preserve"> JUAN GABRIEL RUIZ ROQUEME </t>
  </si>
  <si>
    <t>WAGNER DE JESUS DAVID ROQUEME</t>
  </si>
  <si>
    <t>DIEGO ALONSO HOYOS CANO</t>
  </si>
  <si>
    <t>MANUEL RAMON PALACIOS PALACIOS</t>
  </si>
  <si>
    <t>DANIEL TORRES ARROLLO</t>
  </si>
  <si>
    <t>ISAAC ENRIQUE</t>
  </si>
  <si>
    <t>YAIR ALBERTO DIAZ PATERNINA</t>
  </si>
  <si>
    <t>jose armando palacios carrasco</t>
  </si>
  <si>
    <t>JHON ARLEY CASTAÑEDA CASTRO</t>
  </si>
  <si>
    <t>HECTOR ALFONSO VALLEJO LONDOÑO</t>
  </si>
  <si>
    <t>ELVER MAQUILON ANAYA</t>
  </si>
  <si>
    <t>EDWAR ENRIQUE GUARDO MENDOZA</t>
  </si>
  <si>
    <t>andres felipe martinez</t>
  </si>
  <si>
    <t xml:space="preserve">GULLIERMO ALEXANDER BELLO </t>
  </si>
  <si>
    <t xml:space="preserve"> EVER LOPEZ GOMEZ</t>
  </si>
  <si>
    <t xml:space="preserve">EVER DARIO PEÑA MARTINEZ </t>
  </si>
  <si>
    <t>EVER MANUEL MASS SANCHEZ</t>
  </si>
  <si>
    <t xml:space="preserve"> robinson valencia</t>
  </si>
  <si>
    <t xml:space="preserve"> ROSENDO JOSE MARTINEZ MENDOZA</t>
  </si>
  <si>
    <t>ELVIS PLATA CHARRASQUIEL</t>
  </si>
  <si>
    <t>si, debe consultar por optometria para que le formulen lentes, los cuales debe usar de manera permanente en la labor que realice</t>
  </si>
  <si>
    <t>EVER LUIS PACHECO MACHADO</t>
  </si>
  <si>
    <t>WILLIAN ESTEBAN BAÑOL VELEZ</t>
  </si>
  <si>
    <t>si sobrepeso</t>
  </si>
  <si>
    <t xml:space="preserve">YADIR ARLEX IZASA VARGAS </t>
  </si>
  <si>
    <t>si, es muy importante que le pregunten que le paso en el pie porque no es claro el antecedente identificado en el examen</t>
  </si>
  <si>
    <t xml:space="preserve">CAREN AYDETH PAEZ REYES </t>
  </si>
  <si>
    <t>ALEXANDER PEREA CORONA</t>
  </si>
  <si>
    <t>GILBERTO MENESES PACHECO</t>
  </si>
  <si>
    <t>NORBEY GONZALEZ PEREZ</t>
  </si>
  <si>
    <t xml:space="preserve"> LEONIDAS LIÑAN GRANADO</t>
  </si>
  <si>
    <t>aunque tiene el hemograma alterado debemos contratarlo, y tambien debe consultar con la EPS por la alteracion del hemograma</t>
  </si>
  <si>
    <t>DUVAN HERNANDEZ GOMEZ</t>
  </si>
  <si>
    <t>YAILER LOPEZ DIAZ</t>
  </si>
  <si>
    <t>LUIS ANDRES RODRIGUEZ MARTINEZ</t>
  </si>
  <si>
    <t>ARVEYS PLATA FERIA</t>
  </si>
  <si>
    <t xml:space="preserve"> JUAN GUILLERMO DE LA CRUZ MEJIA</t>
  </si>
  <si>
    <t>si, debe realizarse la audiometria</t>
  </si>
  <si>
    <t xml:space="preserve"> YULY ANDREA ROCHA OCAMPO</t>
  </si>
  <si>
    <t xml:space="preserve"> JOSE BERNARDO CIRO DAVID</t>
  </si>
  <si>
    <t>JHON JADER CALDERIN LARA</t>
  </si>
  <si>
    <t>AUGUSTO ANTONIO TORO PATIÑO</t>
  </si>
  <si>
    <t>BERLIDIS BEDITH BALLESTEROS VALETA</t>
  </si>
  <si>
    <t>ARGEMIRO HERRERA CASTRO</t>
  </si>
  <si>
    <t>JHONNY OTERO DIAZ</t>
  </si>
  <si>
    <t>DIANA MARCELA PALACIOS CUESTA</t>
  </si>
  <si>
    <t>CARLOS ARNOBIS NUÑES CARABALLO</t>
  </si>
  <si>
    <t xml:space="preserve"> YARLIS TATIANA ARENAS GONZALEZ</t>
  </si>
  <si>
    <t xml:space="preserve"> OVER ENRIQUE RODRIGUEZ LUGO</t>
  </si>
  <si>
    <t>VICTOR ALFONSO PALENCIA QUINTERO</t>
  </si>
  <si>
    <t xml:space="preserve"> ANDRES DAVID GUZMAN ACOSTA</t>
  </si>
  <si>
    <t>PEDRO JOSE DIAZ DORIA</t>
  </si>
  <si>
    <t>si, puede contratarse pero se le recomienda consultar con medicina general para revisar una posible hipertension</t>
  </si>
  <si>
    <t xml:space="preserve"> JULIAN ALBEIRO AGUDELO CASTAÑO</t>
  </si>
  <si>
    <t>OSLANDER DE JESUS ROMERO MANCO</t>
  </si>
  <si>
    <t>SI, debe estar pendiente de una posible anemia</t>
  </si>
  <si>
    <t>CARLOS MARIO CORDOBA ASPRILLA</t>
  </si>
  <si>
    <t>JORGE IVAN MOSQUERA HIGUITA</t>
  </si>
  <si>
    <t>EVER LUIS MARTINEZ LOPEZ</t>
  </si>
  <si>
    <t>OSCAR DAVID ROZO ARGUMEDO</t>
  </si>
  <si>
    <t>ANA MARIA MONTOYA CAVADIA</t>
  </si>
  <si>
    <t>repetir hemograma en 8 dias, y debemos aclarar cual es la patologia que supuestamente no afecta</t>
  </si>
  <si>
    <t>EDER ENILSON TORDECILLA MISAL</t>
  </si>
  <si>
    <t>hay que preguntarle hace cuanto le ocurrio el problema en el codo, cuando tenga ese dato definimos</t>
  </si>
  <si>
    <t>WARNIN ENRIQUE MAUSA GONZALEZ</t>
  </si>
  <si>
    <t>si, leve sobrepeso, debe comprometerse a rebajar</t>
  </si>
  <si>
    <t>JUAN CARLOS PALACIOS GARCIA</t>
  </si>
  <si>
    <t xml:space="preserve"> EDUAR DAVID NAVARRO GARCIA</t>
  </si>
  <si>
    <t>EDER LUIS SALAZAR POVEDA</t>
  </si>
  <si>
    <t>si solo por 4 meses</t>
  </si>
  <si>
    <t xml:space="preserve"> OMAR LOBO BERRIO</t>
  </si>
  <si>
    <t>NILSON ALBERTO FLOREZ ZURITA</t>
  </si>
  <si>
    <t xml:space="preserve"> YOSER ALEXANDER USUGA LOZANO</t>
  </si>
  <si>
    <t>DUVAN DARIO AREIZA RODRIGUEZ</t>
  </si>
  <si>
    <t xml:space="preserve"> JUAN CAMILO BORJA PUERTA</t>
  </si>
  <si>
    <t>ERIKA MIRLEYS ESPITIA CAVAS</t>
  </si>
  <si>
    <t>YULIETH PAOLA LOPEZ PEREZ</t>
  </si>
  <si>
    <t>HERNAN DAVID HIGUITA CALLE</t>
  </si>
  <si>
    <t>CARLOS ONEL HERNANDEZ SANTAMARIA</t>
  </si>
  <si>
    <t>ALEXANDER RIVERA PADILLA</t>
  </si>
  <si>
    <t>EDGAR DE JESUS MEJIA LOPEZ</t>
  </si>
  <si>
    <t>NO</t>
  </si>
  <si>
    <t>JUAN SEBASTIAN VIVEROS MOSQUERA</t>
  </si>
  <si>
    <t>SAMIR JAIR SOTELO LOPEZ</t>
  </si>
  <si>
    <t xml:space="preserve"> SI, TIENE MICOSIS QUE SE LA DEBE TRATAR PERO PUEDE INICIAR A LABORAR</t>
  </si>
  <si>
    <t>LUIS ALBERTO FLOREZ MONROY</t>
  </si>
  <si>
    <t>SI, POR 4 MESES</t>
  </si>
  <si>
    <t xml:space="preserve">JESUS ALBERTO GENES PEREIRA </t>
  </si>
  <si>
    <t>DEBE CONSULTAR POR OPTOMETRIA</t>
  </si>
  <si>
    <t>JUAN DAVID CABRERA VARGAS</t>
  </si>
  <si>
    <t>TIENE ALTERACION CARDIACA QUE DEBE ACLARAR PRIMERO CON SU EPS</t>
  </si>
  <si>
    <t xml:space="preserve"> MAURICIO AGUIRRE ROJAS</t>
  </si>
  <si>
    <t>EDUAR DAVID NAVARRO GARCIA</t>
  </si>
  <si>
    <t>CARLOS ARTURO MANCO HIGUITA</t>
  </si>
  <si>
    <t>CARLOS MANUEL TORRES DORIA</t>
  </si>
  <si>
    <t>SI, puede ingresar pero debe consultar por su micosis</t>
  </si>
  <si>
    <t>KETTY JULIETH HOYOS PEREIRA</t>
  </si>
  <si>
    <t>OSWALDO LOPEZ HERRERA</t>
  </si>
  <si>
    <t xml:space="preserve"> KELLY YOHANA RICARDO MADRID</t>
  </si>
  <si>
    <t>JESUS ALBERTO GENES PEREIRA</t>
  </si>
  <si>
    <t>YEISON DE LA ROSA NARVAEZ</t>
  </si>
  <si>
    <t>si, debe realizarse tratamiento para la dermatomicosis</t>
  </si>
  <si>
    <t>WILLIAM ANDRES TORRES MOSQUERA</t>
  </si>
  <si>
    <t xml:space="preserve"> OSWALDO LOPEZ HERRERA</t>
  </si>
  <si>
    <t>LUIS ANTONIO SIERRA BETANCUR</t>
  </si>
  <si>
    <t>DARLEY SANCHEZ GIRALDO</t>
  </si>
  <si>
    <t xml:space="preserve"> ISAI ANTONIO MORALES OSORIO</t>
  </si>
  <si>
    <t>si, debe consultar con su eps el problema de piel</t>
  </si>
  <si>
    <t>MAIRA ALEJANDRA OSPINA BORJA</t>
  </si>
  <si>
    <t xml:space="preserve"> JAIR MEDINA GAVIRIA</t>
  </si>
  <si>
    <t>FABER ANDRES JIMENEZ USUGA</t>
  </si>
  <si>
    <t>MAICON ESTEBAN OVIEDO URANGO</t>
  </si>
  <si>
    <t>JOHN ESTIBEN SIPION JULIO</t>
  </si>
  <si>
    <t>OSNEYDER ANTONIO MAZO GENES</t>
  </si>
  <si>
    <t xml:space="preserve"> CRISTIAN ARLEY URANGO SANCHEZ</t>
  </si>
  <si>
    <t xml:space="preserve"> JAIME ENRIQUE.MARTINEZ JULIO</t>
  </si>
  <si>
    <t>repetir hemograma en 8 dias y de una vez valoracion por optometria para ver si necesita gafas</t>
  </si>
  <si>
    <t xml:space="preserve"> VICTOR ALEJANDRO MERCADO MASS</t>
  </si>
  <si>
    <t>ANDRES FARITH BENAVIDES CASTILLO</t>
  </si>
  <si>
    <t xml:space="preserve"> FRANCISCO ANTONIO PANTOJA AVLIES</t>
  </si>
  <si>
    <t>EDER ENRIQUE SUAREZ RAMOS</t>
  </si>
  <si>
    <t xml:space="preserve"> LEANDRO YESIS NIEBLES FONSECA</t>
  </si>
  <si>
    <t>AMAURY ANTONIO PEREZ DURANGO</t>
  </si>
  <si>
    <t>si, sobrepeso, debe comprometerse a rebajar dado que va a realizar labores con el uso de escalera</t>
  </si>
  <si>
    <t>Katty Marcela Suarez</t>
  </si>
  <si>
    <t>obesidad, que paso con el proceso de selección que no fue identificado esto??</t>
  </si>
  <si>
    <t>Nataliy E Diaz</t>
  </si>
  <si>
    <t>REINALDO GODOY MURILLO</t>
  </si>
  <si>
    <t>Duvan Stiven Tuberquia</t>
  </si>
  <si>
    <t>Arlinson Cordoba Gonzalez</t>
  </si>
  <si>
    <t>Leicer David Montalvo</t>
  </si>
  <si>
    <t xml:space="preserve">Misael Antonio Bello </t>
  </si>
  <si>
    <t>Yeison David Rodriguez I</t>
  </si>
  <si>
    <t>Francisco Antonio Prieto</t>
  </si>
  <si>
    <t>112 kilos obesidad grado 1????</t>
  </si>
  <si>
    <t>Wuaimir A de la Barrera Hernandez</t>
  </si>
  <si>
    <t>Leiman Perez Quintana</t>
  </si>
  <si>
    <t>Donaldo Caro U</t>
  </si>
  <si>
    <t>Dayson A Paternina</t>
  </si>
  <si>
    <t xml:space="preserve"> KATERINE PALACIOS PALACIOS</t>
  </si>
  <si>
    <t>CRISTIAN POSADA PERTUZ</t>
  </si>
  <si>
    <t>enviar los examenes al medico</t>
  </si>
  <si>
    <t>si, 4 meses</t>
  </si>
  <si>
    <t>si, unicamente por 4 meses</t>
  </si>
  <si>
    <t>JAIME ENRIQUE.MARTINEZ JULIO</t>
  </si>
  <si>
    <t>EMILIANO JOSE VELASQUEZ</t>
  </si>
  <si>
    <t>Eduar Antonio Mejia</t>
  </si>
  <si>
    <t>Ferney Perez C.</t>
  </si>
  <si>
    <t xml:space="preserve"> EDWAR ANTONIO MEJIA</t>
  </si>
  <si>
    <t>LUIS ALEJANDRO NAVARRO DIAZ</t>
  </si>
  <si>
    <t xml:space="preserve"> DIEGO ALEJANDRO SILVA LINARES</t>
  </si>
  <si>
    <t xml:space="preserve"> EUGENIO CARDOZA CORDOBA</t>
  </si>
  <si>
    <t xml:space="preserve"> SAILER ANDRES POLO BERRIO</t>
  </si>
  <si>
    <t>WILMAR CEÑA</t>
  </si>
  <si>
    <t xml:space="preserve"> Luis Carlos Otero</t>
  </si>
  <si>
    <t>CRISTIAN ANTONIO PEREZ PATERNINA</t>
  </si>
  <si>
    <t>MARCELINO ARRIETA PEREIRA</t>
  </si>
  <si>
    <t xml:space="preserve"> EDWIN NUÑEZ QUINTERO</t>
  </si>
  <si>
    <t xml:space="preserve"> CESAR AUGUSTO PALACIO CUESTA</t>
  </si>
  <si>
    <t xml:space="preserve"> MIRTON CORDOBA MOSQUERA</t>
  </si>
  <si>
    <t>no OBESIDAD</t>
  </si>
  <si>
    <t xml:space="preserve"> ELKIN DARIO FERNANDEZ BARRAGAN</t>
  </si>
  <si>
    <t xml:space="preserve"> JOAQUIN ANTONIO PEREZ CARDONA</t>
  </si>
  <si>
    <t>LEISON VALLE GUERRA</t>
  </si>
  <si>
    <t>si 8 meses</t>
  </si>
  <si>
    <t xml:space="preserve"> JAME ALONSO MORENO RESTREPO</t>
  </si>
  <si>
    <t xml:space="preserve"> JUAN CARLOS CUADRADO FLOREZ</t>
  </si>
  <si>
    <t xml:space="preserve"> JOSE DANIEL FABRA OSORIO</t>
  </si>
  <si>
    <t xml:space="preserve"> JUAN DAVID RUIZ OROZCO</t>
  </si>
  <si>
    <t xml:space="preserve"> JUAN CARLOS CAUSIL ACOSTA</t>
  </si>
  <si>
    <t xml:space="preserve"> DINA MARCELA HERNANDEZ</t>
  </si>
  <si>
    <t xml:space="preserve"> JUAN ALBERTO MONTERROSA FLOREZ</t>
  </si>
  <si>
    <t>JOAQUIN ANTONIO PEREZ CARDONA</t>
  </si>
  <si>
    <t>ALEXIS MOSQUERA CUESTA</t>
  </si>
  <si>
    <t xml:space="preserve"> RAFAEL BARRIOS ESCOBAR</t>
  </si>
  <si>
    <t>DAYSON ANTONIO PATERNINA</t>
  </si>
  <si>
    <t>si 4 meses</t>
  </si>
  <si>
    <t>EUDALDO ROJAS</t>
  </si>
  <si>
    <t>DARIO ROCHA</t>
  </si>
  <si>
    <t xml:space="preserve"> JHON CARLOS CASTILLO BOLAÑOS</t>
  </si>
  <si>
    <t>ALVARO ISELSO</t>
  </si>
  <si>
    <t>MANUEL LUCIO</t>
  </si>
  <si>
    <t>LAURA CRISTINA BERRIO ZAPATA</t>
  </si>
  <si>
    <t xml:space="preserve"> LUIS GUSTAVO BETANCUR</t>
  </si>
  <si>
    <t>DAIRO MANUEL CASTAÑEDA RUIZ</t>
  </si>
  <si>
    <t>no, gran sobrepeso</t>
  </si>
  <si>
    <t xml:space="preserve"> JOSE ALFONZO GUTIERREZ DIAZ</t>
  </si>
  <si>
    <t>ALFONSO DARIO MARTINEZ CANTERO</t>
  </si>
  <si>
    <t>LUIS ALBERTO ESCALANTE</t>
  </si>
  <si>
    <t>GABRIEL ALBERTO PALENCIA</t>
  </si>
  <si>
    <t>JHON EIDER CANO GUERRA</t>
  </si>
  <si>
    <t xml:space="preserve"> KAREN PATRICIA AGUILAR HERRERA</t>
  </si>
  <si>
    <t xml:space="preserve"> ROBIN DAVID BURGOS CANTERO</t>
  </si>
  <si>
    <t>LUIS ALFREDO CARBAJAL MOLINA</t>
  </si>
  <si>
    <t>HEINER DAVID URIBE RAIGOZA</t>
  </si>
  <si>
    <t>debe consultar primero por su arritmia cardiaca</t>
  </si>
  <si>
    <t xml:space="preserve"> JUAN DAVID MARTINEZ TEHERAN</t>
  </si>
  <si>
    <t xml:space="preserve"> JOSE MIGUEL FLOREZ CARDONA</t>
  </si>
  <si>
    <t>JOSE CARLOS PEÑAS CARDENAS</t>
  </si>
  <si>
    <t>DIEGO LUIS AYALA LARA</t>
  </si>
  <si>
    <t>DIEGO LUIS PADILLA MIRA</t>
  </si>
  <si>
    <t>NELSON ENRIQUE BATISTA PUENTES</t>
  </si>
  <si>
    <t>CARLOS ALBERTO FAJARDO ESTRADA</t>
  </si>
  <si>
    <t>ILARIO JOSE RAMOS AVILA</t>
  </si>
  <si>
    <t>debe repetirse la colinesterasa y hacerla con la tecnica de mitchel</t>
  </si>
  <si>
    <t>GLORIA PATRICIA FLOREZ USUGA</t>
  </si>
  <si>
    <t>si, pero debe tratarse una patologia de piel por su eps</t>
  </si>
  <si>
    <t xml:space="preserve"> YODIS LOPEZ MUÑOZ</t>
  </si>
  <si>
    <t>OSNEIDER ANTONIO GIRALDO GARCIA</t>
  </si>
  <si>
    <t xml:space="preserve"> MARIA ALEJANDRA MURILLO PATERNINA</t>
  </si>
  <si>
    <t>YANEIDYS BOHORQUEZ PRESTAN</t>
  </si>
  <si>
    <t>JULIETH CAROLINA HERNANDEZ RODRIGUEZ</t>
  </si>
  <si>
    <t xml:space="preserve"> CRISTIAN DAVID GALVAN</t>
  </si>
  <si>
    <t>DIONILA MERCADO</t>
  </si>
  <si>
    <t xml:space="preserve"> ISMAEL CAMILO POLO</t>
  </si>
  <si>
    <t>LUZ NEY MOSQUERA</t>
  </si>
  <si>
    <t xml:space="preserve"> YUDI LUCIA PEREZ</t>
  </si>
  <si>
    <t xml:space="preserve"> CARLOS EMILIO QUIROZ</t>
  </si>
  <si>
    <t>LUIS EDUARDO VACCA</t>
  </si>
  <si>
    <t xml:space="preserve"> HELBERT ANTONIO GUTIERREZ</t>
  </si>
  <si>
    <t>MAURICIO PINTO</t>
  </si>
  <si>
    <t>JAN CARLOS BARRIO</t>
  </si>
  <si>
    <t>JUAN RAFAEL PRADA</t>
  </si>
  <si>
    <t>JAIRO AYALA AGAMEZ</t>
  </si>
  <si>
    <t>MARIA ELVIRA ALVAREZ PEREZ</t>
  </si>
  <si>
    <t xml:space="preserve"> HILLARY PINO RIVAS</t>
  </si>
  <si>
    <t>JUAN SEBASTIAN MARTINEZ MARTIN</t>
  </si>
  <si>
    <t>FINCA</t>
  </si>
  <si>
    <t>Bananal</t>
  </si>
  <si>
    <t>coordinador de campo</t>
  </si>
  <si>
    <t>JOSE MIGUEL FLOREZ CARDONA</t>
  </si>
  <si>
    <t>aprendizaje fommi-embolse-fumigacion maleza</t>
  </si>
  <si>
    <t>CARGO</t>
  </si>
  <si>
    <t>OFICIO</t>
  </si>
  <si>
    <t>OFICIOS VARIOS</t>
  </si>
  <si>
    <t>Represa</t>
  </si>
  <si>
    <t xml:space="preserve"> LUIS ALBERTO ESCALANTE</t>
  </si>
  <si>
    <t>Delicias</t>
  </si>
  <si>
    <t>palero</t>
  </si>
  <si>
    <t xml:space="preserve"> JHON EIDER CANO GUERRA</t>
  </si>
  <si>
    <t>foamy, fumigacion</t>
  </si>
  <si>
    <t>ANYIS GUTIERREZ ARRIETA</t>
  </si>
  <si>
    <t>aprendiz sena</t>
  </si>
  <si>
    <t>BLEIDIS YURANY VELASQUEZ GUERRA</t>
  </si>
  <si>
    <t>Florida</t>
  </si>
  <si>
    <t>empaque</t>
  </si>
  <si>
    <t>ARLY ARLET JULIO AGUILAR</t>
  </si>
  <si>
    <t>selección y empaque</t>
  </si>
  <si>
    <t>NANCY ELENA MOSQUERA</t>
  </si>
  <si>
    <t>sello empaque</t>
  </si>
  <si>
    <t xml:space="preserve"> ILARIO JOSE RAMOS AVILA</t>
  </si>
  <si>
    <t>embolse foamy</t>
  </si>
  <si>
    <t>ELIAS FLOREZ PADILLA</t>
  </si>
  <si>
    <t>Mateguadua</t>
  </si>
  <si>
    <t xml:space="preserve"> fumigador embolse</t>
  </si>
  <si>
    <t xml:space="preserve"> EUCLIDES RAMOS</t>
  </si>
  <si>
    <t>fumigador amarrador</t>
  </si>
  <si>
    <t>OSNAIDER LEXIT MARCHENA ALMANZA</t>
  </si>
  <si>
    <t>Santa isabel</t>
  </si>
  <si>
    <t>aprendiz de amarre y desmane</t>
  </si>
  <si>
    <t xml:space="preserve"> JORGE LUIS MARINO</t>
  </si>
  <si>
    <t xml:space="preserve"> ARELIS BUITRAGO CARRASCAL</t>
  </si>
  <si>
    <t>sello, clasificacion</t>
  </si>
  <si>
    <t>YEISON DARIO FERNANDEZ</t>
  </si>
  <si>
    <t xml:space="preserve">fumigador </t>
  </si>
  <si>
    <t>aprendiz selección y sello</t>
  </si>
  <si>
    <t>MARLY MENA MENA</t>
  </si>
  <si>
    <t>SAMIR ELIGIO ANDRADES</t>
  </si>
  <si>
    <t>cuadrilla de corte</t>
  </si>
  <si>
    <t xml:space="preserve"> JORGE LUIS MANCO RUEDA</t>
  </si>
  <si>
    <t>aprendiz selección y empaque</t>
  </si>
  <si>
    <t>YERALDIN MENA RIVERA</t>
  </si>
  <si>
    <t xml:space="preserve"> MARIO LUIS JULIO CORREA</t>
  </si>
  <si>
    <t xml:space="preserve"> HEINER DAVID URIBE RAIGOZA</t>
  </si>
  <si>
    <t>agricultor ayudante, foamy</t>
  </si>
  <si>
    <t xml:space="preserve"> EDWIN BERNA DE LA CRUZ</t>
  </si>
  <si>
    <t>foamy embolse</t>
  </si>
  <si>
    <t>DEIMER CARVAJAL QUINTERO</t>
  </si>
  <si>
    <t>foamy amarre</t>
  </si>
  <si>
    <t xml:space="preserve"> JOSE GERMAN RACERO ALVAREZ</t>
  </si>
  <si>
    <t xml:space="preserve"> MILTON DAVID RICARDO CARDOZO</t>
  </si>
  <si>
    <t>Ceiba</t>
  </si>
  <si>
    <t>cosecha</t>
  </si>
  <si>
    <t>DANIEL ALVAREZ LOPEZ</t>
  </si>
  <si>
    <t>BRAYAN ANDRES OSPINO</t>
  </si>
  <si>
    <t xml:space="preserve"> NOHEMY MOSQUERA</t>
  </si>
  <si>
    <t>al borde de la anemia</t>
  </si>
  <si>
    <t>ALEXANDER MENDOZA CANO</t>
  </si>
  <si>
    <t>Providencia</t>
  </si>
  <si>
    <t>Petra</t>
  </si>
  <si>
    <t>ISAIAS BORJA USUGA</t>
  </si>
  <si>
    <t>aprendiz empaque</t>
  </si>
  <si>
    <t>si, debe asumir un compromiso para rebajar</t>
  </si>
  <si>
    <t>NEIDER DUVAN PALACIOS HOYOS</t>
  </si>
  <si>
    <t>repetir hemograma en 8 dias, no enviaron el examen fisico</t>
  </si>
  <si>
    <t>aprendiz foamy</t>
  </si>
  <si>
    <t xml:space="preserve"> MARIO LUIS COHA LUGO</t>
  </si>
  <si>
    <t>aprendiz embolse empaque</t>
  </si>
  <si>
    <t xml:space="preserve"> SANTANDER GOMES ROMERO</t>
  </si>
  <si>
    <t>GUSTAVO MIGUEL SANCHEZ RAMIREZ</t>
  </si>
  <si>
    <t>foamy</t>
  </si>
  <si>
    <t>SAMIR ANTONIO CALLEJAS RESTREPO</t>
  </si>
  <si>
    <t>JUAN DAVID CARET</t>
  </si>
  <si>
    <t>repetir hemograma en 15 dias</t>
  </si>
  <si>
    <t>amarre, embolse, palletizado</t>
  </si>
  <si>
    <t xml:space="preserve"> NEIDER FABIAN LOPEZ ARRIETA</t>
  </si>
  <si>
    <t>CARLOS ALBERTO QUINTANA LEON</t>
  </si>
  <si>
    <t>Margaritas</t>
  </si>
  <si>
    <t>amarre, embolse, foamy</t>
  </si>
  <si>
    <t>JUAN FELIPE CORREA RESTREPO</t>
  </si>
  <si>
    <t>si, eosinofilia y sobrepeso</t>
  </si>
  <si>
    <t>almacenista barcadillero</t>
  </si>
  <si>
    <t>HECTOR LUIS BANQUET NARVAEZ</t>
  </si>
  <si>
    <t>si, solo 6 meses</t>
  </si>
  <si>
    <t>Sultana</t>
  </si>
  <si>
    <t>aprendiz foamy, colero, garruchero</t>
  </si>
  <si>
    <t>KEVIN ANDRES CAICEDO AGUIRRE</t>
  </si>
  <si>
    <t>aprendiz empaque y foamy</t>
  </si>
  <si>
    <t>LUIS GONZALO ARBOLEDA</t>
  </si>
  <si>
    <t>si, sobrepeso, unicamente por 6 meses</t>
  </si>
  <si>
    <t>aprendiz foamy, selección</t>
  </si>
  <si>
    <t xml:space="preserve"> VICTOR ALFONSO ROJAS ESPITIA</t>
  </si>
  <si>
    <t>foamy, palletizado</t>
  </si>
  <si>
    <t>ERLIN RODRIGUEZ VARGAS</t>
  </si>
  <si>
    <t>aprendiz foamy, embolse, amarre</t>
  </si>
  <si>
    <t xml:space="preserve"> JONATAN AVILA CARRILLO</t>
  </si>
  <si>
    <t>aprendiz embolse, foamy, amarre</t>
  </si>
  <si>
    <t xml:space="preserve"> LEINER JOSUE IBAÑEZ LOPEZ</t>
  </si>
  <si>
    <t>si, unicamente 6 meses</t>
  </si>
  <si>
    <t>foamy, proteccion de fruta</t>
  </si>
  <si>
    <t>ALEXANDER CARVAJAL PAYARES</t>
  </si>
  <si>
    <t>fumigacion, foamy</t>
  </si>
  <si>
    <t xml:space="preserve"> DARUIN DANIEL CAMARGO CASTRO</t>
  </si>
  <si>
    <t>si unicamente 6 meses</t>
  </si>
  <si>
    <t>ADOLFO GUSTAVO RESTREPO ORTIZ</t>
  </si>
  <si>
    <t>aprendiz foamy, palletizado</t>
  </si>
  <si>
    <t>MARCOS ROMERO PAYARES</t>
  </si>
  <si>
    <t>foamy, embolse, amarre</t>
  </si>
  <si>
    <t>embolse, fumigacion</t>
  </si>
  <si>
    <t>Acacias</t>
  </si>
  <si>
    <t>Raices</t>
  </si>
  <si>
    <t xml:space="preserve"> CRISTIAN HERNANDEZ MADRID</t>
  </si>
  <si>
    <t>Palomas</t>
  </si>
  <si>
    <t>amarre</t>
  </si>
  <si>
    <t>ALEXANDER MANUEL GOMEZ PEREZ</t>
  </si>
  <si>
    <t>si, pero primero debe consultar por optometria para determinar si requiere usar lentes en la labor</t>
  </si>
  <si>
    <t xml:space="preserve"> GEORGINA PAYARES OSORIO</t>
  </si>
  <si>
    <t xml:space="preserve"> JIRLEZA JOHANA PALACIOS ARRIETA</t>
  </si>
  <si>
    <t>aprendiz selección barcadilla</t>
  </si>
  <si>
    <t>si, debe ingresar por acacias, UNICAMENTE 8 MESES</t>
  </si>
  <si>
    <t>FRANCISCO MANUEL BURGOS TORO</t>
  </si>
  <si>
    <t>LUIS CARLOS MORENO QUINTO</t>
  </si>
  <si>
    <t>empaque-foamy</t>
  </si>
  <si>
    <t>LUIS ANTONIO CARABALLO ROQUEME</t>
  </si>
  <si>
    <t>corte, empaque, foamy</t>
  </si>
  <si>
    <t xml:space="preserve"> JHONNY IVAN DURANGO</t>
  </si>
  <si>
    <t>aprendiz cuadrilla de corte</t>
  </si>
  <si>
    <t xml:space="preserve"> YEISON DAVID LEON CAUSIL</t>
  </si>
  <si>
    <t>si unicamente 8 meses</t>
  </si>
  <si>
    <t>aprendiz selección, miss, empaque</t>
  </si>
  <si>
    <t>YENI MATOS SERNA</t>
  </si>
  <si>
    <t>WALTER PAYARES BRAN</t>
  </si>
  <si>
    <t>miss, corte, empaque</t>
  </si>
  <si>
    <t>JAMES FERNANDO RESTREPA MONTOYA</t>
  </si>
  <si>
    <t xml:space="preserve"> JHON JADER COGOLLO MORA</t>
  </si>
  <si>
    <t>LUZ HELENA VARELA</t>
  </si>
  <si>
    <t>si, debe controlar una ligera alteracion en su hemograma y una ligera anemia</t>
  </si>
  <si>
    <t>ALFONSO DE JESUS LONDOÑO ZAPATA</t>
  </si>
  <si>
    <t>agricultor suplente</t>
  </si>
  <si>
    <t xml:space="preserve"> JEIDER LUIS GONZALEZ</t>
  </si>
  <si>
    <t>si unicamente por 8 meses</t>
  </si>
  <si>
    <t>Costa Rica</t>
  </si>
  <si>
    <t xml:space="preserve">ayudante </t>
  </si>
  <si>
    <t>MAURICIO ANTONIO CORREA</t>
  </si>
  <si>
    <t>barcadillero, empaque, selector, desmane</t>
  </si>
  <si>
    <t>PEDRO JULIAN LEON</t>
  </si>
  <si>
    <t>Corte y empaque</t>
  </si>
  <si>
    <t>ABIUD MANUEL MORELO</t>
  </si>
  <si>
    <t>YERSON AGREDO</t>
  </si>
  <si>
    <t>aprendiz corte y empaque</t>
  </si>
  <si>
    <t xml:space="preserve"> ESTEFANIA CARVAJAL</t>
  </si>
  <si>
    <t>YORVENIS MENDOZA</t>
  </si>
  <si>
    <t>NARLINTON RODRIGUEZ GONZALEZ</t>
  </si>
  <si>
    <t>YULI YURANI MORENO PACHECO</t>
  </si>
  <si>
    <t>YENNY SMITH ASPRILLA LOPEZ</t>
  </si>
  <si>
    <t>Majagua</t>
  </si>
  <si>
    <t>SURLEY DANIELA USUGA GIRALDO</t>
  </si>
  <si>
    <t>Rancho Alegre</t>
  </si>
  <si>
    <t>ANA NORALBA TORO HIGUITA</t>
  </si>
  <si>
    <t>LUIS FERNANDO JARAMILLO AREIZA</t>
  </si>
  <si>
    <t>ANA CRISTINA ALVAREZ HERRERA</t>
  </si>
  <si>
    <t>aprendiz empaque, sello</t>
  </si>
  <si>
    <t xml:space="preserve"> OMAR CUADRADO BELTRAN</t>
  </si>
  <si>
    <t>fumigador, desmachador</t>
  </si>
  <si>
    <t>GLORIA ANDREA CATAÑO</t>
  </si>
  <si>
    <t>aprendiz selección y clasificacion</t>
  </si>
  <si>
    <t>JOHAN FERNEY OSORIO CORREA</t>
  </si>
  <si>
    <t>agricultor titular</t>
  </si>
  <si>
    <t>embolse, amarre, foamy</t>
  </si>
  <si>
    <t>OSCAR ONALVIS ORTEGA YAÑEZ</t>
  </si>
  <si>
    <t xml:space="preserve"> CLAUDIA PATRICIA DIAZ CRUZ</t>
  </si>
  <si>
    <t>MIGUEL ANGEL CORDOBA GONGORA</t>
  </si>
  <si>
    <t xml:space="preserve"> CRISTIAN ANDRES CORREA MORENO</t>
  </si>
  <si>
    <t>si, eosinofilia y debe consultar por optometria para definir si requiere usar las gafas en su trabajo</t>
  </si>
  <si>
    <t>aprendiz foamy amarre</t>
  </si>
  <si>
    <t>CRISTIAN DAVID ARRIETA MONTIEL</t>
  </si>
  <si>
    <t>si 6 meses</t>
  </si>
  <si>
    <t xml:space="preserve"> DIDIER EDUARDO DEL CASTILLO ANGULO</t>
  </si>
  <si>
    <t>CARLOS ARTURO MORA DIAZ</t>
  </si>
  <si>
    <t>aprendiz foamy, fumigacion</t>
  </si>
  <si>
    <t>JHOAN SEBASTIAN HERNANDEZ BLANQUICET</t>
  </si>
  <si>
    <t>aprendiz clasificacion empaque</t>
  </si>
  <si>
    <t>KEVIN DAVID BERMUDEZ RIOS</t>
  </si>
  <si>
    <t>KEVIN DAVID TEHERAN LUNA</t>
  </si>
  <si>
    <t>aprendiz foamy, colero, garruchero, amarre</t>
  </si>
  <si>
    <t xml:space="preserve"> ISMAEL JOSE NAVARRO ALEAN</t>
  </si>
  <si>
    <t>WBEIMAR YESID FONNEGRA BERRIO</t>
  </si>
  <si>
    <t>Carepa</t>
  </si>
  <si>
    <t>JHON JAIRO MORALES POLO</t>
  </si>
  <si>
    <t>si eosinofilia 6 meses</t>
  </si>
  <si>
    <t>embolse</t>
  </si>
  <si>
    <t>JOSE GERMAN RACERO ALVAREZ</t>
  </si>
  <si>
    <t>ARGELIO SANTA MARIA</t>
  </si>
  <si>
    <t xml:space="preserve"> OMAR ANDRES FIGUEROA PEREZ</t>
  </si>
  <si>
    <t>ANDERSON JAVIER TORREGLOSA</t>
  </si>
  <si>
    <t>no colocaron la finca</t>
  </si>
  <si>
    <t>amarre y foamy</t>
  </si>
  <si>
    <t>JHON ALEXANDER ROMERO SEPULVEDA</t>
  </si>
  <si>
    <t xml:space="preserve">si </t>
  </si>
  <si>
    <t>Claudia Sofia</t>
  </si>
  <si>
    <t>JOHN HENRY ARTEAGA QUIROZ</t>
  </si>
  <si>
    <t>embolse amarre</t>
  </si>
  <si>
    <t>JHON FREDYS RIVAS JULIO</t>
  </si>
  <si>
    <t>KEVIN ANDRES AGAMEZ VALENCIA</t>
  </si>
  <si>
    <t>foamy, amarre, embolse</t>
  </si>
  <si>
    <t>LEIDI JOHANA REALES ROVIRA</t>
  </si>
  <si>
    <t>ONEIDA BECERRA CORCHO</t>
  </si>
  <si>
    <t>FLOR MARIA MURILLO SANCHEZ</t>
  </si>
  <si>
    <t>clasificacion, selección</t>
  </si>
  <si>
    <t>DANNY DIAZ BEDOYA</t>
  </si>
  <si>
    <t>selección y sellado</t>
  </si>
  <si>
    <t>ADELA TORRES</t>
  </si>
  <si>
    <t>ELSY LEANIS COGOLLO</t>
  </si>
  <si>
    <t>Revancha</t>
  </si>
  <si>
    <t xml:space="preserve"> LILIANA COLORADO HERNANDEZ</t>
  </si>
  <si>
    <t>selección sello</t>
  </si>
  <si>
    <t>si, tiene una leve alteracion en su hemograma que debe consultar por la EPS, pero puede ingresar</t>
  </si>
  <si>
    <t>MARIO CESAR PAYARES VARELA</t>
  </si>
  <si>
    <t>selección empaque palletizado</t>
  </si>
  <si>
    <t>empaque foamy</t>
  </si>
  <si>
    <t xml:space="preserve"> ROYMAR GUZMAN</t>
  </si>
  <si>
    <t>Casco</t>
  </si>
  <si>
    <t>ROMARIO GUERRERO</t>
  </si>
  <si>
    <t xml:space="preserve"> MILADIS BANQUETH</t>
  </si>
  <si>
    <t>EDWIN ALONSO CEBALLO LAGOS</t>
  </si>
  <si>
    <t>si, sobrepeso y debe utilizar los lentes en la labor, informar de esto al administrador</t>
  </si>
  <si>
    <t>fumigador</t>
  </si>
  <si>
    <t>GRICY DEL CARMEN ANAYA</t>
  </si>
  <si>
    <t>si 6 meses y debe consultar por optometria para determinar si requiere lentes en la labor</t>
  </si>
  <si>
    <t>ANA LUISA COGOLLO</t>
  </si>
  <si>
    <t xml:space="preserve"> KEVIN ANDRES AGAMEZ VALENCIA</t>
  </si>
  <si>
    <t>YEISON MARTINEZ GARCES</t>
  </si>
  <si>
    <t>palletizado</t>
  </si>
  <si>
    <t>JHON ALEJANDRO URIBE</t>
  </si>
  <si>
    <t xml:space="preserve">si obesidad </t>
  </si>
  <si>
    <t>aprendiz empaque selección miss</t>
  </si>
  <si>
    <t>amarre embolse palletizado</t>
  </si>
  <si>
    <t>EDINTON DANIEL GUERRA GIRON</t>
  </si>
  <si>
    <t xml:space="preserve">aprendiz amarre, desmane </t>
  </si>
  <si>
    <t>YEFERSON ALBERTO LOPEZ GIRALDO</t>
  </si>
  <si>
    <t>palletizado y empaque</t>
  </si>
  <si>
    <t xml:space="preserve"> JONATHAN MURILLO AGUIRRE</t>
  </si>
  <si>
    <t>selección, corte y empaque</t>
  </si>
  <si>
    <t>ALFONSO MANUEL RODELO ORTIZ</t>
  </si>
  <si>
    <t>aprendiz amarre, corte y empaque</t>
  </si>
  <si>
    <t>FRANCISCO JAVIER MARTINEZ VERGARA</t>
  </si>
  <si>
    <t>pendiente</t>
  </si>
  <si>
    <t>administrativo</t>
  </si>
  <si>
    <t>auxiliar riego y drenajes</t>
  </si>
  <si>
    <t xml:space="preserve"> MERLY MENA MENA</t>
  </si>
  <si>
    <t>selección y miss</t>
  </si>
  <si>
    <t xml:space="preserve"> WILTON ALONSO MAZO MANCO</t>
  </si>
  <si>
    <t>aprendiz foamy, colero y garruchero</t>
  </si>
  <si>
    <t>LITO PADILLA HERNANDEZ</t>
  </si>
  <si>
    <t>si, debe usar los lentes en la labor</t>
  </si>
  <si>
    <t>administrador</t>
  </si>
  <si>
    <t xml:space="preserve"> JHONATAN ANDRES MARTINEZ HERNANDEZ</t>
  </si>
  <si>
    <t>aprendiz selección foamy</t>
  </si>
  <si>
    <t>ISAIAS VALLEJOS JULIO</t>
  </si>
  <si>
    <t>aprendiz embolse foamy</t>
  </si>
  <si>
    <t>BRAYAN ALEXIS CASTAÑEDA RIOS</t>
  </si>
  <si>
    <t>si, debe consultar por otometria</t>
  </si>
  <si>
    <t>embolse amarre foamy</t>
  </si>
  <si>
    <t>JHON KENER HERNANDEZ</t>
  </si>
  <si>
    <t>KEIVI LUIS ROQUEME</t>
  </si>
  <si>
    <t xml:space="preserve"> JOSE RAFAEL DIAZ</t>
  </si>
  <si>
    <t>amarre, embolse y foamy</t>
  </si>
  <si>
    <t>JORGE LUIS ESCOBAR</t>
  </si>
  <si>
    <t>RENE MAURICIO MOSQUERA</t>
  </si>
  <si>
    <t xml:space="preserve"> HAROLD SUAREZ REYES</t>
  </si>
  <si>
    <t>si sobrepeso 6 meses</t>
  </si>
  <si>
    <t>desmane, desmache, deshoje, proteccion palletizador</t>
  </si>
  <si>
    <t>CRISTIAN CAMILO ARTEAGA</t>
  </si>
  <si>
    <t>si, 6 meses</t>
  </si>
  <si>
    <t>ayudante de agricultura y riego</t>
  </si>
  <si>
    <t>DANIS DARIO BARBA</t>
  </si>
  <si>
    <t>CLAUDIA PAOLA COGOLLO</t>
  </si>
  <si>
    <t>si, obesidad, monitoreo y compromiso para rebajar</t>
  </si>
  <si>
    <t>selladora clasificadora</t>
  </si>
  <si>
    <t>INES IBARGUEN RENDON</t>
  </si>
  <si>
    <t>aprendiz empacadora</t>
  </si>
  <si>
    <t>SANDRA MILENA ASPRILLA</t>
  </si>
  <si>
    <t xml:space="preserve"> LINA PAOLA BENITEZ</t>
  </si>
  <si>
    <t>CARLOS MARIOS DIAZ CURA</t>
  </si>
  <si>
    <t>aprendiz foamy, corte y empaque</t>
  </si>
  <si>
    <t xml:space="preserve"> DUMAR ALEXANDER GONZALEZ</t>
  </si>
  <si>
    <t>no obesidad II</t>
  </si>
  <si>
    <t>JUAN CARLOS QUEJADA</t>
  </si>
  <si>
    <t>si, eosinofilia, solo 6 meses</t>
  </si>
  <si>
    <t>aprendiz empaque y selección</t>
  </si>
  <si>
    <t>DIOBER DANILO FLORES BELTRAN</t>
  </si>
  <si>
    <t>amarre y embolse</t>
  </si>
  <si>
    <t>CONRADO DE JESUS PALACIOS</t>
  </si>
  <si>
    <t>amarre embolse foamy</t>
  </si>
  <si>
    <t>LUIS ALBERTO MORELO CORDERO</t>
  </si>
  <si>
    <t>embolse, desflore, amarre y deshoje</t>
  </si>
  <si>
    <t xml:space="preserve"> JHON JAMES RODRIGUEZ ORTIZ</t>
  </si>
  <si>
    <t>embolse, amarre, foamy y proteccion de fruta</t>
  </si>
  <si>
    <t>NARCISO ANTONIO GUTIERREZ MONTOYA</t>
  </si>
  <si>
    <t>Santa Marta</t>
  </si>
  <si>
    <t xml:space="preserve"> JAMER ENRIQUE ARTEAGA QUIROZ</t>
  </si>
  <si>
    <t>HENRI JIMENEZ PALACIO</t>
  </si>
  <si>
    <t>DEYNYS HERNANDEZ VARGAS</t>
  </si>
  <si>
    <t xml:space="preserve"> YEMINSON LUIS BUSTAMANTE ZUÑIGA</t>
  </si>
  <si>
    <t>empaque selección palletizado</t>
  </si>
  <si>
    <t xml:space="preserve"> CRISTIAN ALBERTO NARVAEZ BERRIO</t>
  </si>
  <si>
    <t>si, dede usar los lentes en la labor que va a desempeñar</t>
  </si>
  <si>
    <t>EDWAR ENRIQUE VIDAL</t>
  </si>
  <si>
    <t xml:space="preserve"> MANUEL ANDRES CIRO DAVID</t>
  </si>
  <si>
    <t>ANDRES FERNEY CUADRADO GUERRA</t>
  </si>
  <si>
    <t>ADALBERTO DE LA CRUZ JULIO</t>
  </si>
  <si>
    <t>JESUS ALBERTO GAITAN GARCIA</t>
  </si>
  <si>
    <t>aprendiz amarre</t>
  </si>
  <si>
    <t xml:space="preserve"> LUIS FERNANDO SAYA PEREIRA</t>
  </si>
  <si>
    <t>VICTOR FIDEL PALOMEQUE MENA</t>
  </si>
  <si>
    <t>selección</t>
  </si>
  <si>
    <t>RAUL HERNAN GALVAN</t>
  </si>
  <si>
    <t>LUIS MIGUEL NUÑEZ</t>
  </si>
  <si>
    <t>AMADO DE JESUS MORALES</t>
  </si>
  <si>
    <t>JHOAN STIVEN GIL</t>
  </si>
  <si>
    <t>debe tratarse primero la patologia que tiene</t>
  </si>
  <si>
    <t xml:space="preserve"> LUIS HERNANDO TUBERQUIA</t>
  </si>
  <si>
    <t>embolse, amarre, foamy y miss</t>
  </si>
  <si>
    <t>LUIS FERNANDO PAYARES VILLA</t>
  </si>
  <si>
    <t>aprendiz foamy y ayudante de riego</t>
  </si>
  <si>
    <t>MILADIS BANQUETH</t>
  </si>
  <si>
    <t>empacadora</t>
  </si>
  <si>
    <t>el hemograma empeoro, NO</t>
  </si>
  <si>
    <t xml:space="preserve"> WILFRIDO CORTES</t>
  </si>
  <si>
    <t>primero debe operarse la hernia</t>
  </si>
  <si>
    <t>aprendiz</t>
  </si>
  <si>
    <t>ERIC MANUEL LOPEZ</t>
  </si>
  <si>
    <t>embolsador</t>
  </si>
  <si>
    <t>si, obesidad, monitoreo y compromiso para rebajar, sino rebaja sale en las prorrogas</t>
  </si>
  <si>
    <t>LUIS ALFREDO SIERRA BETANCUR</t>
  </si>
  <si>
    <t>foamy corte</t>
  </si>
  <si>
    <t>JUAN MANUEL ORTEGA GAVIRIA</t>
  </si>
  <si>
    <t>ALEXIX ENRIQUE USUGA COGOLLO</t>
  </si>
  <si>
    <t>si eosinofilia y solo por 6 meses</t>
  </si>
  <si>
    <t>JHON JAIRO PERTUZ GOMEZ</t>
  </si>
  <si>
    <t>EDILBERTO BLANQUICET GARCES</t>
  </si>
  <si>
    <t>RUBEN DARIO HERNANDEZ BLANCO</t>
  </si>
  <si>
    <t>si, tiene obesidad, no puede realizar labores de campo especilamente de escale, debe asumir compromiso de rebajar o no se renueva el contrato</t>
  </si>
  <si>
    <t>foamy cartonero</t>
  </si>
  <si>
    <t>DANIEL ANDRES RESTREPO SANCHEZ</t>
  </si>
  <si>
    <t>YEISON DANIEL ALLIN TUBERQUIA</t>
  </si>
  <si>
    <t>aprendiz foamy y palletizado</t>
  </si>
  <si>
    <t xml:space="preserve"> IVAN DARIO ARRIETA ZUMAQUE</t>
  </si>
  <si>
    <t xml:space="preserve">aprendiz foamy selección </t>
  </si>
  <si>
    <t xml:space="preserve"> FRANCISCO JAVIER RAMOS GAVIRIA</t>
  </si>
  <si>
    <t>embolse, amarre, foamy, miss</t>
  </si>
  <si>
    <t>NO, persiste alteracion del hemograma</t>
  </si>
  <si>
    <t>selección, empaque, palletizado</t>
  </si>
  <si>
    <t xml:space="preserve"> TOMY MICHAEL CANO</t>
  </si>
  <si>
    <t>aprendiz agricultor auxiliar</t>
  </si>
  <si>
    <t>KEVIN VITAL CARMONA</t>
  </si>
  <si>
    <t xml:space="preserve"> YENIS PATRICIA BERRIO DIAZ</t>
  </si>
  <si>
    <t>si, pero debe consultar por optometria para determinar si requiere lentes en la labor</t>
  </si>
  <si>
    <t>empaque sello clasificacion</t>
  </si>
  <si>
    <t>RODRIGO MANUEL PUENTE</t>
  </si>
  <si>
    <t>si, revisar que este recuperado dado que se accidento en moto y tiene peladuras</t>
  </si>
  <si>
    <t>empaque, selección, fertilizacion, deshoje</t>
  </si>
  <si>
    <t>HECTOR ELIAS CARDONA</t>
  </si>
  <si>
    <t xml:space="preserve"> JORGE LUIS ESCOBAR</t>
  </si>
  <si>
    <t>DIEGO ANDRES TAPIA</t>
  </si>
  <si>
    <t xml:space="preserve"> ANGIE TATIANA ROMAÑA</t>
  </si>
  <si>
    <t>JAVIER HEREDIA</t>
  </si>
  <si>
    <t>ANGELA ROSA DEL TORO</t>
  </si>
  <si>
    <t>DIANA MILENA PARRA</t>
  </si>
  <si>
    <t>si, debe consultar por optometria para determinar si requiere lentes en la labor</t>
  </si>
  <si>
    <t>WBEYMAR MADERA</t>
  </si>
  <si>
    <t xml:space="preserve"> ADONAY DE JESUS MARIN</t>
  </si>
  <si>
    <t>cuadrilla de corte palletizado y desmane</t>
  </si>
  <si>
    <t>JHON YEISON IBARGUEN</t>
  </si>
  <si>
    <t>embolse miss</t>
  </si>
  <si>
    <t>JHON JEIDER LISCANO</t>
  </si>
  <si>
    <t>LARRYS MACLAUS MONTES</t>
  </si>
  <si>
    <t xml:space="preserve"> KAREN DAYANA MENDOZA</t>
  </si>
  <si>
    <t>labores de empacadora</t>
  </si>
  <si>
    <t xml:space="preserve"> LUIS ALFREDO CARO HERNANDEZ</t>
  </si>
  <si>
    <t>fumigador, corte, empaque</t>
  </si>
  <si>
    <t>ISAAC TUBERQUIA ARIAS</t>
  </si>
  <si>
    <t>YEISON DE JESUS HIGUITA GIL</t>
  </si>
  <si>
    <t>aprendiz empaque amarre</t>
  </si>
  <si>
    <t>VICTOR ALFONSO LARGACHA BARAHONA</t>
  </si>
  <si>
    <t>JAIR RIALES CUADRADO</t>
  </si>
  <si>
    <t>si, sobrepeso y debe consultar por optometria para definir si requiere lentes en la labor</t>
  </si>
  <si>
    <t>aprendiz palletizado y empaque</t>
  </si>
  <si>
    <t xml:space="preserve"> WILLIAM ALEXANDER QUIROZ ARIAS</t>
  </si>
  <si>
    <t>foamy, amarre</t>
  </si>
  <si>
    <t>OMAIRA ROMERO</t>
  </si>
  <si>
    <t>sello y clasificacion</t>
  </si>
  <si>
    <t>YESID ENRIQUE HERNANDEZ</t>
  </si>
  <si>
    <t>ALBERTO ZUÑIGA</t>
  </si>
  <si>
    <t>si, eosinofilia 6 meses</t>
  </si>
  <si>
    <t>DEISON DAVIER MARIN GIRALDO</t>
  </si>
  <si>
    <t>JAIRO ALFONSO BARRIOS</t>
  </si>
  <si>
    <t>amarre, embolse, fumigacion, desflore</t>
  </si>
  <si>
    <t>OMAR YESID SANCHEZ</t>
  </si>
  <si>
    <t>si, hacerle monitoreo a las incapacidades que pueda presentar</t>
  </si>
  <si>
    <t>JOHAN SNER PACHECO</t>
  </si>
  <si>
    <t>desmache, selección, empaque</t>
  </si>
  <si>
    <t>no, alteracion en su hemograma y gran anemia, cuando se alivie puede repetir el proceso</t>
  </si>
  <si>
    <t>selectora</t>
  </si>
  <si>
    <t>NEDIS MEDRANO</t>
  </si>
  <si>
    <t>SANDRA MARIA ALARCÓN</t>
  </si>
  <si>
    <t>JORGE ALEXANDER QUIÑONEZ GOEZ</t>
  </si>
  <si>
    <t>ARLIS MORENO PALOMEQUE</t>
  </si>
  <si>
    <t>no, debe operarse primera la hernia que tiene</t>
  </si>
  <si>
    <t>embolse selector</t>
  </si>
  <si>
    <t>MIGUEL ANGEL ROCHA ROJAS</t>
  </si>
  <si>
    <t>RUBEN DARIO MURILLO LOZANO</t>
  </si>
  <si>
    <t>CARLOS MARIO BORJA PARRA</t>
  </si>
  <si>
    <t>si, eosinofilia, trabajador con antecedente de asma a la que se le debe hacer seguimiento, solo dos meses y se revisa para determinar si se prorroga o no</t>
  </si>
  <si>
    <t>EDUARDO ENRIQUE PICO ROMERO</t>
  </si>
  <si>
    <t>NELSON MONTERROSA MENDOZA</t>
  </si>
  <si>
    <t>TEOBALDO TERAN TAPIA</t>
  </si>
  <si>
    <t>si, pero no puede embolsar por el sobrepeso que tiene 84 kg</t>
  </si>
  <si>
    <t>fumigador embolse</t>
  </si>
  <si>
    <t>JOSE FRANCISCO URANGO PAEZ</t>
  </si>
  <si>
    <t>si, gran sobrepeso, limitacion para labores de escalera</t>
  </si>
  <si>
    <t>embolse desmache</t>
  </si>
  <si>
    <t>EDER ALEXANDER MORENO BERRIO</t>
  </si>
  <si>
    <t>si, sobrepeso, 6 meses</t>
  </si>
  <si>
    <t>ZAIRA BIBIANA AREIZA</t>
  </si>
  <si>
    <t>YOMAIRA GUTIERREZ DIAZ</t>
  </si>
  <si>
    <t>si, sobrepeso y debe usar lentesn en la labor</t>
  </si>
  <si>
    <t xml:space="preserve"> ANDERSON USUGA COGOLLO</t>
  </si>
  <si>
    <t>amarre miss foamy</t>
  </si>
  <si>
    <t>MICHEL OROZCO HERAZO</t>
  </si>
  <si>
    <t>palletizador, empacador, pegada de cajas</t>
  </si>
  <si>
    <t xml:space="preserve"> JAILER PINILLA CARDENAS</t>
  </si>
  <si>
    <t>ayudante de riego</t>
  </si>
  <si>
    <t>FABER ALONSO IBAÑEZ</t>
  </si>
  <si>
    <t>si, sobrepeso 6 meses</t>
  </si>
  <si>
    <t>aprendiz riego</t>
  </si>
  <si>
    <t>EDGAR ANTONIO GUERRERO</t>
  </si>
  <si>
    <t>palletizador, empaque amarre</t>
  </si>
  <si>
    <t>JULIAN PEREA VALOYES</t>
  </si>
  <si>
    <t>miss foamy</t>
  </si>
  <si>
    <t>YAIR JOSE OQUENDO</t>
  </si>
  <si>
    <t>CRISTIAN CAMILO DIAZ PACHECO</t>
  </si>
  <si>
    <t xml:space="preserve"> DUBAN ESTEBAN MANCO RAMIREZ</t>
  </si>
  <si>
    <t>JUAN DAVID POLO QUINTERO</t>
  </si>
  <si>
    <t xml:space="preserve"> CRISTHIAN CAMILO CHARRASQUIEL HERNANDEZ</t>
  </si>
  <si>
    <t xml:space="preserve"> CARLOS ALBERTO QUINTANA</t>
  </si>
  <si>
    <t xml:space="preserve"> DAIRO GARCES MARTINEZ</t>
  </si>
  <si>
    <t>si, eosinofilia, sobrepeso, solo 6 meses</t>
  </si>
  <si>
    <t>PAUL RIVERO JIMENEZ</t>
  </si>
  <si>
    <t>si, eosinofilia, hay que estar pendiente de las colinesterazas dado que estan en el limite inferior, informar a sst</t>
  </si>
  <si>
    <t xml:space="preserve"> LUIS ALBERTO BEJARANO</t>
  </si>
  <si>
    <t>foamy, miss, fertilizacion</t>
  </si>
  <si>
    <t>CESAR AUGUSTO BENITEZ NEGRETE</t>
  </si>
  <si>
    <t>ASAEL VIVERO CORDOBA</t>
  </si>
  <si>
    <t>EMERSON CORDOBA GARCES</t>
  </si>
  <si>
    <t xml:space="preserve"> JUAN CARLOS MESA DIAZ</t>
  </si>
  <si>
    <t>amarre fumigador</t>
  </si>
  <si>
    <t xml:space="preserve"> ANDERSON YOANI GUISAO CARVAJAL</t>
  </si>
  <si>
    <t>aprendiz de empaque y miss</t>
  </si>
  <si>
    <t>ANGIE CAROLINA BERTEL ESPITIA</t>
  </si>
  <si>
    <t>sello, clasificacion, empaque</t>
  </si>
  <si>
    <t xml:space="preserve"> HECTOR GUILLERMO WELKEL ZABALETA</t>
  </si>
  <si>
    <t>miss, colero, garruchero</t>
  </si>
  <si>
    <t>JESSICA MILAGROS BATISTA HERNANDEZ</t>
  </si>
  <si>
    <t>JESUS ALBERTO SEGURA FLOREZ</t>
  </si>
  <si>
    <t>ayudante agricultor</t>
  </si>
  <si>
    <t>CRISTIAN ANDRES RODRIGUEZ LOPEZ</t>
  </si>
  <si>
    <t xml:space="preserve"> DIEGO ALEXANDER BARRIOS OSORIO</t>
  </si>
  <si>
    <t>cartonero</t>
  </si>
  <si>
    <t>TATIANA MERCADO MIRANDA</t>
  </si>
  <si>
    <t>aprendiz selección, empaque, sello, proteccion de fruta</t>
  </si>
  <si>
    <t xml:space="preserve"> JAVIER ESTEBAN GONZALEZ COA</t>
  </si>
  <si>
    <t>OLBEIRO BALLESTEROS LARA</t>
  </si>
  <si>
    <t>aprendiz empaque miss</t>
  </si>
  <si>
    <t>ABRAHAMS BORJA MONTERROSA</t>
  </si>
  <si>
    <t>aprendiz fumigacion</t>
  </si>
  <si>
    <t xml:space="preserve"> EDWIN EMILIO MURILLO RUEDA</t>
  </si>
  <si>
    <t>ORLEY ANTONIO PINEDA ARBOLEDA</t>
  </si>
  <si>
    <t>foamy, miss</t>
  </si>
  <si>
    <t xml:space="preserve"> MAIRON SAUCEDO IZQUIERDO</t>
  </si>
  <si>
    <t>WILLIAM FERNANDO JIMENEZ MARTINEZ</t>
  </si>
  <si>
    <t>embolse amarre deshoje</t>
  </si>
  <si>
    <t>CESAR AUGUSTO GARCIA MARTINEZ</t>
  </si>
  <si>
    <t>JONHATAN URRUTIA RIVAS</t>
  </si>
  <si>
    <t>ABRAHAN ALFONSO MARTINEZ TEHERAN</t>
  </si>
  <si>
    <t>debe tratarse primero la patologia que tiene en la piel</t>
  </si>
  <si>
    <t>JHONFER ASPRILLA RIVAS</t>
  </si>
  <si>
    <t>ceiba</t>
  </si>
  <si>
    <t>DUBER ANTONIO RUIZ HOYOS</t>
  </si>
  <si>
    <t>aprendiz amarre foamy</t>
  </si>
  <si>
    <t>FRANK RODRIGO BOTERO BOTERO</t>
  </si>
  <si>
    <t>NORFIDIA ESTHER OYOLA HOYOS</t>
  </si>
  <si>
    <t>sello, clasificacion y peso</t>
  </si>
  <si>
    <t>ANYI VANESSA PALACIOS PALACIOS</t>
  </si>
  <si>
    <t>LUIS CARLOS NEGRETE DURANGO</t>
  </si>
  <si>
    <t>YEILER MOSQUERA OREJUELA</t>
  </si>
  <si>
    <t>cuadrilla de corte y foamy</t>
  </si>
  <si>
    <t>ROBERTO CARLOS PALACIOS</t>
  </si>
  <si>
    <t>foamy embolse amarre</t>
  </si>
  <si>
    <t xml:space="preserve"> YEISON PEÑATE</t>
  </si>
  <si>
    <t>si sobrepeso y eosinofilia</t>
  </si>
  <si>
    <t xml:space="preserve"> VICTOR LOPEZ</t>
  </si>
  <si>
    <t xml:space="preserve"> PRISCILIANO SOTELO</t>
  </si>
  <si>
    <t>si sobrepeso, tener cuidado con las colinesterazas, informas a sst</t>
  </si>
  <si>
    <t>GABRIEL ENRIQUE NAVARRO TORRES</t>
  </si>
  <si>
    <t>embolse desmane</t>
  </si>
  <si>
    <t xml:space="preserve"> JAIR RIALES CUADRADO</t>
  </si>
  <si>
    <t>si gran sobrepeso, no puede realizar labores de escalera informar a sst y al administrador</t>
  </si>
  <si>
    <t>empaque palletizado</t>
  </si>
  <si>
    <t>EDWIN MANUEL PEREZ</t>
  </si>
  <si>
    <t>foamy embolse corte</t>
  </si>
  <si>
    <t>ALBEIRO MARSIGLIA</t>
  </si>
  <si>
    <t>si gran sobrepeso, debe asumir un compromiso para rebajar</t>
  </si>
  <si>
    <t>coordinador de empacadora</t>
  </si>
  <si>
    <t xml:space="preserve"> ELDER ALBEIRO ESTRADA</t>
  </si>
  <si>
    <t>selector, clasificacion y colocada de foamy</t>
  </si>
  <si>
    <t>CONCEPCION DE LA ROSA</t>
  </si>
  <si>
    <t>NARCISO ESCALANTE</t>
  </si>
  <si>
    <t>desmache embolse</t>
  </si>
  <si>
    <t>ESQUIBEL MOSQUERA CORDOBA</t>
  </si>
  <si>
    <t>repetir hemograma en 8 dias y requiere de una vez valoracion por optometria para ver si necesita gafas</t>
  </si>
  <si>
    <t>CRISTHIAN CAMILO CHARRASQUIEL HERNANDEZ</t>
  </si>
  <si>
    <t>si eosinofilia, solo 8 meses</t>
  </si>
  <si>
    <t>LUIS FERNANDO CEBALLOS MARIN</t>
  </si>
  <si>
    <t>amarre foamy</t>
  </si>
  <si>
    <t>JOHANA ANDREA USUGA BEDOYA</t>
  </si>
  <si>
    <t>clasificacion sello</t>
  </si>
  <si>
    <t>ELMER DARIO VARELAS HOLGUIN</t>
  </si>
  <si>
    <t>DEMERSON LUIS MORENO</t>
  </si>
  <si>
    <t>si, debe consultar por su EPS para revisar el tema visual</t>
  </si>
  <si>
    <t>CARLOS ANDRES VARGAS ESPINOSA</t>
  </si>
  <si>
    <t>RAFAEL ANGEL VITAR ARRIETA</t>
  </si>
  <si>
    <t>IVAN DARIO PADILLA ARIAS</t>
  </si>
  <si>
    <t>aprendiz auxiliar de agricultor</t>
  </si>
  <si>
    <t>MARGEVIS ANGULO</t>
  </si>
  <si>
    <t>empaque, sello, clasificacion, peso</t>
  </si>
  <si>
    <t xml:space="preserve">JUAN CAMILO GOMEZ </t>
  </si>
  <si>
    <t>auxiliar de archivo</t>
  </si>
  <si>
    <t>JUAN PABLO YEPES CONDE</t>
  </si>
  <si>
    <t xml:space="preserve"> EDINSON JAVIER CARLOZAMA BERMUDEZ</t>
  </si>
  <si>
    <t xml:space="preserve"> JAYVER ANDRES CORTES</t>
  </si>
  <si>
    <t>aprendiz coordinador de campo</t>
  </si>
  <si>
    <t>ERIET LOPEZ</t>
  </si>
  <si>
    <t>VICTOR ALFONSO BORJA</t>
  </si>
  <si>
    <t>si, preguntar por la amigdalitis que tenia</t>
  </si>
  <si>
    <t>sello clasificacion  y selección</t>
  </si>
  <si>
    <t>ayudante riego y agricultura</t>
  </si>
  <si>
    <t>CARLOS ALBERTO QUINTANA</t>
  </si>
  <si>
    <t>LILIANA PATRICIA MEDINA</t>
  </si>
  <si>
    <t>aprendiz sello empaque</t>
  </si>
  <si>
    <t>LENIS MARIA VALLE</t>
  </si>
  <si>
    <t>GLORIA EMILSEN RIVERA USUGA</t>
  </si>
  <si>
    <t>FABER RODRIGUEZ URANGO</t>
  </si>
  <si>
    <t>ayudante de riego y foamy</t>
  </si>
  <si>
    <t>ORLANDO ENRIQUE MEDINA RUIZ</t>
  </si>
  <si>
    <t>embolse y fumigador</t>
  </si>
  <si>
    <t>OSNAY GALINDO</t>
  </si>
  <si>
    <t>embolse, amarre y foamy</t>
  </si>
  <si>
    <t>JESUS MANUEL AMADOR</t>
  </si>
  <si>
    <t xml:space="preserve"> foamy y ayudante de riego</t>
  </si>
  <si>
    <t>PEDRO ANTONIO BERROCAL BALLESTEROS</t>
  </si>
  <si>
    <t>CAMILO ANDRES CORDOBA HERNANDEZ</t>
  </si>
  <si>
    <t>si, tiene obesidad, pesa 84 kilos y un IMC de 30. puede ingresar pero debe asumir un compromiso para rebajar</t>
  </si>
  <si>
    <t>CRISTIAN CHAVERRA VALENCIA</t>
  </si>
  <si>
    <t>foamy, embolse, selección, palletizado</t>
  </si>
  <si>
    <t>JOBER ANTONIO CORDOBA PALACIO</t>
  </si>
  <si>
    <t>si, tiene un gran sobrepeso, 97 kg, no puede realizar labores de escalera y debe hacer un compromiso para rebajar</t>
  </si>
  <si>
    <t>selección foamy</t>
  </si>
  <si>
    <t>ELKIN DE JESUS GRACIANO BETANCUR</t>
  </si>
  <si>
    <t>JUNIOR DAVID GUZMAN</t>
  </si>
  <si>
    <t>si, leve eosinofilia</t>
  </si>
  <si>
    <t>foamy, cuadrilla de corte</t>
  </si>
  <si>
    <t>JHON JAIRO CARVAJA</t>
  </si>
  <si>
    <t>VICTOR ALFONSO SOTELO</t>
  </si>
  <si>
    <t>embolse, desflore, amarre, foamy</t>
  </si>
  <si>
    <t>JUAN ADOLFO PINTO RODRIGUEZ</t>
  </si>
  <si>
    <t>HERMINSON MULASCO VEGA</t>
  </si>
  <si>
    <t>si, eosinofilia, 6 meses</t>
  </si>
  <si>
    <t>FRANCISCO JAVIER CASTAÑEDA</t>
  </si>
  <si>
    <t>MAIRON SAUCEDO IZQUIERDO</t>
  </si>
  <si>
    <t>si, leve alteracion de su hemograma, debe estar pendiente</t>
  </si>
  <si>
    <t>colocada de foamy</t>
  </si>
  <si>
    <t>CRISTHIAN ARLEY PIEDRAHITA VASQUEZ</t>
  </si>
  <si>
    <t>selector, miss</t>
  </si>
  <si>
    <t>ELIAS ALFONSO RODRIGUEZ IBARRA</t>
  </si>
  <si>
    <t>selector, empaque, amarre</t>
  </si>
  <si>
    <t>DIEGO ALEXANDER BARRIOS OSORIO</t>
  </si>
  <si>
    <t>empaque, selección, peso, sello</t>
  </si>
  <si>
    <t>ARNEL ALONSO DE HOYOS CASTRILLON</t>
  </si>
  <si>
    <t>agricultor ayudante</t>
  </si>
  <si>
    <t>ESTEBAN ENRIQUE GRANDETT PANTOJA</t>
  </si>
  <si>
    <t>fumigacion, embolse</t>
  </si>
  <si>
    <t>LUIS MIGUEL MARQUEZ JARAMILLO</t>
  </si>
  <si>
    <t>esperar a que se recupere del cuerpo extraño que tiene en el ojo</t>
  </si>
  <si>
    <t>aprendiz embolse amarre</t>
  </si>
  <si>
    <t>RICHAR DAVID OCHOA PEREIRA</t>
  </si>
  <si>
    <t>embolse, foamy, selección</t>
  </si>
  <si>
    <t>LUIS FERNANDO CORDOBA PALACIOS</t>
  </si>
  <si>
    <t>NO, obesidad, 108 kilos, que paso???</t>
  </si>
  <si>
    <t>EDIER ARBEY AGUIRRE</t>
  </si>
  <si>
    <t>desmache, deshoje, resiembra y proteccion de fruta</t>
  </si>
  <si>
    <t>JHORMAN ALEXIS USUGA URIBE</t>
  </si>
  <si>
    <t>foamy empaque</t>
  </si>
  <si>
    <t>NORALBA LOPEZ</t>
  </si>
  <si>
    <t>YULI ANDREA DIAZ ESCALANTE</t>
  </si>
  <si>
    <t>sello, selección, empaque</t>
  </si>
  <si>
    <t>ROBIN SEGUNDO NOBLE RENGIFO</t>
  </si>
  <si>
    <t>amarre, fumigacion</t>
  </si>
  <si>
    <t>SERGIO ALEJANDRO TAPIAS MORELO</t>
  </si>
  <si>
    <t>si, sobrepeos</t>
  </si>
  <si>
    <t>JORGE ELIECER MORENO CORDOBA</t>
  </si>
  <si>
    <t>si, eosinofilia y trastorno visual leve que debe revisar a futuro</t>
  </si>
  <si>
    <t>EVER ANTONIO ESTRADA USUGA</t>
  </si>
  <si>
    <t>foamy, empaque</t>
  </si>
  <si>
    <t>JAIRO ENRIQUE RAMOS DURANGO</t>
  </si>
  <si>
    <t xml:space="preserve">empaque selección </t>
  </si>
  <si>
    <t>FERNEDIS GONZALEZ CORDOBA</t>
  </si>
  <si>
    <t xml:space="preserve">foamy selección </t>
  </si>
  <si>
    <t>YESID RUBEN GOMEZ SOLERA</t>
  </si>
  <si>
    <t>ALEXANDER MARTINEZ MARTINEZ</t>
  </si>
  <si>
    <t>JORGE ENRIQUE PALACIO</t>
  </si>
  <si>
    <t>NELSON ENRIQUE LONDOÑO</t>
  </si>
  <si>
    <t>desmane, selección, clasificación y colocada de foamy</t>
  </si>
  <si>
    <t>RAFAEL ENRIQUE IBAÑEZ ROJAS</t>
  </si>
  <si>
    <t>si, pesa 97 kilos, no puede hacer labores de escalera ni de campo</t>
  </si>
  <si>
    <t xml:space="preserve">palletizador, empaque selección </t>
  </si>
  <si>
    <t>CARLOS ALBERTO CORTES</t>
  </si>
  <si>
    <t>WALTER JAVIER GUZMAN</t>
  </si>
  <si>
    <t>YEISON ARTEAGA MORALES</t>
  </si>
  <si>
    <t>selección, sello, foamy</t>
  </si>
  <si>
    <t>CARLOS ANDRES DIAZ</t>
  </si>
  <si>
    <t>si, esperar a que se le quite la conjuntivitis para poder contratarlo</t>
  </si>
  <si>
    <t>JAIRO ALBERTO VILLADIEGO HIGUITA</t>
  </si>
  <si>
    <t>embolse, amarre, y foamy</t>
  </si>
  <si>
    <t>SEBASTIAN MANCO MEJIA</t>
  </si>
  <si>
    <t>Eosinofilia y debe consultar por su EPS por el trastorno visual</t>
  </si>
  <si>
    <t>aprendiz selección de fruta, empaque</t>
  </si>
  <si>
    <t>RIBINSON DE JESUS PAEZ PAEZ</t>
  </si>
  <si>
    <t>si, se le recomienda consultar por el trastorno visual leve que tiene</t>
  </si>
  <si>
    <t>corte y empaque</t>
  </si>
  <si>
    <t>WILDER ANTONIO MENA HERNANDEZ</t>
  </si>
  <si>
    <t>embolse, amarre, desmane</t>
  </si>
  <si>
    <t>CARLOS AUGUSTO PALACIOS MENA</t>
  </si>
  <si>
    <t>corte, empaque, aprendiz amarre</t>
  </si>
  <si>
    <t>JOSE MANUEL PARRA MENA</t>
  </si>
  <si>
    <t>aprendiz embolse, colocada de foamy</t>
  </si>
  <si>
    <t>WALBERTO PADRON DAVID</t>
  </si>
  <si>
    <t>ROBINSON PEREA BLANDON</t>
  </si>
  <si>
    <t>ELISEO JIMENEZ</t>
  </si>
  <si>
    <t>LUIS EDUARDO CASAS RODRIGUEZ</t>
  </si>
  <si>
    <t>desmane, proteccion de fruta, miss</t>
  </si>
  <si>
    <t>BRIAN CAMILO SUAREZ MORENO</t>
  </si>
  <si>
    <t>si, aunque tiene obesidad, y no puede realizar labores de escalera</t>
  </si>
  <si>
    <t>miss, desmane</t>
  </si>
  <si>
    <t>INOVER LUCAS MARTINEZ TOVAR</t>
  </si>
  <si>
    <t>BAIRON MIGUEL RIOS ALVAREZ</t>
  </si>
  <si>
    <t>NEIDER FERLEY MARQUEZ BOLAÑO</t>
  </si>
  <si>
    <t>repetir hemograman en 8 dias</t>
  </si>
  <si>
    <t>JOSE LUIS VELASQUES MONTIEL</t>
  </si>
  <si>
    <t>aprendiz embolse</t>
  </si>
  <si>
    <t>IVER DE JESUS ASPRILLA AGAMEZ</t>
  </si>
  <si>
    <t>si, tiene obesidad, pesa 101 kg, no puede realizar labores de escalera, solo por 6 meses</t>
  </si>
  <si>
    <t>aprendiz palletizado, colero, garruchero</t>
  </si>
  <si>
    <t>aprendiz embolse, amarre</t>
  </si>
  <si>
    <t>FARLEY HERNANDEZ OQUENDO</t>
  </si>
  <si>
    <t>aprendiz selección de fruta corte y empaque</t>
  </si>
  <si>
    <t>colocada de foamy amarre</t>
  </si>
  <si>
    <t>DEIS MAYERLI VALLE</t>
  </si>
  <si>
    <t>sello, peso, clasificacion</t>
  </si>
  <si>
    <t>YESIT ARBEY BARRERA CONTRERA</t>
  </si>
  <si>
    <t>si, 6 meses, esperar a que le pase la conjuntivitis</t>
  </si>
  <si>
    <t>fumigacion miss</t>
  </si>
  <si>
    <t>JESUS MANUEL LOPEZ ZAPATA</t>
  </si>
  <si>
    <t>LUZ MERY MOSQUERA GONGORA</t>
  </si>
  <si>
    <t>aprendiz selección de fruta clasificacion</t>
  </si>
  <si>
    <t>JUAN CARLOS GARCIA MONSALVE</t>
  </si>
  <si>
    <t>trabajadora con obesidad grado 2, NO</t>
  </si>
  <si>
    <t>debe tratarse primero la otitis</t>
  </si>
  <si>
    <t>GERSON TORREZ GONZALES</t>
  </si>
  <si>
    <t xml:space="preserve">foamy, empaque proteccion </t>
  </si>
  <si>
    <t>LUIS ALBERTO URRUTIA CORDOBA</t>
  </si>
  <si>
    <t>repetir hemograma en  8 dias</t>
  </si>
  <si>
    <t>foamy, selección, embolse</t>
  </si>
  <si>
    <t>MARLON BELTRAN MURILLO</t>
  </si>
  <si>
    <t xml:space="preserve">foamy, selección </t>
  </si>
  <si>
    <t>CARLOS MARIO MENA CAICEDO</t>
  </si>
  <si>
    <t>ANDIS SAMIT GARCIA</t>
  </si>
  <si>
    <t>debe curarse primero de la conjuntivitis y revisar sino queda con restricciones para agroquimicos</t>
  </si>
  <si>
    <t>foamy, riego</t>
  </si>
  <si>
    <t>JAIME ALBERTO RUIZ</t>
  </si>
  <si>
    <t>LUIS ALBERTO PEREZ</t>
  </si>
  <si>
    <t>JAILER PINILLA CARDENAS</t>
  </si>
  <si>
    <t>foamy, embolse</t>
  </si>
  <si>
    <t>MIGUEL RODRIGO BOLAÑO</t>
  </si>
  <si>
    <t>fumigacion, desmane, embolse</t>
  </si>
  <si>
    <t>ELMER MARIMON</t>
  </si>
  <si>
    <t>ayudante agricultor, foamy</t>
  </si>
  <si>
    <t>LUIS ALBERTO BEJARANO</t>
  </si>
  <si>
    <t>palletizado, empaque, pegada de caja</t>
  </si>
  <si>
    <t>ayudante de riego y agricultura</t>
  </si>
  <si>
    <t>MILTAN RAQUEL GONZALEZ MOLINA</t>
  </si>
  <si>
    <t>Aprendiz sena</t>
  </si>
  <si>
    <t>aprendiz selección, empaque</t>
  </si>
  <si>
    <t>ISMAEL MORILLO</t>
  </si>
  <si>
    <t>titular riego</t>
  </si>
  <si>
    <t>ELBYS SIMANCA</t>
  </si>
  <si>
    <t>ESNEIDER ANDRES CONTRERAS BALLESTEROS</t>
  </si>
  <si>
    <t>aprendiz colocada de foamy</t>
  </si>
  <si>
    <t>DAIMER LUIS MARTINEZ PEREZ</t>
  </si>
  <si>
    <t>YEFERSON ASPRILLA</t>
  </si>
  <si>
    <t>si, oeosinofilia, 6 meses</t>
  </si>
  <si>
    <t>puyero, selección, palletizado</t>
  </si>
  <si>
    <t>WILMER ESNEIDER USUGA GIRALDO</t>
  </si>
  <si>
    <t>empaque, selección, palletizado</t>
  </si>
  <si>
    <t>DENIS DEL CARMEN LUCAS PANTOJA</t>
  </si>
  <si>
    <t>auxiliar de insumos y suministros</t>
  </si>
  <si>
    <t>LUIS MIGUEL COGOLLO VALENCIA</t>
  </si>
  <si>
    <t>JUAN ESTEBAN GIRON CALLEJAS</t>
  </si>
  <si>
    <t>TEMILDA ROSA HERRERA BALLESTEROS</t>
  </si>
  <si>
    <t>aprendiz selección</t>
  </si>
  <si>
    <t>EDWAR ENRIQUE PEREIRA BEDOYA</t>
  </si>
  <si>
    <t>foamy miss</t>
  </si>
  <si>
    <t xml:space="preserve"> JORGE ANDRES CORREA VALOYES</t>
  </si>
  <si>
    <t>EDERMAN DARIO MORELOS PESTANA</t>
  </si>
  <si>
    <t>NORBIN DE JESUS MENESES BETANCUR</t>
  </si>
  <si>
    <t>foamy, desmane, miss</t>
  </si>
  <si>
    <t>riego y foamy</t>
  </si>
  <si>
    <t>JOSE ANGEL TEHERAN PEREZ</t>
  </si>
  <si>
    <t>si eosinofilia, 6 meses</t>
  </si>
  <si>
    <t>YANELYS ROCHA MUÑOZ</t>
  </si>
  <si>
    <t>NO OBESIDAD GII 33,3</t>
  </si>
  <si>
    <t>aprendiz empaque, clasificacion, sello</t>
  </si>
  <si>
    <t>LUIS MIGUEL SEÑA ESTRADA</t>
  </si>
  <si>
    <t>si, debe tratarse la patologia de piel</t>
  </si>
  <si>
    <t>FRANCISCO MIGUEL ARROYO SANCHEZ</t>
  </si>
  <si>
    <t>BREIMAR USUGA GARCIA</t>
  </si>
  <si>
    <t>PEDRO ANTONIO TUBERQUIA MONTOYA</t>
  </si>
  <si>
    <t>selección, empaque, desmane</t>
  </si>
  <si>
    <t>CARLOS ANDRES ACOSTA FERNANDEZ</t>
  </si>
  <si>
    <t>repetir hemograman en 8 dias y conjuntivitis</t>
  </si>
  <si>
    <t>NEIVER ENRIQUE SEGURA ZUÑIGA</t>
  </si>
  <si>
    <t>selección, empaque, foamy</t>
  </si>
  <si>
    <t>si, obesidad, debe comprometerse a rebajar, esto se tendra en cuenta para renovar su contrato</t>
  </si>
  <si>
    <t>CRISTIAN ALBERTO SEPULVEDA SALGADO</t>
  </si>
  <si>
    <t>fumigacion desmache</t>
  </si>
  <si>
    <t>MARIO JAVIER AYAZO TARRA</t>
  </si>
  <si>
    <t>JAIRO ALBERTO HERNANDEZ MANCO</t>
  </si>
  <si>
    <t>VICTOR ALFONSO MONTALVO BELTRAN</t>
  </si>
  <si>
    <t>pesa 89kg y va a ser embolsador, no puede hacer labores de escalera</t>
  </si>
  <si>
    <t>embolse amarre miss</t>
  </si>
  <si>
    <t>LUIS EDUARDO VASQUEZ</t>
  </si>
  <si>
    <t xml:space="preserve"> NORBIN DE JESUS MENESES BETANCUR</t>
  </si>
  <si>
    <t xml:space="preserve"> JUAN ANDRES CHAVERRA OCAMPO</t>
  </si>
  <si>
    <t>CRISTIAN COGOLLO MANCO</t>
  </si>
  <si>
    <t>JUAN DAVID RENTERIA OREJUELA</t>
  </si>
  <si>
    <t>JULIO GONZALES PEREZ</t>
  </si>
  <si>
    <t>desmachador fumigador</t>
  </si>
  <si>
    <t>OSCAR DAVID ROMERO SILGADO</t>
  </si>
  <si>
    <t>aprendiz foamy embolse</t>
  </si>
  <si>
    <t>HILDEBRANDO DAVID MANCO</t>
  </si>
  <si>
    <t>si, cuando se le pase la conjuntivitis</t>
  </si>
  <si>
    <t>auxiliar de auditoria</t>
  </si>
  <si>
    <t>embolse fumigacion foamy</t>
  </si>
  <si>
    <t>EILEEN MIRELI BARRIOS SOLANO</t>
  </si>
  <si>
    <t>aprendizaje empaque</t>
  </si>
  <si>
    <t>no, obesidad grado II, IMC de 34</t>
  </si>
  <si>
    <t>JUAN ANDRES CHAVERRA OCAMPO</t>
  </si>
  <si>
    <t>RONAL DARIO OCHOA MONTALVO</t>
  </si>
  <si>
    <t>aprendizaje foamy empaque</t>
  </si>
  <si>
    <t>ALVARO JAVIER ARROYO ALTAMIRANDA</t>
  </si>
  <si>
    <t>ALVARO JAVIER FLOREZ MARTINEZ</t>
  </si>
  <si>
    <t>NO OBESIDAD</t>
  </si>
  <si>
    <t>aprendizaje empaque amarre corte y empaque</t>
  </si>
  <si>
    <t>ELBIS SUAREZ BALTAZAR</t>
  </si>
  <si>
    <t>POR FAVOR ENVIAR EL EXAMEN FISICO AL MEDICO</t>
  </si>
  <si>
    <t>YESID ROJAS IBARGUEN</t>
  </si>
  <si>
    <t>capacitacion amarre</t>
  </si>
  <si>
    <t>JORGE ELIAS MARTINEZ MORELO</t>
  </si>
  <si>
    <t>LUIS FELIPE AVILA BENITEZ</t>
  </si>
  <si>
    <t>si, eosinofilia, 4 meses</t>
  </si>
  <si>
    <t>RUBEN DARIO MOSQUERA LOPERA</t>
  </si>
  <si>
    <t xml:space="preserve">si, 4 meses </t>
  </si>
  <si>
    <t>HEDER LUIS GUEVARA PLATA</t>
  </si>
  <si>
    <t>aprendizaje foamy, miss</t>
  </si>
  <si>
    <t>LEIMAR ALEXANDER MERCADO ALMANZA</t>
  </si>
  <si>
    <t>si, tener control a colinesterazas dado que las tiene en el nivel aceptable mas bajo</t>
  </si>
  <si>
    <t>JOHN FREDY ALVAREZ SEPULVEDA</t>
  </si>
  <si>
    <t>DEIVIN ERNESTO EMERIS ORTEGA</t>
  </si>
  <si>
    <t>fumigacion, colero, garruchero</t>
  </si>
  <si>
    <t>ASTRID MILENA ARROYO PADILLA</t>
  </si>
  <si>
    <t>selección, empaque</t>
  </si>
  <si>
    <t>LAURA VANESSA SANCHEZ MENA</t>
  </si>
  <si>
    <t>JOSE LUIS VILLADIEGO PALLARRES</t>
  </si>
  <si>
    <t>JHON HENRY MAZO MOLINA</t>
  </si>
  <si>
    <t>miss, fumigacion</t>
  </si>
  <si>
    <t>DIANA MARCELA PALACIOS</t>
  </si>
  <si>
    <t>ALEX ANDRES PEREZ VARELA</t>
  </si>
  <si>
    <t xml:space="preserve">foamy, empaque, selección </t>
  </si>
  <si>
    <t>JUAN CARLOS RENDON PEREZ</t>
  </si>
  <si>
    <t>LUIS FELIPE ACUESTA MORALES</t>
  </si>
  <si>
    <t>WILLIAM NISPERUZA BARRIOS</t>
  </si>
  <si>
    <t>desmache</t>
  </si>
  <si>
    <t>YOLEYDA PALACIOS MURRILO</t>
  </si>
  <si>
    <t>aprendizaje selección y empaque</t>
  </si>
  <si>
    <t>WILMER JOSE MARIN DIAZ</t>
  </si>
  <si>
    <t>ayudante agricultura</t>
  </si>
  <si>
    <t>MAURICIO ALFONSO MONTES MARTINEZ</t>
  </si>
  <si>
    <t>amarrador, palletizador</t>
  </si>
  <si>
    <t>JANS EDY ASPRILLA</t>
  </si>
  <si>
    <t>JUAN FERNANDO PRECIADO BONILLA</t>
  </si>
  <si>
    <t>obesidad 98 kg, NO</t>
  </si>
  <si>
    <t>capacitacion colocada de foamy</t>
  </si>
  <si>
    <t>JOSE DAVID PEREZ</t>
  </si>
  <si>
    <t>KELY TATIANA HOYOS PEREIRA</t>
  </si>
  <si>
    <t>MELVIS DAVID MARTINEZ JARABA</t>
  </si>
  <si>
    <t>YON JAMES DAVID TORRES</t>
  </si>
  <si>
    <t>JHON JADER CARRILLO PEÑA</t>
  </si>
  <si>
    <t>RUBEN DARIO MARTINEZ BUELVAS</t>
  </si>
  <si>
    <t xml:space="preserve">embolse, foamy </t>
  </si>
  <si>
    <t>FERNEYS ANTONIO GODOY VIDAL</t>
  </si>
  <si>
    <t>embolse, selección, empaque</t>
  </si>
  <si>
    <t>RAMON ZABALA VARGAS</t>
  </si>
  <si>
    <t>SAMIR ALEXANDER MARTINEZ PEREZ</t>
  </si>
  <si>
    <t>MANUEL EMILIO SILVA GEORGE</t>
  </si>
  <si>
    <t>ganaderia</t>
  </si>
  <si>
    <t>CARLOS ALBERTO PEÑA LOPEZ</t>
  </si>
  <si>
    <t>DUBERNEYS RODRIGUEZ AVILA</t>
  </si>
  <si>
    <t>LUZ ESTELLA RINCON ZAMARRA</t>
  </si>
  <si>
    <t>si, control visual anual</t>
  </si>
  <si>
    <t>DIRECTORA ADMINISTRATIVA-GESTION HUMANA</t>
  </si>
  <si>
    <t>LUIS ALBERTO FAJARDO NARVAEZ</t>
  </si>
  <si>
    <t>obesidad NO</t>
  </si>
  <si>
    <t>selector, barcadilla, palletizado</t>
  </si>
  <si>
    <t>NICOLAS FERNEY CORTES AGAMEZ</t>
  </si>
  <si>
    <t>OSCAR ANDRES TUIRAN</t>
  </si>
  <si>
    <t>EVERLY DUQUE SANCHEZ</t>
  </si>
  <si>
    <t>VICTOR MANUEL PALACIOS</t>
  </si>
  <si>
    <t>si, sobrepeso, debe consultar por optometria para determinar si requiere usar lentes en su labor</t>
  </si>
  <si>
    <t>WILSON MANUEL MEJIA BRAVO</t>
  </si>
  <si>
    <t>amarre, guantelete</t>
  </si>
  <si>
    <t>WALTER JHOAN ARRIETA MONROY</t>
  </si>
  <si>
    <t>auxiliar agricultura</t>
  </si>
  <si>
    <t>WILMER JIMENEZ MARTINEZ</t>
  </si>
  <si>
    <t>amarre, miss, foamy</t>
  </si>
  <si>
    <t>MARISELA MARZOLA CANTERO</t>
  </si>
  <si>
    <t>OVER ENRIQUE MEJIA BRAVO</t>
  </si>
  <si>
    <t>amarre, foamy</t>
  </si>
  <si>
    <t>JORGE LUIS VILORIA MONTIEL</t>
  </si>
  <si>
    <t>aprendiz cartonero</t>
  </si>
  <si>
    <t>ALDAIR JOSE MENDOZA PEINADO</t>
  </si>
  <si>
    <t>si, seguimiento a las colinesterazas</t>
  </si>
  <si>
    <t>MILTON JOSE ROQUEME</t>
  </si>
  <si>
    <t>fumigacion foamy</t>
  </si>
  <si>
    <t>JESUS MANUEL PALACIOS CORDERO</t>
  </si>
  <si>
    <t>DIANIS GUERRERO MARZOLA</t>
  </si>
  <si>
    <t>ISAAC VERGARA ORTEGA</t>
  </si>
  <si>
    <t>EVER ANTONIO AREIZA DURANGO</t>
  </si>
  <si>
    <t>VICTOR ALFONSO BENITEZ</t>
  </si>
  <si>
    <t>miss, foamy</t>
  </si>
  <si>
    <t>BREIDER PORRAS</t>
  </si>
  <si>
    <t>YUDIS SIRLEY FLOREZ OTERO FINCA REPRESA</t>
  </si>
  <si>
    <t>empaque, selección, sello</t>
  </si>
  <si>
    <t>JUAN ALBERTO MONTES JULIO</t>
  </si>
  <si>
    <t>si, sobrepeso y miopia, debe usar lentes de manera permanente en su labor, por favor notificar a la administracion de la finca y a SST</t>
  </si>
  <si>
    <t>UNDAR DE JESUS SEPULVEDA VARELAS</t>
  </si>
  <si>
    <t>WBEYMAR MADERA RIVERA</t>
  </si>
  <si>
    <t>JUAN CARLOS MARTINEZ YANES</t>
  </si>
  <si>
    <t>embolse, amarre, selección</t>
  </si>
  <si>
    <t>JUAN CARLOS AYALA ACOSTA</t>
  </si>
  <si>
    <t>NO, pesa 90 kg, no puede realizar labores de escalera</t>
  </si>
  <si>
    <t>JUAN DAVID RENTERIA VILLADIEGO</t>
  </si>
  <si>
    <t>foamy palletizado</t>
  </si>
  <si>
    <t>JHON ALEXANDER URANGO ARTEAGA</t>
  </si>
  <si>
    <t>si, debe consultar por optometria posterior al ingreso</t>
  </si>
  <si>
    <t>LUIS ALBERTO TORREGLOSA GALARCIO</t>
  </si>
  <si>
    <t>fumigacion embolse</t>
  </si>
  <si>
    <t>JORGE MIGUEL TORDECILLA GONZALEZ</t>
  </si>
  <si>
    <t>LOURDES BANESSA PEREZ YANEZ</t>
  </si>
  <si>
    <t>EDITH TORRES ALVAREZ</t>
  </si>
  <si>
    <t>DEIVER DE JESUS MADERA BROCHERO</t>
  </si>
  <si>
    <t>MILTON TAPIAS BANDA</t>
  </si>
  <si>
    <t>ayudante agricultor, selección y empaque</t>
  </si>
  <si>
    <t>JOSE FERNANDO MIRANDA RODRIGUEZ</t>
  </si>
  <si>
    <t>ANGELICA MARIA PAYARES BARTOLO</t>
  </si>
  <si>
    <t>ALFREDO GONZALEZ ESPITIA</t>
  </si>
  <si>
    <t>ORFA IRENE VALDERRAMA YAÑEZ</t>
  </si>
  <si>
    <t>DANYELY YULENA ZABALA CHANTACA</t>
  </si>
  <si>
    <t>STIVEN ENRIQUE OTERO CASTILLO</t>
  </si>
  <si>
    <t>ALDAIR ENRIQUE DELGADO ALVAREZ</t>
  </si>
  <si>
    <t>desmache amarre</t>
  </si>
  <si>
    <t>MELVIN ANTONIO MOSQUERA TIRADO</t>
  </si>
  <si>
    <t>palletizador, embolse, empaque</t>
  </si>
  <si>
    <t>JADER ANTONIO GARCIA GUEVARA</t>
  </si>
  <si>
    <t>JOHAN SEBASTIAN SUCERQUIA HIGUITA</t>
  </si>
  <si>
    <t>aprendizaje, foamy embolse</t>
  </si>
  <si>
    <t>LEDER LUIS BELTRAN FUENTES</t>
  </si>
  <si>
    <t>HORNEIDYS VASQUEZ DIAZ</t>
  </si>
  <si>
    <t>PEDRO FRANCISCO IBARGUEN</t>
  </si>
  <si>
    <t>ELISA RAQUEL SOTELO</t>
  </si>
  <si>
    <t>LISETH TATIANA TREJOS MACHADO</t>
  </si>
  <si>
    <t>YAN CARLOS SIMANCA MERCADO</t>
  </si>
  <si>
    <t>MAIRYS JUDITH JURADO DORIA</t>
  </si>
  <si>
    <t>JOSE ALEJANDRO GARCES GUISAO</t>
  </si>
  <si>
    <t>empaque clasificacion</t>
  </si>
  <si>
    <t>EVANGELISTA GASTERBONDO</t>
  </si>
  <si>
    <t>si, gran sobrepeso, debe comprometerse a rebajar o no se le renueva el contrato</t>
  </si>
  <si>
    <t>NATALIA ANDREA TEHERAN</t>
  </si>
  <si>
    <t xml:space="preserve">YESICA MARCELA PALACIO RODRIGUEZ  </t>
  </si>
  <si>
    <t>si, sobrepeso y miopia, debe usar lentes en su labor</t>
  </si>
  <si>
    <t>IVAN DARIO MARTINEZ ROJANO</t>
  </si>
  <si>
    <t>LUIS ALBERTO LOPEZ PONCE</t>
  </si>
  <si>
    <t>MARIA ISABEL PINEDA ARRIETA</t>
  </si>
  <si>
    <t>WENDY DAJANIS GOMEZ GRACIANO</t>
  </si>
  <si>
    <t>sello selección</t>
  </si>
  <si>
    <t>LESLIE YAMILE MORENO ASPRILLA</t>
  </si>
  <si>
    <t xml:space="preserve">sello, selección, clasificacion </t>
  </si>
  <si>
    <t>FERNEY ARTURO ESCOBAR USUGA</t>
  </si>
  <si>
    <t>si, sobrepeso, verificar secuelas de herida en pulgar izquierdo y que no tenga limitacion</t>
  </si>
  <si>
    <t>ARLEY TEHERAN ALVAREZ</t>
  </si>
  <si>
    <t>JESUS WALTER CARMONA GARCIA</t>
  </si>
  <si>
    <t>si, verificar que tenga las semanas para pensionarse a los 62 años</t>
  </si>
  <si>
    <t>MAIRYS JUDITH JURADO DORIA</t>
  </si>
  <si>
    <t>persiste alteracion en su hemograma</t>
  </si>
  <si>
    <t>JHON WILDER GIRALDO HINESTROZA</t>
  </si>
  <si>
    <t>Leslie Yamile Moreno Asprilla</t>
  </si>
  <si>
    <t>DENYS JOSE CASTAÑEDA</t>
  </si>
  <si>
    <t>desmane, selección, resiembra</t>
  </si>
  <si>
    <t>DIDIER ANDRES PEREZ NUÑEZ</t>
  </si>
  <si>
    <t>JAIRO ANTONIO GENES</t>
  </si>
  <si>
    <t>desmachador</t>
  </si>
  <si>
    <t>JOSE LUIS COGOLLO MEDINA</t>
  </si>
  <si>
    <t>JADER MOSQUERA MORENO</t>
  </si>
  <si>
    <t>NEYDER ALBERTO VILLADIEGO SUAREZ</t>
  </si>
  <si>
    <t>IVAN DARIO BARRERA OLEA</t>
  </si>
  <si>
    <t>CARLOS ANDRES RODRIGUEZ VALENCIA</t>
  </si>
  <si>
    <t>amarre palletizado</t>
  </si>
  <si>
    <t>OSCAR NOAVA MARTINEZ</t>
  </si>
  <si>
    <t>LUIS ANIBAL RIVAS MOSQUERA</t>
  </si>
  <si>
    <t>YOVANY JAVIER RUIZ IBAÑEZ</t>
  </si>
  <si>
    <t>no, obesidad</t>
  </si>
  <si>
    <t>embolse, amarre, palletizado</t>
  </si>
  <si>
    <t>JOHN FREDY PATIÑO MANCO</t>
  </si>
  <si>
    <t>que labor va a desempeñar???</t>
  </si>
  <si>
    <t>MARLON DIAZ PLAZA</t>
  </si>
  <si>
    <t>tiene obesidad, pero para el cargo que va a desempeñar puede ingresar, debe asumir un compromiso para rebajar</t>
  </si>
  <si>
    <t>JHON FABER CAICEDO MOSQUERA</t>
  </si>
  <si>
    <t>amarre empaque</t>
  </si>
  <si>
    <t>NILSON ANTONIO HOYOS LOPEZ</t>
  </si>
  <si>
    <t>embolse, foamy, amarre</t>
  </si>
  <si>
    <t xml:space="preserve"> YUDIS NAYIBIS ZARZA PEREZ</t>
  </si>
  <si>
    <t>empaque, selección, clasificacion de fruta</t>
  </si>
  <si>
    <t>RUBEN DARIO GIRON BERRIO</t>
  </si>
  <si>
    <t>si, sobrepeso, debe rebajar de peso dado que va a realizar labores de escalera</t>
  </si>
  <si>
    <t>LUIS FERNANDO LOPEZ MONTALVO</t>
  </si>
  <si>
    <t>no, pesa 99 kg, no puede realizar labores de escalera</t>
  </si>
  <si>
    <t>ALDAIR ALFONSO TORREGLOSA URANGO</t>
  </si>
  <si>
    <t>JORGE LUIS BARBUTIN JIMENEZ</t>
  </si>
  <si>
    <t>LUIS FERNANDO DAVILA DIAZ</t>
  </si>
  <si>
    <t>si, debe consultar paralelo al ingreso por una patologia de piel que tiene</t>
  </si>
  <si>
    <t>fertilizacion, agricultura, chapeo</t>
  </si>
  <si>
    <t>EDILBERTO JOSE PADILLA ESPITIA</t>
  </si>
  <si>
    <t>JOSE ARISNEL RENTERIA MORENO</t>
  </si>
  <si>
    <t>DAISON JAVIER RAMOS MENDOZA</t>
  </si>
  <si>
    <t>FOAMY</t>
  </si>
  <si>
    <t>ARIEL JOSE ROSARIO SOTELO</t>
  </si>
  <si>
    <t>CARLOS ANDRES RAMIREZ RUIZ</t>
  </si>
  <si>
    <t>ESNAIDER MEJIA BRAVO</t>
  </si>
  <si>
    <t>embolse, foamy</t>
  </si>
  <si>
    <t>no, tiene obesidad</t>
  </si>
  <si>
    <t>LUIS ALFONSO VASQUEZ AVILA</t>
  </si>
  <si>
    <t>amarre, embolse</t>
  </si>
  <si>
    <t>CARLOS ANDRES VALENCIA CARILLO</t>
  </si>
  <si>
    <t>si, eosinofilia, solo por 4 meses</t>
  </si>
  <si>
    <t>palletizador foamy</t>
  </si>
  <si>
    <t>ALBERTO HERNANDEZ MARTINEZ</t>
  </si>
  <si>
    <t>si, eosinofilia, solo por 2 meses</t>
  </si>
  <si>
    <t>MARTIN ELIAS LOPEZ PEÑA</t>
  </si>
  <si>
    <t>foamy, empaque, sello</t>
  </si>
  <si>
    <t>FREDY ALBERTO MESTRA MISAT</t>
  </si>
  <si>
    <t>LUZ DIANELLY GRACIANO GRACIANO</t>
  </si>
  <si>
    <t>si, esta al borde de una anemia para que le realice seguimiento</t>
  </si>
  <si>
    <t>INGRY JHOANNA PALOMEQUE PARRA</t>
  </si>
  <si>
    <t xml:space="preserve">repetir hemograma en 8 dias </t>
  </si>
  <si>
    <t>ONALVIS PEREZ VELASQUEZ</t>
  </si>
  <si>
    <t>esta persona reporta una cirugia de tibia y tiene osteosintesis, hay que hablar con el para determinar que fue lo que paso, si tiene secuelas, y lo mas grave es que reporta como habito jugar futbol</t>
  </si>
  <si>
    <t>MOSQUERA MOSQUERA WILBER</t>
  </si>
  <si>
    <t>si, tiene obesidad pero puede ingresar con un compromiso</t>
  </si>
  <si>
    <t>EMERSON MORENO GUERRERO</t>
  </si>
  <si>
    <t>EDWIN JOSE VIVAS LONDOÑO</t>
  </si>
  <si>
    <t>CARLOS ANDRES MARTINEZ PEREZ</t>
  </si>
  <si>
    <t>DORALBA DAVID ZAPATA</t>
  </si>
  <si>
    <t>LESLIE STIVEN JIMENEZ CACERES</t>
  </si>
  <si>
    <t>ANDRES SANTIAGO POSSO VERONA</t>
  </si>
  <si>
    <t>JAN CARLOS MARQUEZ PELAYO</t>
  </si>
  <si>
    <t>LUIS FRANCISCO HERNANDEZ CASTRO</t>
  </si>
  <si>
    <t>ALVARO JAVIER CAR-DONA AREIZA</t>
  </si>
  <si>
    <t>debe consultar por su EPS para valoracion de su trastorno visual</t>
  </si>
  <si>
    <t>oficios varios</t>
  </si>
  <si>
    <t>LUIS EDUARDO VARGAS GOMEZ</t>
  </si>
  <si>
    <t>CARLOS VALDERRAMA OYOLA</t>
  </si>
  <si>
    <t>ELKIN DARIO CORDOBA VILLERO</t>
  </si>
  <si>
    <t>foamy,amarre, embolse</t>
  </si>
  <si>
    <t>emarre, embolse</t>
  </si>
  <si>
    <t>SAMMY MENA MOYA</t>
  </si>
  <si>
    <t>WILLIAM ESTEBAN BAÑOL VELEZ</t>
  </si>
  <si>
    <t>YEFERSON VALOYES</t>
  </si>
  <si>
    <t>fertilizacion, chapeo, agricultura</t>
  </si>
  <si>
    <t>NATALIA ANDREA CORDOBA</t>
  </si>
  <si>
    <t>HEILER ALBERTO BEJARANO URRUTIA</t>
  </si>
  <si>
    <t>ala</t>
  </si>
  <si>
    <t>JORGE LUIS REVUELVAS DIAZ</t>
  </si>
  <si>
    <t>si, debe hacer un compromiso para rebajar</t>
  </si>
  <si>
    <t>NELSON YESID VARAGAS</t>
  </si>
  <si>
    <t>MIGUEL ENRIQUE REYES JULIO</t>
  </si>
  <si>
    <t>embolse, foamy, miss</t>
  </si>
  <si>
    <t>JUAN CARLOS CORREA CANCHILA</t>
  </si>
  <si>
    <t>foamy, ayudante de agricultura</t>
  </si>
  <si>
    <t>ALNER GOMEZ PEREZ</t>
  </si>
  <si>
    <t>si, sobrepeso, debe hacer compromiso para rebajar</t>
  </si>
  <si>
    <t>empaque desmache</t>
  </si>
  <si>
    <t>EVISON GUARDIAS PAYARES</t>
  </si>
  <si>
    <t xml:space="preserve">selección empaque </t>
  </si>
  <si>
    <t>LUIS DUBER LEUDO ZARZA</t>
  </si>
  <si>
    <t>ayudante de agricultura, amarre</t>
  </si>
  <si>
    <t>EDILBERTO MENDOZA HERNANDEZ</t>
  </si>
  <si>
    <t>RAMON HURTADO RUIZ</t>
  </si>
  <si>
    <t>aprendiz oficios varios</t>
  </si>
  <si>
    <t>MANUEL ENRIQUE OJEDA MORELO</t>
  </si>
  <si>
    <t>miss, palletizado</t>
  </si>
  <si>
    <t>JHON FREDYS BANDERA ROMERO</t>
  </si>
  <si>
    <t>HILCIA MARIA HERNANDEZ GALINDO</t>
  </si>
  <si>
    <t>CRISTIAN DAVID RAMIREZ COGOLLO</t>
  </si>
  <si>
    <t>ARLEX DAVID CALDERON FLOREZ</t>
  </si>
  <si>
    <t>embolse, foamy y miss</t>
  </si>
  <si>
    <t>JUAN FERNANDO PINO CARVAJAL</t>
  </si>
  <si>
    <t>TATIANA MARIA TANGARIFE ARANGO</t>
  </si>
  <si>
    <t>aprendiz universitaria</t>
  </si>
  <si>
    <t>EDER HERNANDEZ LENIS</t>
  </si>
  <si>
    <t>almacenista</t>
  </si>
  <si>
    <t>DANNA VIANEY SANCHEZ CARMONA</t>
  </si>
  <si>
    <t>si, recomendarle consultar por la EPS por la patologia de piel identificada en examen de ingreso</t>
  </si>
  <si>
    <t>JUAN MIGUEL OLEA NAVARRO</t>
  </si>
  <si>
    <t xml:space="preserve">LEIDY DANIELA DAVID ORTEGA </t>
  </si>
  <si>
    <t>REINALDO ALIRIO MUÑOS ESCOBAR</t>
  </si>
  <si>
    <t>embolse, foamy amarre</t>
  </si>
  <si>
    <t>YIMI BORJA MOSQUERA</t>
  </si>
  <si>
    <t>HENRY LEAL CAICEDO</t>
  </si>
  <si>
    <t>fumigacion, palletizado, foamy</t>
  </si>
  <si>
    <t>GEBER LUIS PEÑA MARTINEZ</t>
  </si>
  <si>
    <t>MANUEL ALCAZAR GIL</t>
  </si>
  <si>
    <t>JOSE LUIS BLANCO MOSQUERA</t>
  </si>
  <si>
    <t xml:space="preserve">desmane, selección </t>
  </si>
  <si>
    <t>JHON FREDYS SAYAS CASARRUBIA</t>
  </si>
  <si>
    <t>JUAN FRANCISCO MERCADO REALES</t>
  </si>
  <si>
    <t>VERONICA GIRALDO HOLGUIN</t>
  </si>
  <si>
    <t>empaque selección</t>
  </si>
  <si>
    <t>LUIS ALBERTO BORJA GUZMAN</t>
  </si>
  <si>
    <t>NANCY ELENA HERNANDEZ BENITEZ</t>
  </si>
  <si>
    <t>WVERNEYS RESTREPO ZAPATA</t>
  </si>
  <si>
    <t>miss y amarre</t>
  </si>
  <si>
    <t>YEISSON LEON RODRIGUEZ</t>
  </si>
  <si>
    <t>JESUS ALBERTO VERNA MARTINEZ</t>
  </si>
  <si>
    <t>MELQUIN ANTONIO PALENCIA MARTINEZ</t>
  </si>
  <si>
    <t>DAGOBERTO SANCHEZ POSADA</t>
  </si>
  <si>
    <t>CELSO JOSE VERTEL COGOLLO</t>
  </si>
  <si>
    <t>AMARRADOR, DESMANCHADOR, EMBOLSADOR, FOMERO</t>
  </si>
  <si>
    <t>DIONISIO NORBEY PUERTA GUZMAN</t>
  </si>
  <si>
    <t>OSCAR DANIEL AYOLA RAMOS</t>
  </si>
  <si>
    <t>ANGEL MANUEL MERCADO DIAZ</t>
  </si>
  <si>
    <t>FEIDER DE JESUS RODRIGUEZ PEREZ</t>
  </si>
  <si>
    <t>EDUAR AVENDAÑO SUAREZ</t>
  </si>
  <si>
    <t>RUBEN DARIO NORIEGA BARRETO</t>
  </si>
  <si>
    <t>JEILER MOZO ECHAVARRIA</t>
  </si>
  <si>
    <t>empacadora, ayudante de riego</t>
  </si>
  <si>
    <t>DIANA PATRICIA ESTRADA COGOLLO</t>
  </si>
  <si>
    <t>JESU MARIA GALVAN ORTEGA</t>
  </si>
  <si>
    <t>amarre, puyero, fertilizacion, chapeo</t>
  </si>
  <si>
    <t>DANIELA QUINTANA</t>
  </si>
  <si>
    <t>YAN CARLOS CHARRASQUIEL JIMENEZ</t>
  </si>
  <si>
    <t>si, eosinofilia, sobrepeso</t>
  </si>
  <si>
    <t>asistente de gestion humana</t>
  </si>
  <si>
    <t>JULIO CESAR PEREZ LUGO</t>
  </si>
  <si>
    <t>embolse amarre, foamy</t>
  </si>
  <si>
    <t>RAFAEL EMIRO DURANGO PASTRANA</t>
  </si>
  <si>
    <t>ELISEO JOSE MEJIA PARRA</t>
  </si>
  <si>
    <t>si 4 meses, no puede manipular agroquimicos, no puede embolsar ni fumigar</t>
  </si>
  <si>
    <t>MAURICIO JIMENEZ</t>
  </si>
  <si>
    <t>JHON ARLEY LONDOÑO PALOMEQUE</t>
  </si>
  <si>
    <t>si, tiene obesidad, debe comprometerse a rebajar</t>
  </si>
  <si>
    <t>fumigacion desguasque</t>
  </si>
  <si>
    <t>JAVIER GOMEZ</t>
  </si>
  <si>
    <t>WILMAR ANAYA</t>
  </si>
  <si>
    <t>HENRRY ENRIQUE POLO</t>
  </si>
  <si>
    <t xml:space="preserve"> no</t>
  </si>
  <si>
    <t>embolse, desflore</t>
  </si>
  <si>
    <t>YEISON TUBERQUIA</t>
  </si>
  <si>
    <t xml:space="preserve">si eosinofilia, se debe verificar si requiere uso de lentes en la ejecucion de la labor </t>
  </si>
  <si>
    <t>VICTOR MANUEL RUIZ CALDERON</t>
  </si>
  <si>
    <t>YESID VALOYES VALOYES</t>
  </si>
  <si>
    <t>aprendizaje embolse, foamy, corte y empaque</t>
  </si>
  <si>
    <t>LUIS CARLOS CORDOBA PEREA</t>
  </si>
  <si>
    <t>aprendiz embolse, foamy, agricultura</t>
  </si>
  <si>
    <t>BEATRIZ ELENA USUGA</t>
  </si>
  <si>
    <t>ISBOSET GOMEZ DONADO</t>
  </si>
  <si>
    <t>cuadri de corte</t>
  </si>
  <si>
    <t>PABLO JOSE YEPES LOBO</t>
  </si>
  <si>
    <t>ALEX MATUTE GOMEZ</t>
  </si>
  <si>
    <t>cuadrilla de corte y miss</t>
  </si>
  <si>
    <t>DIOMEDES DE JESUS FLOREZ PEREZ</t>
  </si>
  <si>
    <t>embolse, cuadrilla de corte</t>
  </si>
  <si>
    <t>JUAN DAVID COGOLLO PAJARO</t>
  </si>
  <si>
    <t>NORALBA BENITEZ</t>
  </si>
  <si>
    <t>HEIDI KARINA DIAZ LOPEZ</t>
  </si>
  <si>
    <t>HUVER DAIRI BARBA TAPIAS</t>
  </si>
  <si>
    <t>EDILBERTO CAICEDO SANCHEZ</t>
  </si>
  <si>
    <t>si, obesidad, debe hacer un compromiso para rebajar</t>
  </si>
  <si>
    <t>JAIDER JOSE VILLALBA GARCES</t>
  </si>
  <si>
    <t>LEONARDO PLAZA CASTRO</t>
  </si>
  <si>
    <t>EDER ALBERTO VARELA VARELA</t>
  </si>
  <si>
    <t>desmache miss</t>
  </si>
  <si>
    <t>NEVARDO ANTONIO TABORDA ROJO</t>
  </si>
  <si>
    <t>CRISTIAN CAMILO BUENAÑO MARTINEZ</t>
  </si>
  <si>
    <t>DARIO JOSE ANDOCILLA AVILA</t>
  </si>
  <si>
    <t>agricultor ayudante amarre</t>
  </si>
  <si>
    <t>FRANCISCO MIGUEL CUADRADO BEDOYA</t>
  </si>
  <si>
    <t>PAOLA ANDREA RIVAS BORJA</t>
  </si>
  <si>
    <t xml:space="preserve">empacadora selección </t>
  </si>
  <si>
    <t>EDILSON RAMOS DORIA</t>
  </si>
  <si>
    <t xml:space="preserve">desmache selección </t>
  </si>
  <si>
    <t>WILMAR MATOS SERNA</t>
  </si>
  <si>
    <t>barcadilla, miss</t>
  </si>
  <si>
    <t>CARMEN ELENA NOAVA SALGADO</t>
  </si>
  <si>
    <t>selección empaque</t>
  </si>
  <si>
    <t>Yorney Alarcon Burgos</t>
  </si>
  <si>
    <t>ANDRES FELIPE RAIGOZA</t>
  </si>
  <si>
    <t>LIANALDO ANTONIO GENES RAMOS</t>
  </si>
  <si>
    <t>JUAN GABRIEL MORALES COGOLLO</t>
  </si>
  <si>
    <t>WILSON ANTONIO NIAZA GUTIERREZ</t>
  </si>
  <si>
    <t>MIGUEL ANGEL HOYOS MUÑETON</t>
  </si>
  <si>
    <t>LUIS FERNANDO LLORENTE MENA</t>
  </si>
  <si>
    <t>JUAN DIEGO SUAREZ ALVAREZ</t>
  </si>
  <si>
    <t>WILMER ROMAÑA MENDOZA</t>
  </si>
  <si>
    <t>NORBEY NOEL NOVOA GALARCIO</t>
  </si>
  <si>
    <t>embolse, amarre</t>
  </si>
  <si>
    <t>JEFFERSON VERGARA GARCIA</t>
  </si>
  <si>
    <t>JHON ALEXANDER CAUSIL IBARGUEN</t>
  </si>
  <si>
    <t>obesidad, 98 kg NO</t>
  </si>
  <si>
    <t>fumigador foamy</t>
  </si>
  <si>
    <t>EMMANUEL MORALES ORTIZ</t>
  </si>
  <si>
    <t>si, debe realizar ejercicios de calentamiento antes de iniciar todas las jornadas</t>
  </si>
  <si>
    <t>JAVIER ALONSO BRAN RUEDA</t>
  </si>
  <si>
    <t>selección, desmache, clasifiacion</t>
  </si>
  <si>
    <t>RAYAN STIVEN CORTES MOSQUERA</t>
  </si>
  <si>
    <t>aprendizaje, foamy, embolse, palletizado</t>
  </si>
  <si>
    <t>JAIRO ENRIQUE HERNANDEZ LOZANO</t>
  </si>
  <si>
    <t>desmasne, selección, clasificacion, amarre, empaque</t>
  </si>
  <si>
    <t>FELIX MANUEL CORRALES MONTALVO</t>
  </si>
  <si>
    <t>RISTIAN GUEVARA BERRIO</t>
  </si>
  <si>
    <t>JHON JAIRO RIVAS RODRIGUEZ</t>
  </si>
  <si>
    <t>MONICA ALEJANDRA MUÑOZ OQUENDO</t>
  </si>
  <si>
    <t>tiene anemia, puede ingresar pero debe consultar por su EPS se debe hacer control para ver si mejora durante los primeros 2 meses</t>
  </si>
  <si>
    <t>auxiliar administrativo</t>
  </si>
  <si>
    <t>JOSE ANDRES PEREZ RAMOS</t>
  </si>
  <si>
    <t>foamy, ebolse, amarre</t>
  </si>
  <si>
    <t>foamy, embolse, agricultura</t>
  </si>
  <si>
    <t>CINDY CAROLINA RINCÓN GUTIERREZ</t>
  </si>
  <si>
    <t>sicologa</t>
  </si>
  <si>
    <t xml:space="preserve"> MAURICIO JIMENEZ CORREA</t>
  </si>
  <si>
    <t>HENRY ALBERTO NARVAEZ CAVADIA</t>
  </si>
  <si>
    <t>si, puede ingresar pero debe consultar por su patologia de piel</t>
  </si>
  <si>
    <t>LORENZO ENRIQUE GARCIA GOMEZ</t>
  </si>
  <si>
    <t>RAFAEL MURILLO ARCO</t>
  </si>
  <si>
    <t>embolse, miss</t>
  </si>
  <si>
    <t>MAURICIO MIGUEL MELENDEZ MOLINA</t>
  </si>
  <si>
    <t>si, eosinofilia, puede ingresar pero debe consultar en su EPS por la patologia de piel</t>
  </si>
  <si>
    <t>JOSE JAVIER PEÑATA BARRIOS</t>
  </si>
  <si>
    <t>OSCAR JOSE GONZALEZ ZABALA</t>
  </si>
  <si>
    <t>si, eosinofilia, sobrepeso, puede ingresar pero debe consultar en su EPS por la patologia de piel</t>
  </si>
  <si>
    <t>ELIAS KIN MARTINEZ LOPEZ</t>
  </si>
  <si>
    <t>DAVID VERGARA ORTEGA</t>
  </si>
  <si>
    <t>DAIMIR ARGUMEDO GOMEZ</t>
  </si>
  <si>
    <t>amarre, foamy, embolse</t>
  </si>
  <si>
    <t>CARLOS ENRIQUE BORJA BORJA</t>
  </si>
  <si>
    <t>EDINSON MANUEL AGUILAR PERALTA</t>
  </si>
  <si>
    <t>YEIMER MARTINEZ JULIO</t>
  </si>
  <si>
    <t>no establecieron labor</t>
  </si>
  <si>
    <t>NEVER ENRIQUE DIAZ URANGO</t>
  </si>
  <si>
    <t>LUIS GABRIEL PEÑATE LOZANO</t>
  </si>
  <si>
    <t>eosinofilia y patologia de piel, trastorno visual que debe ser valorado y aclarado antes del ingreso</t>
  </si>
  <si>
    <t>selección, clasificacion, sello</t>
  </si>
  <si>
    <t>NEIBER ANDRES MORELO BAENA</t>
  </si>
  <si>
    <t>YOVANIS ALFREDO LONDOÑO JIMENEZ</t>
  </si>
  <si>
    <t>foamy, agricultor ayudante</t>
  </si>
  <si>
    <t>OSNAIDER DIAZ TORDECILLA</t>
  </si>
  <si>
    <t>EYLER DAVID ECHAVARRIA CORCHO</t>
  </si>
  <si>
    <t>WILMAR ANDRES REBOLLEDO GOMEZ</t>
  </si>
  <si>
    <t>EMER SEGUNDO VARGAS ROYET</t>
  </si>
  <si>
    <t>CRISTIAN GUEVARA BERRIO</t>
  </si>
  <si>
    <t>EDWIN DIAZ BARRAGAN</t>
  </si>
  <si>
    <t>coordinador de Empacadora</t>
  </si>
  <si>
    <t>JAIDER DAVID PEREZ GALLEGO</t>
  </si>
  <si>
    <t>JUAN PABLO SALDARRIAGA MONA</t>
  </si>
  <si>
    <t>aprendiz sistemas</t>
  </si>
  <si>
    <t>DEIMER DE JESUS MENDOZA PEINADO</t>
  </si>
  <si>
    <t>tiene un gran sobrepeso y no puede realizar labores de escalera, puede ingresar pero no para esas labores</t>
  </si>
  <si>
    <t>OSTERMAN REYES RAMOS</t>
  </si>
  <si>
    <t>PEDRO LUIS GOMEZ AGAMEZ</t>
  </si>
  <si>
    <t>DEIMER MERCADO ANDRADE</t>
  </si>
  <si>
    <t>selección, desmane, embolse</t>
  </si>
  <si>
    <t>BEATRIZ ELENA USUGA TUBERQUIA</t>
  </si>
  <si>
    <t>FAUSTINO MORALES ROCHA</t>
  </si>
  <si>
    <t>CARLOS ANDRES CORDOBA PALOMEQUE</t>
  </si>
  <si>
    <t>Repetir hemograma en 8 dias</t>
  </si>
  <si>
    <t>Oficios varios</t>
  </si>
  <si>
    <t>MARLON DAVID MERCADO AVILA</t>
  </si>
  <si>
    <t>ENDER LUIS TAPIA MONTES</t>
  </si>
  <si>
    <t>ALBA YOLI PALACIOS CORDOBA</t>
  </si>
  <si>
    <t>empacadora aprendiz de labores</t>
  </si>
  <si>
    <t>RUBEN DARIO MORALES BERROCAL</t>
  </si>
  <si>
    <t>si, puede ingresar pero debe consultar por su EPS sobre el problema visual que padece</t>
  </si>
  <si>
    <t>LINA MARCELA MALLARINO IBARGUEN</t>
  </si>
  <si>
    <t>JHON ALBER MANCO DAVID</t>
  </si>
  <si>
    <t>embolse, foamy, amarre, desmane</t>
  </si>
  <si>
    <t>JHONATAN VARGAS TEHERAN</t>
  </si>
  <si>
    <t>embolse, empaque</t>
  </si>
  <si>
    <t>JHON FREDY PEREZ DE LA ROSA</t>
  </si>
  <si>
    <t>DAYDER MONTALVO TERAN</t>
  </si>
  <si>
    <t>selección y amarre</t>
  </si>
  <si>
    <t>DIEGO DIOMEDES GOMEZ USUGA</t>
  </si>
  <si>
    <t>RUHBER VALENCIA MOYA</t>
  </si>
  <si>
    <t>YENIFER ANDREA MOSQUERA AVALOS</t>
  </si>
  <si>
    <t>ANDERSON ANDRES ACOSTA RESTREPO</t>
  </si>
  <si>
    <t>COORDINADOR</t>
  </si>
  <si>
    <t xml:space="preserve">coordinador </t>
  </si>
  <si>
    <t>SI (DEBE HABLAR CON SANDRA HERNANDEZ</t>
  </si>
  <si>
    <t>DIEGO DAVID ARRIETA PALLARES</t>
  </si>
  <si>
    <t>EMBOLSE AMARRE</t>
  </si>
  <si>
    <t>JHON JAMES ALVAREZ RESTREPO</t>
  </si>
  <si>
    <t>EMPACADORA</t>
  </si>
  <si>
    <t>YURLEY YUDIT NARVAEZ DIAZ</t>
  </si>
  <si>
    <t>NO (REPETIR HEMOGRAMA EN 8 DIAS)</t>
  </si>
  <si>
    <t>JANES MIGUEL FERRARO MADARIAGA</t>
  </si>
  <si>
    <t>PENDIENTE</t>
  </si>
  <si>
    <t>JUAN DAVID COGOLLO MARTINEZ</t>
  </si>
  <si>
    <t>FOAMY, EMBOLSE, PALLETIZADO</t>
  </si>
  <si>
    <t>OSCAR DE JESUS GIL DIAZ</t>
  </si>
  <si>
    <t>ROBIN DAVID BURGOS CANTERO</t>
  </si>
  <si>
    <t>LINALDO ANTONIO GENE</t>
  </si>
  <si>
    <t>FOAMY, GUANTELETE</t>
  </si>
  <si>
    <t>HENRY OBED HOYOS ZAPATA</t>
  </si>
  <si>
    <t>ADMINISTRADOR</t>
  </si>
  <si>
    <t>EULICES VASQUEZ TIRADO</t>
  </si>
  <si>
    <t>LAS DELICIAS</t>
  </si>
  <si>
    <t xml:space="preserve">APRENDIZ </t>
  </si>
  <si>
    <t>JHOAN ALFONSO CARREÑO</t>
  </si>
  <si>
    <t>COORDINADOR EMPACADORA</t>
  </si>
  <si>
    <t xml:space="preserve">RAQUEL SERPA QUINTERO </t>
  </si>
  <si>
    <t>PROVIDENCIA</t>
  </si>
  <si>
    <t>APRENDIZ SENA</t>
  </si>
  <si>
    <t>KAREN YULIETH CABRERA</t>
  </si>
  <si>
    <t xml:space="preserve">PEDRO ANTONIO ALTAMIRANDA </t>
  </si>
  <si>
    <t>SANTA MARTA</t>
  </si>
  <si>
    <t>DESMACHE COSECHA</t>
  </si>
  <si>
    <t>SELECCIÓN Y EMPAQUE</t>
  </si>
  <si>
    <t>INGRIS PAOLA RACINES GUTIERREZ</t>
  </si>
  <si>
    <t>FLORIDA</t>
  </si>
  <si>
    <t>ANA VICTORIA SANTOS CALDERA</t>
  </si>
  <si>
    <t>JADER ALBERTO DURANGO GARCES</t>
  </si>
  <si>
    <t>RAICES</t>
  </si>
  <si>
    <t>EMBOLSE, FOAMY, AMARRE</t>
  </si>
  <si>
    <t>YULI ANDREA ROMERO BURGOS</t>
  </si>
  <si>
    <t>PETRA</t>
  </si>
  <si>
    <t>ANDRES FELIPE MARTINEZ</t>
  </si>
  <si>
    <t xml:space="preserve">DIOBER SERNA ROVIRA </t>
  </si>
  <si>
    <t>LUIS ALBERTO MARTINEZ FLOREZ</t>
  </si>
  <si>
    <t>JOSE ELIAS DORIA MAAUSSA</t>
  </si>
  <si>
    <t>ROMAN ANTONIO BURGOS HERNANDEZ</t>
  </si>
  <si>
    <t>JHONEIDER VERGARA PADILLA</t>
  </si>
  <si>
    <t>LUIS BERNAN MURILLO MARTINEZ</t>
  </si>
  <si>
    <t>HECTOR LUIS MUÑOZ GONZALEZ</t>
  </si>
  <si>
    <t>DEIBER DAVID ACOSTA GOMEZ</t>
  </si>
  <si>
    <t>NICOLAS JIMENEZ USUGA</t>
  </si>
  <si>
    <t>JORGE LUIS OVIEDO MORALES</t>
  </si>
  <si>
    <t xml:space="preserve">VICTOR ALFONSO HEREDIA </t>
  </si>
  <si>
    <t>ABNER HERRERA SALAZAR</t>
  </si>
  <si>
    <t>HECTOR JULIAN DIAZ BLANCO</t>
  </si>
  <si>
    <t>JARLINTON OYOLA PACHECO</t>
  </si>
  <si>
    <t>CARLOS ANDRES FLOREZ</t>
  </si>
  <si>
    <t xml:space="preserve">NEIDER ALONSO SEPULVEDA </t>
  </si>
  <si>
    <t xml:space="preserve">ARLEY GIRALDO CAVADIA </t>
  </si>
  <si>
    <t>DIEGO LUIS MOLINA TEHERAN</t>
  </si>
  <si>
    <t>JORGE ALBERTO BRAN</t>
  </si>
  <si>
    <t>JHON JADER OSPINA GALVIS</t>
  </si>
  <si>
    <t>ALADINO MACHADO PEREZ</t>
  </si>
  <si>
    <t>JOSE VIRGILIO PALACIOS CABRERA</t>
  </si>
  <si>
    <t>SI, VALORACION OPTOMETRIA</t>
  </si>
  <si>
    <t>BRAYAN ALEXIS HERRERA LICONA</t>
  </si>
  <si>
    <t>LUIS ALFREDO RICO PEREZ</t>
  </si>
  <si>
    <t>LEANY ESTHER LOPEZ ACOSTA</t>
  </si>
  <si>
    <t>MAURICIO MOSQUEERA RODRIGUEZ</t>
  </si>
  <si>
    <t>DUBER ANDRES ARIAS DIDSON</t>
  </si>
  <si>
    <t>HENRY GIOVANNY LOPEZ</t>
  </si>
  <si>
    <t>ENDER SALAS MOSQUERA</t>
  </si>
  <si>
    <t>APRENDIZ FOAMY</t>
  </si>
  <si>
    <t>JHOEL ANDRES MOSQUERA MAZO</t>
  </si>
  <si>
    <t>HAIDER MARTINEZ GULFO</t>
  </si>
  <si>
    <t>DANY SANTIAGO VILLEGAS RAMOS</t>
  </si>
  <si>
    <t>VICTOR ALONSO HEREDIA ARCE</t>
  </si>
  <si>
    <t>SST</t>
  </si>
  <si>
    <t xml:space="preserve">LUIS ALBERTO VALOYES </t>
  </si>
  <si>
    <t>AGRICULTOR TITULAR</t>
  </si>
  <si>
    <t>URIEL DARIO ALTAMIRANDA USQUIANO</t>
  </si>
  <si>
    <t>SI (CICATRIZ EN EL PIE -CAMINAR POCO)</t>
  </si>
  <si>
    <t>MAURICIO ARBELAEZ OSPINA</t>
  </si>
  <si>
    <t>SI CONTRATAR POR 4 MESES</t>
  </si>
  <si>
    <t>TIBALDO ANTONIO FLOREZ PEREZ</t>
  </si>
  <si>
    <t>ANDRES FELIPE LONDOÑO FLOREZ</t>
  </si>
  <si>
    <t>SINDI PAOLA PRESTAN PEREZ</t>
  </si>
  <si>
    <t>KEINER ANDRES LEMUS BERRIO</t>
  </si>
  <si>
    <t>COORDINADOR Y BARCADILLERO</t>
  </si>
  <si>
    <t>JUAN CARLOS ZUÑIGA MORENO</t>
  </si>
  <si>
    <t>CARLOS EMILIO RESTREPO VELEZ</t>
  </si>
  <si>
    <t>LUIS DAVID RIVERO TORRES</t>
  </si>
  <si>
    <t>JORGE ENRIQUE GOMEZ MERCADO</t>
  </si>
  <si>
    <t>ERMINDE JESUS MEZA OVIEDO</t>
  </si>
  <si>
    <t>JACKSON STIVEN MOLINA ROJO</t>
  </si>
  <si>
    <t>HAMMER TORRES RIBAS</t>
  </si>
  <si>
    <t>LUIS JAVIER GUZMAN QUINTERO</t>
  </si>
  <si>
    <t>ARGEMIRO LOPEZ MORENO</t>
  </si>
  <si>
    <t>JULIO CESAR ÑUNGO PALOMEQUE</t>
  </si>
  <si>
    <t>LUIS ALBERTO BALLESTEROS BARRERA</t>
  </si>
  <si>
    <t>YEISON DORADO LICONA</t>
  </si>
  <si>
    <t>NEIDER YESID CARO REYES</t>
  </si>
  <si>
    <t>CATALINO ALBERTO CASTRO LLORENTE</t>
  </si>
  <si>
    <t>JHON FABIO CHAVERRA ORTIZ</t>
  </si>
  <si>
    <t>JHON JAIRO MARTINEZ GRACIANO</t>
  </si>
  <si>
    <t>LUIS EDUARDO CRUZ ARBOLEDAD</t>
  </si>
  <si>
    <t>RUBEN DARIO DURANGO MUÑOZ</t>
  </si>
  <si>
    <t>WILFREY PITALUA PITALUA</t>
  </si>
  <si>
    <t>ALEJANDRO RENTERIA CAUSIL</t>
  </si>
  <si>
    <t>JULIO CESAR ESQUIVEL MARTINEZ</t>
  </si>
  <si>
    <t>LUIS CARLOS QUINTO MOSQUERA</t>
  </si>
  <si>
    <t>YORMITH ERLEY BLANCO PINEDA</t>
  </si>
  <si>
    <t>GILDER ANDRES GUZMAN PALOMEQUE</t>
  </si>
  <si>
    <t>GENRY ALONSO GRANDETH REGINO</t>
  </si>
  <si>
    <t>LUIS ALFREDO RODRIGUEZ ORTIZ</t>
  </si>
  <si>
    <t>DERVIS JOSE HURTADO MORALES</t>
  </si>
  <si>
    <t>LUIS ALFREDO CASTAÑEDA VILLA</t>
  </si>
  <si>
    <t>JUAN CARLOS GRANDET PALENCIA</t>
  </si>
  <si>
    <t>VICTOR MANUEL MEDINA MORALES</t>
  </si>
  <si>
    <t xml:space="preserve">REINALDO MARIN LONDOÑO </t>
  </si>
  <si>
    <t>YURLEY MORALES ROMERO</t>
  </si>
  <si>
    <t>EDUARDO MANUEL ARROYO PADILLA</t>
  </si>
  <si>
    <t>WILBERTO ANTONIO GIRALDO ARTEAGA</t>
  </si>
  <si>
    <t xml:space="preserve">BEATRIZ VEGA SAENZ </t>
  </si>
  <si>
    <t>ELMER DAVID RICARDO CASTAÑEDA</t>
  </si>
  <si>
    <t xml:space="preserve">BEITAR ROMAÑA </t>
  </si>
  <si>
    <t>MARICELA PUERTA ZAPATA</t>
  </si>
  <si>
    <t>CLAUDIA PATRICIA GONZALEZ</t>
  </si>
  <si>
    <t>DANIEL FRANCISCO MONTIEL ARCIA</t>
  </si>
  <si>
    <t>GABRIEL ANTONIO ACOSTA ANAYA</t>
  </si>
  <si>
    <t>JUAN BERNANDO VARGAS SIERRA</t>
  </si>
  <si>
    <t>ANDRES ANTONIO GONZALEZ ALZATE</t>
  </si>
  <si>
    <t>ARGEMIRO ANTONIO GUTIERREZ SANCHEZ</t>
  </si>
  <si>
    <t>DAVID ENRIQUE RUIZ VANEGAS</t>
  </si>
  <si>
    <t>JORGE LUIS GARRINDO BARROSO</t>
  </si>
  <si>
    <t>LUIS MIGUEL QUIROZ</t>
  </si>
  <si>
    <t>ELIANA MARCELA GOMEZ FRANCO</t>
  </si>
  <si>
    <t>YADID JAIRO MOLINA ANAYA</t>
  </si>
  <si>
    <t>ROBINSON DE JESUS PEREZ GONZALEZ</t>
  </si>
  <si>
    <t>PEDRO PABLO MONTIEL ARCIA</t>
  </si>
  <si>
    <t>FERNEY DAVID CANCHILA MORELO</t>
  </si>
  <si>
    <t>ELBER DIAZ MORALES</t>
  </si>
  <si>
    <t>ALDAIR CUESTA BELTRAN</t>
  </si>
  <si>
    <t>DUVAN ARIAS DAGUER</t>
  </si>
  <si>
    <t>DORIS MARIA DAVID MANCO</t>
  </si>
  <si>
    <t>RAFAEL DE JESUS GALVAN CORDOBA</t>
  </si>
  <si>
    <t>JOHN FREDY ARIAS</t>
  </si>
  <si>
    <t>JHON JAIRO MONSALVE GARCIA</t>
  </si>
  <si>
    <t>YRANIS TATIANA GONZALEZ JIMENEZ</t>
  </si>
  <si>
    <t>JOSE FERNEY SIBAJA HURTADO</t>
  </si>
  <si>
    <t>JULIO CESAR SUAREZ PADILLA</t>
  </si>
  <si>
    <t>ANDERSON ARLEY GIRALDO CAVADIA</t>
  </si>
  <si>
    <t>MIRIAM ALMARIO USUGA</t>
  </si>
  <si>
    <t>JULIO CESAR MERCADO VILORIA</t>
  </si>
  <si>
    <t>CENEN MURILLO SALAZAR</t>
  </si>
  <si>
    <t>LUIS ALBERTO PACHECOQUINTANA</t>
  </si>
  <si>
    <t>BERCELO JOSE MORELO MONTIEL</t>
  </si>
  <si>
    <t>WILBER ANTONIO MENDOZA MENDOZA</t>
  </si>
  <si>
    <t>ABEL ANGEL TORRES CUADRADO</t>
  </si>
  <si>
    <t>VICTOR ANDRES VELASQUEZ ROMERO</t>
  </si>
  <si>
    <t>DAYRON CUESTA CARRASCAL</t>
  </si>
  <si>
    <t>OSNAIDER SAMIR SIMANCA</t>
  </si>
  <si>
    <t>MANUEL ALBERTO TANGARIFE</t>
  </si>
  <si>
    <t>SERVIO DE JESUS TIRADO POLO</t>
  </si>
  <si>
    <t>JULIO CESAR AGUIRRE SALAZAR</t>
  </si>
  <si>
    <t>JUAN CARLOS RIVAS AGUALIMPIA</t>
  </si>
  <si>
    <t>MARTIN TERAN PRIOLO</t>
  </si>
  <si>
    <t>LUIS DARIO RUIZ URANGO</t>
  </si>
  <si>
    <t>GUSTAVO ADOLFO MOSQUERA</t>
  </si>
  <si>
    <t>LEIBY DE JESUS SERRANO</t>
  </si>
  <si>
    <t>CRISTIAN ALEXANDER FUENTES</t>
  </si>
  <si>
    <t>BLADIMIR PADILLA PEREZ</t>
  </si>
  <si>
    <t>LUIS FERNANDO THERAN FLOREZ</t>
  </si>
  <si>
    <t>LUIS EDUARDO QUINTANA VITA</t>
  </si>
  <si>
    <t>VICTOR RAGA PALOMEQUE</t>
  </si>
  <si>
    <t>NEIDER YESID MONTOYA ALVAREZ</t>
  </si>
  <si>
    <t>ARGEMIRO PEREZ REYES</t>
  </si>
  <si>
    <t>LINA MARCELA BEDOYA</t>
  </si>
  <si>
    <t>ASISTENTE DE SEGURIDAD SOCIAL</t>
  </si>
  <si>
    <t>JESUS ANGEL LOPEZ CASTILLO</t>
  </si>
  <si>
    <t xml:space="preserve">SEBASTIAN RODAS </t>
  </si>
  <si>
    <t>CI TROPICAL</t>
  </si>
  <si>
    <t>ASISTENTE DE LOGISTICA</t>
  </si>
  <si>
    <t>MAURICIO ANTONIO COORE</t>
  </si>
  <si>
    <t>JOSE OVIDIO BEITAR CASTRO</t>
  </si>
  <si>
    <t xml:space="preserve">YOSMER MANUEL PEÑA </t>
  </si>
  <si>
    <t>LUIS MIGUEL LOPEZ MORELO</t>
  </si>
  <si>
    <t>LUISA MARIELA BERRIO GUTIERREZ</t>
  </si>
  <si>
    <t>ELIANIS ORTEGA RAMOS</t>
  </si>
  <si>
    <t>SI (SOLO POR PRACTICAS)</t>
  </si>
  <si>
    <t>CRISTINA ISABEL MUÑOS HERNANDEZ</t>
  </si>
  <si>
    <t>ANA PATRICIA VALENCIA VARGAS</t>
  </si>
  <si>
    <t>MAURICIO ANTONIO COOREA DURANGO</t>
  </si>
  <si>
    <t>LISSENY MARTINEZ BERNAL</t>
  </si>
  <si>
    <t>LUIS RODRIGO DIAZ MURILLO</t>
  </si>
  <si>
    <t>SINDY YURLEY FLOREZ ARCIA</t>
  </si>
  <si>
    <t>CRISTIAN EDUARDO CORDOBA PERTUZ</t>
  </si>
  <si>
    <t>MARIA ALEJANDRA MORANTE JARAMILLO</t>
  </si>
  <si>
    <t>YULIETH FABIOLA SANCHEZ NEIRO</t>
  </si>
  <si>
    <t>LEIDY JULIANA HERNANDEZ SILVA</t>
  </si>
  <si>
    <t>LUZ ADRIANA GUTIERREZ PIEDRAHITA</t>
  </si>
  <si>
    <t>ELVER MANUEL VANEGAS RODRIGUEZ</t>
  </si>
  <si>
    <t>MANUEL FRASCISCO PACHECHO SUAREZ</t>
  </si>
  <si>
    <t>EDWAR ALBERTO CORCHO SALGADO</t>
  </si>
  <si>
    <t>ROBINSON DE JESUS CASALLAS</t>
  </si>
  <si>
    <t>MANUEL ENRIQUE BASLANOA</t>
  </si>
  <si>
    <t>SAIR ANDRES MARTINEZ CORREA</t>
  </si>
  <si>
    <t>JHON ANDERSON TUBERQUIA</t>
  </si>
  <si>
    <t>RONALDO VARGAS DUQUE</t>
  </si>
  <si>
    <t>ENRIQUE DE JESUS TORRES MENDOZA</t>
  </si>
  <si>
    <t>LUIS ALBERTO HERNANDEZ ROMERO</t>
  </si>
  <si>
    <t>ANGIE VANESSA MOSQUERA MURILLO</t>
  </si>
  <si>
    <t>CLAUDIA NATALIA GRANDA</t>
  </si>
  <si>
    <t>OMAR DANIEL SANCHEZ ESTRADA</t>
  </si>
  <si>
    <t>LUIS ALEXANDER MENA REYES</t>
  </si>
  <si>
    <t>JESUS ARGEL LOPEZ CASTILLO</t>
  </si>
  <si>
    <t>EYDER DAVID ECHAVARRIA CORCHO</t>
  </si>
  <si>
    <t>ANGELA MARIA GALARCIA</t>
  </si>
  <si>
    <t>AUXILIAR NOMINA</t>
  </si>
  <si>
    <t>AISAR ELIAS LARA DUARTE</t>
  </si>
  <si>
    <t>JOSE MANUEL ALVAREZ CORRALES</t>
  </si>
  <si>
    <t>SNEIDER CORREA CASTRO</t>
  </si>
  <si>
    <t>JUAN CARLOS TRIANA CONTRERAS</t>
  </si>
  <si>
    <t>CARLOS ALBERTO MORENO DE ARCO</t>
  </si>
  <si>
    <t>HEIDER LUIS GUEVARA PLATA</t>
  </si>
  <si>
    <t>ELIECER MANUEL SANTAMARIA VERTEL</t>
  </si>
  <si>
    <t>LUIS MARIO ROBLEDO CORDOBA</t>
  </si>
  <si>
    <t>CARLOS ANDRES MANGA USUGA</t>
  </si>
  <si>
    <t xml:space="preserve">LEONARDO FABIO SUAREZ </t>
  </si>
  <si>
    <t>JADER ANTONIO MARTINEZ ARROYO</t>
  </si>
  <si>
    <t>WILLIAM ENRIQUE MARTINEZ SALINA</t>
  </si>
  <si>
    <t>JHOAN SEBASTIAN MENDOZA BLANDON</t>
  </si>
  <si>
    <t>NEL DARIO ALGARIN ROMERO</t>
  </si>
  <si>
    <t>RAMON CORDOBA CORREA</t>
  </si>
  <si>
    <t>CARLOS ANDRES AGUILAR TASCON</t>
  </si>
  <si>
    <t>PEDRO LUIS MIRANDA ALTAMIRANDA</t>
  </si>
  <si>
    <t>KEVIN ANDRES OVIEDO ESTRELLA</t>
  </si>
  <si>
    <t>CARLOS ANDRES CARMONA GARCIA</t>
  </si>
  <si>
    <t>GILBERTO ROCHA MORALES</t>
  </si>
  <si>
    <t>EDWIN BERMUDEZ SANTOS</t>
  </si>
  <si>
    <t>LUIS FERNANDO CUELLO FABRA</t>
  </si>
  <si>
    <t>LEDYS ROJAS DURANGO</t>
  </si>
  <si>
    <t>FELIPE MENA CORDOBA</t>
  </si>
  <si>
    <t>MARINELDA SANCHEZ RENTERIA</t>
  </si>
  <si>
    <t>HEIDER DAVID VALENCIA ROMAÑA</t>
  </si>
  <si>
    <t>JOHAN SEBASTIAN VARGAS TRESPALACIOS</t>
  </si>
  <si>
    <t xml:space="preserve">SI DEBE LABORAR CON LENTES </t>
  </si>
  <si>
    <t>ESNEIDER BLANDON MENA</t>
  </si>
  <si>
    <t>JUAN MANUEL GARDON LOPERA</t>
  </si>
  <si>
    <t>LEWIS CORDOBA CASSIANI</t>
  </si>
  <si>
    <t>CARLOS ANDRES MEDRADO DIAZ</t>
  </si>
  <si>
    <t>EMILIO POSADA LOPEZ</t>
  </si>
  <si>
    <t>DARIO MIGUEL BERRIO RIVERA</t>
  </si>
  <si>
    <t>DAIRO DARIO CHANTACA</t>
  </si>
  <si>
    <t>YORLEIDI ARCADIO RIVAS TORRES</t>
  </si>
  <si>
    <t>MARIO STIVENS DAVID CARDONA</t>
  </si>
  <si>
    <t>LUIS FERNEY MOSQUERA SANTOS</t>
  </si>
  <si>
    <t>JUAN CARLOS CANO MACHADO</t>
  </si>
  <si>
    <t>DUVAN MOSQUERA URIBE</t>
  </si>
  <si>
    <t>JOSE MIGUEL GUEVARA TORREGLOSA</t>
  </si>
  <si>
    <t>BRAYAN DAVID AREIZA URREGO</t>
  </si>
  <si>
    <t>BAYRON ENRIQUE SANCHEZ MORELO</t>
  </si>
  <si>
    <t xml:space="preserve">GUSTAVO JULIO BARON </t>
  </si>
  <si>
    <t>EVER LUIS MOLINA TEHERAN</t>
  </si>
  <si>
    <t>JOHAN HERNEISON TORRES ROLDAN</t>
  </si>
  <si>
    <t>JOSE OSNEIDER GARCES CARTAGENA</t>
  </si>
  <si>
    <t>EDNA YESID BEJARANO ZUÑIGA</t>
  </si>
  <si>
    <t>ORANGEL MANUEL PEREIRA BALBIN</t>
  </si>
  <si>
    <t>JHON EDINSON RAMIREZ USUGA</t>
  </si>
  <si>
    <t>LEIDY JOHANA LONGA IBARGUEN</t>
  </si>
  <si>
    <t>LUIS FELIPE VALENCIA CARDONA</t>
  </si>
  <si>
    <t>YURLEY JUAQUIN LOPEZ GUISAO</t>
  </si>
  <si>
    <t>ANGIE PAOLA SANCHEZ GOMEZ</t>
  </si>
  <si>
    <t>DUVAN ANDRES FUENTES CAVADIA</t>
  </si>
  <si>
    <t>AMAURY PATARROYO BARON</t>
  </si>
  <si>
    <t>DONAL FUENTES MARMOLEJO</t>
  </si>
  <si>
    <t>YEIOSN ANDRES DUQUE PEREZ</t>
  </si>
  <si>
    <t>CARLOS ENRIQUE MENA</t>
  </si>
  <si>
    <t>DEIFER DAVID AVILA CORONADO</t>
  </si>
  <si>
    <t>CARLOS MARIO CAMACHO BERRIO</t>
  </si>
  <si>
    <t>ERNYS BANQUET MONTIEL</t>
  </si>
  <si>
    <t>JOSE LUIS LLORENTE GONZALEZ</t>
  </si>
  <si>
    <t>JUAN GUERRERO BETANCURT</t>
  </si>
  <si>
    <t>ESTEFANIA CARVAJAL TRUJILLO</t>
  </si>
  <si>
    <t>JHON JAIRO LIZARDA BOLIVAR</t>
  </si>
  <si>
    <t>SANDRA MILENA MOSQUERA PEREZ</t>
  </si>
  <si>
    <t>JHON JAIME RODRIGUEZ ORTIZ</t>
  </si>
  <si>
    <t>JHON FREDY RENTERIA RENTERIA</t>
  </si>
  <si>
    <t>YEFERSON CORDOBA CHAVERRA</t>
  </si>
  <si>
    <t>CARLOS ARTURO LONDOÑO GEORGE</t>
  </si>
  <si>
    <t>LUIS ALBERTO ARTEAGA URREGO</t>
  </si>
  <si>
    <t>CARLOS MARIO ARTEAGA YANES</t>
  </si>
  <si>
    <t>YURIS LORA ARANGO</t>
  </si>
  <si>
    <t>SAMUEL DE JESUS MOLINA BUELVA</t>
  </si>
  <si>
    <t>SERGIO ANDRES HIGUITA MANCO</t>
  </si>
  <si>
    <t>ADRIANA MARIA FLOREZ OSPINA</t>
  </si>
  <si>
    <t>GRETHY PAOLA NEGRETE AVILA</t>
  </si>
  <si>
    <t>JAKE ZULUAGA GUARDIA</t>
  </si>
  <si>
    <t>OMAR GREGORIO LOPEZ</t>
  </si>
  <si>
    <t xml:space="preserve">OLGA LUCIA GONZALEZ </t>
  </si>
  <si>
    <t>ANA LUZ MERCADO</t>
  </si>
  <si>
    <t>DORIS KATERINE ALVEAR</t>
  </si>
  <si>
    <t>PAULA ANDREA HIDALGO</t>
  </si>
  <si>
    <t>LUIS FERNANDO QUINTERO ARBOLEDAD</t>
  </si>
  <si>
    <t>LUZ ADRIANA RIVAS CANDANOSA</t>
  </si>
  <si>
    <t>SANDRA PAOLA ROA PALACIO</t>
  </si>
  <si>
    <t>ARACELLEY LEUDO MORENO</t>
  </si>
  <si>
    <t>YIRIS PATRICIA RAMOS VASQUEZ</t>
  </si>
  <si>
    <t>ANA CAROLINA AGUIRRE HERNANDEZ</t>
  </si>
  <si>
    <t>MAYERLIN MARTINEZ VARGAS</t>
  </si>
  <si>
    <t>YORVENIS MENDOZA MEDINA</t>
  </si>
  <si>
    <t>JENIFER JULIETH GUERRERO MONTERROSA</t>
  </si>
  <si>
    <t>YAJAIRA ANDREA MOSQUERA MAYO</t>
  </si>
  <si>
    <t>YESSICA YULIETH MEDRANO URANGO</t>
  </si>
  <si>
    <t>ALEX BEDOYA GRANDA</t>
  </si>
  <si>
    <t>YOLADYS AMOR MOSQUERA</t>
  </si>
  <si>
    <t>YERARDINNE MOSQUERA PARRA</t>
  </si>
  <si>
    <t>YARISA FERIA VARGAS</t>
  </si>
  <si>
    <t>FABER ALONSO IBAÑEZ ALVAREZ</t>
  </si>
  <si>
    <t>CHARLIE MACHUCA NIETO</t>
  </si>
  <si>
    <t>LUZ ALEXANDRA GOMEZ HOYOS</t>
  </si>
  <si>
    <t>SI (CONTROL MEDICO)</t>
  </si>
  <si>
    <t>ENILSON URANGO MADERA</t>
  </si>
  <si>
    <t>DAICY LUZMILA MERCADO DIAZ</t>
  </si>
  <si>
    <t>GUSTAVO ALONSO IBARRA TAPASCO</t>
  </si>
  <si>
    <t>JASON JAIR MURILLO BASAN</t>
  </si>
  <si>
    <t>EMILIO ANTONIO ARRIETA CASTRO</t>
  </si>
  <si>
    <t>HEHIER LEBEC VARGAS RIVERA</t>
  </si>
  <si>
    <t>LILIANA MARGARITA PARRA BLACNO</t>
  </si>
  <si>
    <t>MERLINES JULIET ESQUIVEL MOLINA</t>
  </si>
  <si>
    <t>JHONATAN ANDRES JARABA POLO</t>
  </si>
  <si>
    <t>ELIAN FERNEYS JIMENEZ MARTINEZ</t>
  </si>
  <si>
    <t>ANDREA CATALINA URREA CALLE</t>
  </si>
  <si>
    <t>ELSY SMITH MEJIA ATENCIA</t>
  </si>
  <si>
    <t>DANIEL ALBERTO ZAMORANO ALVAREZ</t>
  </si>
  <si>
    <t>ELIS ANDREA MEJIA YANES</t>
  </si>
  <si>
    <t>JUAN ANDRES MANG DURAN</t>
  </si>
  <si>
    <t>MARIA FERNANDO PEREZ BAENA</t>
  </si>
  <si>
    <t>LEONARDO GARCIA MORALES</t>
  </si>
  <si>
    <t xml:space="preserve">IDIMER ALFONSO TORRE </t>
  </si>
  <si>
    <t>KATHERINE CARRASCAL BARRETO</t>
  </si>
  <si>
    <t>SANDY MILENA MEDRANO MEZA</t>
  </si>
  <si>
    <t>DANNYVI LOZANO MORENO</t>
  </si>
  <si>
    <t>GLORIA ANDREA CATAÑO DELGADO</t>
  </si>
  <si>
    <t>CRISTINA ISABEL GOMEZ ZAPATA</t>
  </si>
  <si>
    <t>ALEXANDER MARTINEZ MONTOYA</t>
  </si>
  <si>
    <t>ANDRES SEBASTIAN AGAMEZ SANCHEZ</t>
  </si>
  <si>
    <t>LUIS ENRIQUE NAVARRO MARTINEZ</t>
  </si>
  <si>
    <t>FRANCISCO ANTONIO CUESTA CORDOBA</t>
  </si>
  <si>
    <t>DAGOBERTO MUÑOZ CELIS</t>
  </si>
  <si>
    <t>JHON JAIRO CORRALES SAAVEDRA</t>
  </si>
  <si>
    <t>LEIDY PAOLA PATINO TORRES</t>
  </si>
  <si>
    <t>YANIRIS PORTO CARVAJAL</t>
  </si>
  <si>
    <t>YULIANA MUÑOZ FLOREZ</t>
  </si>
  <si>
    <t>DANNEYVI LOZANO MORENO</t>
  </si>
  <si>
    <t>PATRICIA RAMIREZ DENIS</t>
  </si>
  <si>
    <t>JHONATAN CHARRASQUIEL MATO</t>
  </si>
  <si>
    <t>GONZALO ANTONIO DAVID GISADO</t>
  </si>
  <si>
    <t>TRACTORISTA</t>
  </si>
  <si>
    <t>EMIR ENRIQUE GIL ESCOBAR</t>
  </si>
  <si>
    <t>FERNEY ANTONIO GRACIANO CARTAGENA</t>
  </si>
  <si>
    <t>OPERADOR DE MAQUINA PESADA</t>
  </si>
  <si>
    <t>SI (ACTIVIDADES ADMINISTRATIVAS)</t>
  </si>
  <si>
    <t>NO (PERSISTE CON ALTERACION HEMOGRAMA)</t>
  </si>
  <si>
    <t>MARLIS KATRIN JIMENEZ URABGO</t>
  </si>
  <si>
    <t xml:space="preserve">MANUEL SEGUNDO ARTEAGA CASARRUBIA </t>
  </si>
  <si>
    <t>HEBER ALONSO ORTIZ ZAPATA</t>
  </si>
  <si>
    <t>JULIO CESAR RUA ARANGO</t>
  </si>
  <si>
    <t>JORGE ISAAC MOSQUERA PARRA</t>
  </si>
  <si>
    <t>ROGER DAVID LUNA</t>
  </si>
  <si>
    <t>WILFREDO MULASCO VEGA</t>
  </si>
  <si>
    <t>AMARRE-EMBOLSE</t>
  </si>
  <si>
    <t>ALEXANDER MORENO MARTINEZ</t>
  </si>
  <si>
    <t>LUIS GABRIEL SANTERO MONTALVO</t>
  </si>
  <si>
    <t>FABIO MIGUEL MARTINEZ CASTAÑO</t>
  </si>
  <si>
    <t>WILLY YERFERSON RAMOS ROMAÑA</t>
  </si>
  <si>
    <t>NIVER ALEXANDER SILVA ALDANA</t>
  </si>
  <si>
    <t>JAMER ALBERTO CASTRILLON SILVA</t>
  </si>
  <si>
    <t>RAFAEL JACINTO MARTINEZ DURANGO</t>
  </si>
  <si>
    <t>GUSTAVO ARMANDO RODRIGUEZ URIBE</t>
  </si>
  <si>
    <t>ISAI MANUEL FLOREZ MARIMON</t>
  </si>
  <si>
    <t>JESUS NOEL PALACIO PEREZ</t>
  </si>
  <si>
    <t>JOSE FABIAM AGUIRRE GOEZ</t>
  </si>
  <si>
    <t xml:space="preserve">ARNULFO RUIZ PALENCIA </t>
  </si>
  <si>
    <t>JESUS MARIA FLOREZ JULIO</t>
  </si>
  <si>
    <t>EICE HAWE MEDINA MARTINEZ</t>
  </si>
  <si>
    <t>JOSE JOVANNY ACOSTA VARGAS</t>
  </si>
  <si>
    <t>UBERLEY BERRIO GOMEZ</t>
  </si>
  <si>
    <t>JHON JAIRO CAVADIA ALVAREZ</t>
  </si>
  <si>
    <t>JEAN CARLOS GARCIA VALBERA</t>
  </si>
  <si>
    <t>JOSE GABRIEL GARCES AYALA</t>
  </si>
  <si>
    <t>EUGENIO LOBO BERRIO</t>
  </si>
  <si>
    <t>LUZ MARY MOSQUERA ALBORNOZ</t>
  </si>
  <si>
    <t>LUZ ESTHER GOMEZ FABRA</t>
  </si>
  <si>
    <t>VISTOR LUCAS HERRERA</t>
  </si>
  <si>
    <t>ALEXI JOSE CASTRO OSORIO</t>
  </si>
  <si>
    <t>FRAN LEDINSON GONZALEZ LOPEZ</t>
  </si>
  <si>
    <t xml:space="preserve">JEISSON OVEDIS ARIAS </t>
  </si>
  <si>
    <t xml:space="preserve">JOSE DAVID GALINDO MARIN </t>
  </si>
  <si>
    <t>ALEXIS ANDRES OQUENDO GRACIANO</t>
  </si>
  <si>
    <t>JORGE LUIS BLANCO BERRIO</t>
  </si>
  <si>
    <t>OMAR DAVID DIAZ MUENTES</t>
  </si>
  <si>
    <t>EDGAR LUIS QUEJADA DIAZ</t>
  </si>
  <si>
    <t>LILIANA PATRICIA DAVID CASTAÑO</t>
  </si>
  <si>
    <t>ELIUD ANTONIO ALMARIO</t>
  </si>
  <si>
    <t>ANDRES ESTEBAN MERCADO MULASCO</t>
  </si>
  <si>
    <t>CRISTIAN DAVID DE LA CRUZ</t>
  </si>
  <si>
    <t>FERNEY MESTRA TAPIAS</t>
  </si>
  <si>
    <t>EVER POLO ROVIRA</t>
  </si>
  <si>
    <t>PEDRO PABLO CASTILLO HERRERA</t>
  </si>
  <si>
    <t>BREIDER XAVIER PORRAS VALDEZ</t>
  </si>
  <si>
    <t>LEIDER MEDINA SERRANO</t>
  </si>
  <si>
    <t>KEVIN ROMERO GONZALEZ</t>
  </si>
  <si>
    <t>JOSER MANUEL GONZALEZ MACEA</t>
  </si>
  <si>
    <t>ALFER GIOVANNY SALAZAR MARTINEZ</t>
  </si>
  <si>
    <t>JUAN CAMILO TORRES DACID</t>
  </si>
  <si>
    <t>OSMAN YESSID BARRIOS MEJIA</t>
  </si>
  <si>
    <t>YESID BEJARANO PESTAÑA</t>
  </si>
  <si>
    <t>ARLINSON CORDOBA GONZALEZ</t>
  </si>
  <si>
    <t>JOSE FELICIANO PACHECO BANQUETT</t>
  </si>
  <si>
    <t>HENRY LUIS VELASQUEZ VALENCIA</t>
  </si>
  <si>
    <t>WILDER ANTONIO MOZO PERTUZ</t>
  </si>
  <si>
    <t>LUIS FERNANDO TUBERQUIA SIERRA</t>
  </si>
  <si>
    <t>ELBER MANUEL HERNANDEZ VILORIA</t>
  </si>
  <si>
    <t>ASISTENTE DE RIEGO</t>
  </si>
  <si>
    <t>JUAN ANDRES PALENCIA SALAZAR</t>
  </si>
  <si>
    <t>YURLEDIS PATERNINA PAEZ</t>
  </si>
  <si>
    <t>YEISON RAUL ORTIZ</t>
  </si>
  <si>
    <t>SOPORTE ADMINISTRTIVO</t>
  </si>
  <si>
    <t>CAMILO ANDRES TORDECILLA PARRA</t>
  </si>
  <si>
    <t>ANDRES SEÑA CASTILLO</t>
  </si>
  <si>
    <t>JOSE LUIS POLO URANGO</t>
  </si>
  <si>
    <t>JUAN SEBASTIAN MIRA TORRES</t>
  </si>
  <si>
    <t>JADER MAURICIO MEJIA</t>
  </si>
  <si>
    <t>ALVARO RODRIGUEZ BELTRAN</t>
  </si>
  <si>
    <t>ESTHIWAR RODRIGUEZ NEIRA</t>
  </si>
  <si>
    <t>JAIME LUIS RAMOS SUAREZ</t>
  </si>
  <si>
    <t>MONICA SIBAJA HURTADO</t>
  </si>
  <si>
    <t>OSCAR DARIO DIAZ RODRIGUEZ</t>
  </si>
  <si>
    <t>JIOVANY PEREZ VALENCIA</t>
  </si>
  <si>
    <t>HENRY BLANDON CORDOBA</t>
  </si>
  <si>
    <t>SI POR FAVOR HABLAR CON EL SEÑOR DECIRLE QUE PIDA CITA EN LA EPS PARA QUE LE FORMULEN LENTES DEBE USARLOS ANTES DE QUE INGRESE</t>
  </si>
  <si>
    <t>EDRAN ARLE ZULETA CARDENAS</t>
  </si>
  <si>
    <t>HENRY DEMETRIO ACOSTA DIAZ</t>
  </si>
  <si>
    <t>FABIO FIDEL FABRA TORRES</t>
  </si>
  <si>
    <t>NAFER ARLEY MORELO GARCIA</t>
  </si>
  <si>
    <t>CESAR SEGUNDO BLANCO TORREGLOSA</t>
  </si>
  <si>
    <t>JOHAN SEBASTIAN VARGAS GRACIANO</t>
  </si>
  <si>
    <t>YUBER ARLEY HERNANDEZ DIAZ</t>
  </si>
  <si>
    <t>JOSE JOVANY ACOSTA VARGAS</t>
  </si>
  <si>
    <t>SANTIAGO FUENTES GARCES</t>
  </si>
  <si>
    <t>JHON FERNANDO PEREZ RIVAS</t>
  </si>
  <si>
    <t>OVER MADRID GARCIA</t>
  </si>
  <si>
    <t>CARLOS MARIO GALVAN</t>
  </si>
  <si>
    <t>HERNAN MIGUEL BERASTEGUI PEÑATA</t>
  </si>
  <si>
    <t>DONALDO JOSE SERRANO CORREA</t>
  </si>
  <si>
    <t>JAIREL CORDOBA RENTERIA</t>
  </si>
  <si>
    <t>LUIS ELIECER TEHERAN</t>
  </si>
  <si>
    <t>LUIS HENRY ASPRILLA ASPRILLA</t>
  </si>
  <si>
    <t>DEILER BERRIO SOLAR</t>
  </si>
  <si>
    <t>CARLOS MARIO MORENO MARTINEZ</t>
  </si>
  <si>
    <t>DUVAN DAVID ROMERO MACHADO</t>
  </si>
  <si>
    <t>ANDRES MAURICIO ACEVEDO SANCHEZ</t>
  </si>
  <si>
    <t>MAURICIO JIMENEZ CORREA</t>
  </si>
  <si>
    <t>CESAR CUARTAS VASQUEZ</t>
  </si>
  <si>
    <t xml:space="preserve">WILLY JEFERSON ROMAÑA </t>
  </si>
  <si>
    <t>JORGE LUIS ESCOBAR MEDRANO</t>
  </si>
  <si>
    <t>SAMUEL RADA OREJUELA</t>
  </si>
  <si>
    <t>JORGE LUIS QUEJADA ARRIETA</t>
  </si>
  <si>
    <t>SI CONTRSTAR POR 4 MESES</t>
  </si>
  <si>
    <t>MARCILIA LUZ YANES</t>
  </si>
  <si>
    <t xml:space="preserve">FERNEY DE JESUS PADILLA </t>
  </si>
  <si>
    <t>JAIR ANTONIO SANDOVAL ROMERO</t>
  </si>
  <si>
    <t>JORGE LUIS ORTIZ PERTUZ</t>
  </si>
  <si>
    <t>CARLOS ENRIQUE CUESTA CARRASCAL</t>
  </si>
  <si>
    <t>JORGE LUIS GAVIRIA VARELA</t>
  </si>
  <si>
    <t>EDWIN MORELOS BORJA</t>
  </si>
  <si>
    <t>DANIEL ALFREDO SALAZAR MACIAS</t>
  </si>
  <si>
    <t>EFRAN ANTONIO LOPEZ CORREA</t>
  </si>
  <si>
    <t>JANER ANTONIO ROMERO LANDERO</t>
  </si>
  <si>
    <t>FRANKLIN ALBERTO VIDALES BARRIENTOS</t>
  </si>
  <si>
    <t>JUAN CARLOS CUADRADO FLOREZ</t>
  </si>
  <si>
    <t>ARGEMIRO CUADRADO BLANQUICETH</t>
  </si>
  <si>
    <t>NEVER ARLEY CARTAGENA CARTAGENA</t>
  </si>
  <si>
    <t>JEYSON DE JESUS RAMOS MARQUEZ</t>
  </si>
  <si>
    <t>DIVEANA ANDREA QUERUBIN HERNANDEZ</t>
  </si>
  <si>
    <t>JHON JADER MEDRANO BERRIO</t>
  </si>
  <si>
    <t>DEYBER MANUEL MOSQUERA RIVERAS</t>
  </si>
  <si>
    <t>DEISY JHOANA CUESTA FLOREZ</t>
  </si>
  <si>
    <t>YEFFERSON ALEXANDER MORENO MURILLO</t>
  </si>
  <si>
    <t>FERIDER RENDON HOYOS</t>
  </si>
  <si>
    <t xml:space="preserve">LUIS ANGEL RIOS </t>
  </si>
  <si>
    <t>CESAR ALBERTO GIL PATIÑO</t>
  </si>
  <si>
    <t>DANIRIS ESTER GAMBOA LOZANO</t>
  </si>
  <si>
    <t>DENIS EDITH USUGA</t>
  </si>
  <si>
    <t>JAVIER HERNANDEZ BELTRAN</t>
  </si>
  <si>
    <t>EVER PEÑATE RIVAS</t>
  </si>
  <si>
    <t>DVINSON MANUEL MARTINEZ LLANES</t>
  </si>
  <si>
    <t>YONADIS JOSE PEREZ MESA</t>
  </si>
  <si>
    <t>HECTOR EUGENIO YUGO HIGUITA</t>
  </si>
  <si>
    <t>CARLOS ENRIQUE AGUIRRE TUBERQUIA</t>
  </si>
  <si>
    <t>JEINER ANDRES HINESTROZA PATERNINA</t>
  </si>
  <si>
    <t>LISBETH MESTRA RODRIGUEZ</t>
  </si>
  <si>
    <t>YULIS DANESA MARTINEZ GARCIA</t>
  </si>
  <si>
    <t>CARLOS DANIEL MATAMBA CASTRO</t>
  </si>
  <si>
    <t>EDINSON MANUEL HERNANDEZ MENDOZA</t>
  </si>
  <si>
    <t>DUBAN ELIECER HUMANEZ OLASCA</t>
  </si>
  <si>
    <t xml:space="preserve">YESSICA PAOLA BUELVAS </t>
  </si>
  <si>
    <t>ALBERTO JOSE ZABALETA TORRES</t>
  </si>
  <si>
    <t>RODEIDES LONDOÑO GRACIANO</t>
  </si>
  <si>
    <t>VICTOR YESID HERNANDEZ ZULUAGA</t>
  </si>
  <si>
    <t>LUIS ERNESTO MIRANDA JIMENEZ</t>
  </si>
  <si>
    <t>LUIS ENRIQUE LOPEZ MANCHEGO</t>
  </si>
  <si>
    <t>JESUS ERLEY MENA PALACIO</t>
  </si>
  <si>
    <t>YARISSA FERIA VARGAS</t>
  </si>
  <si>
    <t>JORGE ELIAS CARRASCAL CRUZ</t>
  </si>
  <si>
    <t>LUIS ALBERTO RAMOS ALGUMEDO</t>
  </si>
  <si>
    <t>JORGE ELIECER MERCADO</t>
  </si>
  <si>
    <t>JOSE EDISON MORENO LOPEZ</t>
  </si>
  <si>
    <t>JHON MARIO MORENO RENTERIA</t>
  </si>
  <si>
    <t>LUIS FERNANDO ACEVEDO MORELO</t>
  </si>
  <si>
    <t>GEIVER DUVAN MONTOYA GUISAO</t>
  </si>
  <si>
    <t>EDILBERTO ARRIETA SARIEGO</t>
  </si>
  <si>
    <t>JOSE ANGEL ALVEAR DELGADO</t>
  </si>
  <si>
    <t>CRISTIAN ANDRES MORALES</t>
  </si>
  <si>
    <t xml:space="preserve">DENIS EDITH USUGA FLOREZ </t>
  </si>
  <si>
    <t>JAIR PANESSO OSPINA</t>
  </si>
  <si>
    <t>ORLANDO DE JESUS LOPEZ AVILA</t>
  </si>
  <si>
    <t>HEBER ENRIQUE MENDOZA JIMENEZ</t>
  </si>
  <si>
    <t>DUVAN CAMILO SURANGO DAVID</t>
  </si>
  <si>
    <t>HUBER ALEJANDRO CANO ROLDAN</t>
  </si>
  <si>
    <t xml:space="preserve">DIEGO LEON GUERRA GOMEZ </t>
  </si>
  <si>
    <t>ADIELA IVETH  CATELLAR BERONA</t>
  </si>
  <si>
    <t>ALEJANDRA ARRIETA PALACIOS</t>
  </si>
  <si>
    <t>DINA LUZ PAYARES BRAND</t>
  </si>
  <si>
    <t>INGRID ANDREA PERTUZ POSADA</t>
  </si>
  <si>
    <t>ANDRES FELIPE HIGUITA URREGO</t>
  </si>
  <si>
    <t>GUILLERMO ALBERTO VILLA DIAZ</t>
  </si>
  <si>
    <t>VICTOR ALFONSO VALENCIA AGUIRRE</t>
  </si>
  <si>
    <t>JAVIER ALBERTO OLEA AYALA</t>
  </si>
  <si>
    <t>JULIANA ANDREA TERAN ARTEAGA</t>
  </si>
  <si>
    <t>YUDIS ESTHER BRAVO RUIZ</t>
  </si>
  <si>
    <t>HERNAN DARIO GOMEZ HENANDEZ</t>
  </si>
  <si>
    <t>FABIAN ALBERTO LOPEZ MURILLO</t>
  </si>
  <si>
    <t>WILLIAN DAVID CAMAÑO</t>
  </si>
  <si>
    <t>CRISTIAN MONTALVO HERNANDEZ</t>
  </si>
  <si>
    <t>EDUAR IVAN PALACIOS VIDAL</t>
  </si>
  <si>
    <t>CRISTIAN DAVID GONZALEZ LOPEZ</t>
  </si>
  <si>
    <t>MIGUEL ANGEL GOMEZ MENDOZA</t>
  </si>
  <si>
    <t>NEIDER DARIO ERAZO ARGUMEDO</t>
  </si>
  <si>
    <t>JOSE ISAIAS ARGUMEDO NARVAEZ</t>
  </si>
  <si>
    <t>SANTA ISABEL -ES POR ACACIAS</t>
  </si>
  <si>
    <t>CRISTIAN EDUARDO GUTIERREZ</t>
  </si>
  <si>
    <t>DAVID FERNANDO SENAS CASAS</t>
  </si>
  <si>
    <t>MANTENIMIENTO</t>
  </si>
  <si>
    <t>LUIS GUILLERMO SANCHEZ LEON</t>
  </si>
  <si>
    <t>ONEIDER SUAREZ MORALES</t>
  </si>
  <si>
    <t>LUBER HERNAN QUINTENA RAMOS</t>
  </si>
  <si>
    <t>JHON SEBASTIAN VELASQUEZ</t>
  </si>
  <si>
    <t>JUAN CARLOS CAMPAÑA BORJA</t>
  </si>
  <si>
    <t>EWDE SAVIER OCHOA OCHAO</t>
  </si>
  <si>
    <t>JAIDER ENRIQUE ROMERO APARICIO</t>
  </si>
  <si>
    <t>MANUEL DE JESUS LUCAS GALE</t>
  </si>
  <si>
    <t>ALFREDO LEAL SOLANO</t>
  </si>
  <si>
    <t>CRISTIAN DIAZ CUELLO</t>
  </si>
  <si>
    <t>HEIDER MANRIQUE SALAS</t>
  </si>
  <si>
    <t>FABIAN ANDRES VEGA CARDONA</t>
  </si>
  <si>
    <t>DEIMER LUIS DORIA GONZALEZ</t>
  </si>
  <si>
    <t>SERGIO CANSINI ARISTIZABAL</t>
  </si>
  <si>
    <t>MILTON ANTONIO VILORIA CABRIA</t>
  </si>
  <si>
    <t>HODUVER ALBERTO MENDOZA GALINDO</t>
  </si>
  <si>
    <t>DAIRON FERNANDO PEREZ USUAGA</t>
  </si>
  <si>
    <t>JHORMAN ANDRES QUIÑONES ARANGO</t>
  </si>
  <si>
    <t>WENDY GOMEZ MONTOYA</t>
  </si>
  <si>
    <t>YURY DANIELA COSSIO TABARES</t>
  </si>
  <si>
    <t>JAIDER ANTONIO BUELVAS FUENTES</t>
  </si>
  <si>
    <t>JEAN CARLOS BERONA MUÑOZ</t>
  </si>
  <si>
    <t>LUIS ENRIQUE PERTUZ MARTINEZ</t>
  </si>
  <si>
    <t>CRISTIAN ANDRES MORALES DIAZ</t>
  </si>
  <si>
    <t>CARLOS MARIO VACA PALACIOS</t>
  </si>
  <si>
    <t>ABISAITH RENTERIA ALVAREZ</t>
  </si>
  <si>
    <t>JOSE DANIEL GIRALDO LUNA</t>
  </si>
  <si>
    <t>HENRY LUIS PEREIRA PEREIRA</t>
  </si>
  <si>
    <t>NINFA ALEJANDRA GOMEZ CASTAÑO</t>
  </si>
  <si>
    <t>EVER THERAN PINEDA</t>
  </si>
  <si>
    <t>DAIRO MIGUEL BERRIO RIVERA</t>
  </si>
  <si>
    <t>JOHN ALEXAMDER MONTOYA RIVERA</t>
  </si>
  <si>
    <t>NELLY ESTER MOLINA</t>
  </si>
  <si>
    <t>WILMAR ANTONIO SILVA BRACAMONTE</t>
  </si>
  <si>
    <t>OSVAR DURAN TORDECILLA</t>
  </si>
  <si>
    <t>FILMO CESAR CABRERA MURILLO</t>
  </si>
  <si>
    <t>JEAN CARLOS BERONA</t>
  </si>
  <si>
    <t>LACIDES GONZALEZ SALDAÑA</t>
  </si>
  <si>
    <t>JUAN GABRIEL PERALDA SIMANCA</t>
  </si>
  <si>
    <t>JHON ALEJANDRO MUÑETON VELASQUEZ</t>
  </si>
  <si>
    <t>HUBER ALBERTO VELASQUEZ MELO</t>
  </si>
  <si>
    <t>JEFE DE MEDIO AMBIENTAL</t>
  </si>
  <si>
    <t>FEDERICO ALFREDO LOZANO CONTRERAS</t>
  </si>
  <si>
    <t>OSCAR ANDRES ROBLEDO MORENO</t>
  </si>
  <si>
    <t>LUIS ALBEIRO TORDECILLA</t>
  </si>
  <si>
    <t>JESUS ENRIQUE CASTILLO MARTINEZ</t>
  </si>
  <si>
    <t>DENYS DARIO BARBA BERRIO</t>
  </si>
  <si>
    <t>JUAN DAVID ROSSO CARDOZO</t>
  </si>
  <si>
    <t>SINDY JOHANA SUAREZ BENGAMBRE</t>
  </si>
  <si>
    <t>OSNEIDER SUAREZ MORALES</t>
  </si>
  <si>
    <t>DORIAN ALEXANDER SALAS LOPEZ</t>
  </si>
  <si>
    <t>LUCELLY ORTIZ ARRIETA</t>
  </si>
  <si>
    <t>LEONARDO MANUEL SOLANO ARCIA</t>
  </si>
  <si>
    <t>YAHIR ENRIQUE CORDERO VEGA</t>
  </si>
  <si>
    <t>EDERMAN DARIO MORELO PESTANA</t>
  </si>
  <si>
    <t>JHON FREDY FLOREZ JARAMILLO</t>
  </si>
  <si>
    <t>HECTOR ENRIQUE MEJIA MUÑOZ</t>
  </si>
  <si>
    <t>JUAN FELIPE JULIO RAMOS</t>
  </si>
  <si>
    <t>NEIL BERRIO MARTINEZ</t>
  </si>
  <si>
    <t>JHON FREDY FLOPREZ JARAMILLO</t>
  </si>
  <si>
    <t>OMIR JESIT ARGUMEDO BERONA</t>
  </si>
  <si>
    <t>JOHEIMERT CORREA URREGO</t>
  </si>
  <si>
    <t>ARNOLDO ALFONSO ALVAREZ HERNANDEZ</t>
  </si>
  <si>
    <t>YERMEY VARGAS CALLE</t>
  </si>
  <si>
    <t>YECENIA ESTEFANY FLOREZ</t>
  </si>
  <si>
    <t>YUBER PEREA MENA</t>
  </si>
  <si>
    <t>JAVIER AMADO RAMOS RAMOS</t>
  </si>
  <si>
    <t>JUAN ESTEBAN LEMOS CORTES</t>
  </si>
  <si>
    <t>JHONATAN ARTEAGA GUZMAN</t>
  </si>
  <si>
    <t>DAVINSON YAIR SAEZ BLANCO</t>
  </si>
  <si>
    <t>DIEGO FERNANDO BITAR ROMAÑA</t>
  </si>
  <si>
    <t>DAYANA MICHEL ARIAS LONDOÑO</t>
  </si>
  <si>
    <t>ADA YARDEYS CASTRILLON PEREZ</t>
  </si>
  <si>
    <t>OVER MANUEL VASQUEZ BAZQUEZ</t>
  </si>
  <si>
    <t>LUIS ALBERTO PACHECO COGOLLO</t>
  </si>
  <si>
    <t>LUIS LEONIDES VALENCIA BERRIO</t>
  </si>
  <si>
    <t>KEYNER DAVID HERNANDEZ BLANCO</t>
  </si>
  <si>
    <t>GLENYS RODRIGUEZ MARTINEZ</t>
  </si>
  <si>
    <t>GERSON IBARGUEN MOSQUERA</t>
  </si>
  <si>
    <t>RICHARD OLEA BURGOS</t>
  </si>
  <si>
    <t>LUIS DAVID MARTINEZ LOPEZ</t>
  </si>
  <si>
    <t>SI (TRATARSE LA EOSINOFILIA)</t>
  </si>
  <si>
    <t>DANIELA SEPULVEDA TEHERAN</t>
  </si>
  <si>
    <t>LUIS EDUARDO IBARGUEN HINESTROZA</t>
  </si>
  <si>
    <t>LUIS MIGUEL SANCHEZ CEDEÑO</t>
  </si>
  <si>
    <t>LUIS MANUEL BELLO PEDROZA</t>
  </si>
  <si>
    <t>YANEY YISELA BURGOS MUÑOZ</t>
  </si>
  <si>
    <t>GLINOLDI MOSQUERA GAMBOA</t>
  </si>
  <si>
    <t>JOSE EDUARDO VILORIA SEPULVEDA</t>
  </si>
  <si>
    <t>GUSTAVO ENRIQUE AMADOR MARTINEZ</t>
  </si>
  <si>
    <t>DEYBER ANTONIO CORREA CALDERON</t>
  </si>
  <si>
    <t>FERNANDO  SALAS QUINTERO</t>
  </si>
  <si>
    <t>LIBARDO ANTONIO QUEJADA JARABA</t>
  </si>
  <si>
    <t>ANDRES GIDARDO MANSO ARCI</t>
  </si>
  <si>
    <t xml:space="preserve">DIDIER ANDRES CUITIVA TABORDA </t>
  </si>
  <si>
    <t>YORFRAY LOPEZ TORDECILLA</t>
  </si>
  <si>
    <t>WILBERTO PEÑATE MARTINEZ</t>
  </si>
  <si>
    <t>NAFER ANDRES ESCOBAR HOYOS</t>
  </si>
  <si>
    <t>GLADYS ABADIA SANTOS</t>
  </si>
  <si>
    <t>DAIRO ESCOBAR GUZMAN</t>
  </si>
  <si>
    <t>LEONARDO FABIO BOHORQUEZ FERIA</t>
  </si>
  <si>
    <t>OSNEYDER DE JESUS BRANGO LEON</t>
  </si>
  <si>
    <t>JUAN CAMILO TORRES SEPULVEDA</t>
  </si>
  <si>
    <t>ELIAS GREGORIO BENITEZ JABIB</t>
  </si>
  <si>
    <t>ESTIBINSON DARIO ASPRILLA MOSQUERA</t>
  </si>
  <si>
    <t>JAVIER HEREDIA MAYO</t>
  </si>
  <si>
    <t>DUVAN ALEXANDER QUINTANA CHIQUILLO</t>
  </si>
  <si>
    <t>CARLOS ALBERTO VILLADIEGO GARCES</t>
  </si>
  <si>
    <t>HERNEY ALFONSO MARRIAGA VANEGAS</t>
  </si>
  <si>
    <t>RONALD ANDRES VELASQUEZ RUIZ</t>
  </si>
  <si>
    <t>YEISON ENRIQUE NOVOA YEPEZ</t>
  </si>
  <si>
    <t>EDER ANTONIO HERNANDEZ PARRA</t>
  </si>
  <si>
    <t>YONATAN MACAHADO LOPEZ</t>
  </si>
  <si>
    <t>GERSON ELIAS GONZALEZ VILLADIEGO</t>
  </si>
  <si>
    <t>DEIBY SUAREZ JIMENEZ</t>
  </si>
  <si>
    <t>SANDRITH SOFIA ESTRADA MOGOLLON</t>
  </si>
  <si>
    <t>XIMENA CAROLINA BEJARANO</t>
  </si>
  <si>
    <t>ANTONIO MARIA ARGEL BALLESTERO</t>
  </si>
  <si>
    <t>JOSE MARIO AYALA MONSALVE</t>
  </si>
  <si>
    <t>MARIA CAMILA AGUDELO FLOREZ</t>
  </si>
  <si>
    <t>LUIS DANIEL TORRES</t>
  </si>
  <si>
    <t>RODRIGO ALBERTO LAGARES CORTES</t>
  </si>
  <si>
    <t>JUAN CAMILO MOSQUERA MORALES</t>
  </si>
  <si>
    <t>ALAN DELGADO PRESTAN</t>
  </si>
  <si>
    <t>DARIO ANTONIO TUBERQUIA GARCIA</t>
  </si>
  <si>
    <t>MARIA FABIOLA MOSQUERA ARBOLEDA</t>
  </si>
  <si>
    <t>JUAN CARLOS RAMOS CORDERO</t>
  </si>
  <si>
    <t>LICELLY MORALES ROCHA</t>
  </si>
  <si>
    <t>CONRADO DE JESUS PALACIO</t>
  </si>
  <si>
    <t>EDWIN MIGUEL BLANQUICET GARCES</t>
  </si>
  <si>
    <t>EIDER BANQUET ACOSTA</t>
  </si>
  <si>
    <t>LUIS FELIPE ALMANZA JIMENEZ</t>
  </si>
  <si>
    <t>MIGUEL ANGEL SANCHEZ RICARDO</t>
  </si>
  <si>
    <t>OSCAR YESID GOMEZ PRECIADO</t>
  </si>
  <si>
    <t>OSNEIDER DORIA FABRA</t>
  </si>
  <si>
    <t>EDER SAMIR GUERRERO OSPINA</t>
  </si>
  <si>
    <t>CARLOS ANDRES MADRID RAMIREZ</t>
  </si>
  <si>
    <t>PEDRO LUIS VARGAS SANCHEZ</t>
  </si>
  <si>
    <t>ELIANA MARCELA GULFO YEPEZ</t>
  </si>
  <si>
    <t>DIANA MARIA CASTAÑEDA RIOS</t>
  </si>
  <si>
    <t>NINFA RODRIGUEZ LOPEZ</t>
  </si>
  <si>
    <t>JORGE LUIS PADILLA ZAPATA</t>
  </si>
  <si>
    <t>LUIS FERNANDO VITAL MARTINEZ</t>
  </si>
  <si>
    <t>MIGUEL ERNESTO DIAZ BORJA</t>
  </si>
  <si>
    <t>OSCAR DAVID LOPEZ HERNANDEZ</t>
  </si>
  <si>
    <t>DANIEL MARTINEZ ALTAMIRANDA</t>
  </si>
  <si>
    <t>LINDDIS CAICEDO GARCIA</t>
  </si>
  <si>
    <t>MARIA CAMILA CHANTACA HERNANDEZ</t>
  </si>
  <si>
    <t>CARLOS ALBERTO MOSQUERA</t>
  </si>
  <si>
    <t>CRISTIAN JOSE RAMOS QUIÑONEZ</t>
  </si>
  <si>
    <t>TATIANA MARCELA GONZALEZ BEDOYA</t>
  </si>
  <si>
    <t>WILSON EDUARDO LORA MEJIA</t>
  </si>
  <si>
    <t>NELSON ANDRES RUIZ PALENCIA</t>
  </si>
  <si>
    <t>CRISTIAN JAVIER CAVADIA CRUZ</t>
  </si>
  <si>
    <t>CRUZ ELENA ORTEGA ANGEL</t>
  </si>
  <si>
    <t>DIRECTORA ADMINISTRATIVA</t>
  </si>
  <si>
    <t>FAVIO ANTONIO QUINTERO RAMIREZ</t>
  </si>
  <si>
    <t>ALEJANDRINA SANTACRUZ MONTOYA</t>
  </si>
  <si>
    <t>No</t>
  </si>
  <si>
    <t>NANDIS JHOANA BURGOS MEJIA</t>
  </si>
  <si>
    <t>Si (Trabajador sin inconvenientes)</t>
  </si>
  <si>
    <t>FREDY DAVID GARCIA PANTOJA</t>
  </si>
  <si>
    <t>Si (leve eosinofilia)</t>
  </si>
  <si>
    <t>JORGE LUIS GARAY HERNANDEZ</t>
  </si>
  <si>
    <t>EMILSON MURILLO</t>
  </si>
  <si>
    <t>ROBINSON</t>
  </si>
  <si>
    <t>FREDY ALEXANDER PINEDA PATERNINA</t>
  </si>
  <si>
    <t>MILADIZ LETH PEÑA CORREA</t>
  </si>
  <si>
    <t>REPITE HEMOGRAMA</t>
  </si>
  <si>
    <t>No (Continua alteración hemograma)</t>
  </si>
  <si>
    <t>Si (SST debe recomendar manejo por EPS para patología de piel, hacer seguimiento)</t>
  </si>
  <si>
    <t>Si (Continua alteración hemograma, Sandra hacer seguimiento primer máximo 2° contrato)</t>
  </si>
  <si>
    <t>DANIEL ALEXANDER BAQUERO CERON</t>
  </si>
  <si>
    <t>JUAN CARLOS CUESTA LEZCANO</t>
  </si>
  <si>
    <t>RICARDO ANDRES MONTERO GOMEZ</t>
  </si>
  <si>
    <t>Si (leve eosinofilia). Ingresar PVE Visual</t>
  </si>
  <si>
    <t>LUIS MIGUEL MARMOL RUIZ</t>
  </si>
  <si>
    <t>RODRIGO ENRIQUE NARVAEZ PETRO</t>
  </si>
  <si>
    <t>YUBER AMADO QUINTO PEREA</t>
  </si>
  <si>
    <t>JADER PETRO DORIA</t>
  </si>
  <si>
    <t>LUIS ADOLFO LOPEZ BLANQUICETH</t>
  </si>
  <si>
    <t>JHONATAN ANDRES QUIÑONEZ RIVAS</t>
  </si>
  <si>
    <t>Paletizador</t>
  </si>
  <si>
    <t>Oficios Varios</t>
  </si>
  <si>
    <t>Amarre / Foamy</t>
  </si>
  <si>
    <t>EDUERD MADERA HERNANDEZ</t>
  </si>
  <si>
    <t>LUIS FERNANDO MURILLO GOMEZ</t>
  </si>
  <si>
    <t>Foamy</t>
  </si>
  <si>
    <t>JHON JAVIER VEGA CASTRO</t>
  </si>
  <si>
    <t>GLADER EMIR GUTIERREZ ARGUMEDO</t>
  </si>
  <si>
    <t>Si (con eosinofilia para estudiar después. Patología de piel de manejo por EPS)</t>
  </si>
  <si>
    <t>CAMILO ROJAS GOEZ </t>
  </si>
  <si>
    <t>Aprendiz Embolse</t>
  </si>
  <si>
    <t>ANDRES FELIPE ACOSTA HERNANDEZ</t>
  </si>
  <si>
    <t>WILMER ROMAÑA MENDONZA</t>
  </si>
  <si>
    <t>WILDER DAVID MARTINEZ MARTINEZ</t>
  </si>
  <si>
    <t>PAWER ESTEIFER SIERRA MIRANDA</t>
  </si>
  <si>
    <t>MANUEL ALBERTO PALACIOS MURILLO</t>
  </si>
  <si>
    <t>ANDERSON TORRES DAVID</t>
  </si>
  <si>
    <t>Empaque</t>
  </si>
  <si>
    <t>ALVARO JAVIER CARDONA AREIZA</t>
  </si>
  <si>
    <t>Administrador</t>
  </si>
  <si>
    <t>Administrador Supernumerario</t>
  </si>
  <si>
    <t>Agricultor Titular</t>
  </si>
  <si>
    <t>Agricultor Ayudante</t>
  </si>
  <si>
    <t>Almacenista / Barcadillero</t>
  </si>
  <si>
    <t>Almacenista / Barcadillero Supernumerario</t>
  </si>
  <si>
    <t>Supernumerario</t>
  </si>
  <si>
    <t>Almacenista</t>
  </si>
  <si>
    <t>Almacenista Supernumerario</t>
  </si>
  <si>
    <t>Aprendiz Sena Dual</t>
  </si>
  <si>
    <t>Auxiliar SST</t>
  </si>
  <si>
    <t>Ayudante de Retroexcavadora</t>
  </si>
  <si>
    <t>Coordinador Campo</t>
  </si>
  <si>
    <t>Coordinador Campo Supernumerario</t>
  </si>
  <si>
    <t>Coordinador Empacadora</t>
  </si>
  <si>
    <t>Coordinador Empacadora Supernumerario</t>
  </si>
  <si>
    <t>Operador Retroexcavadora</t>
  </si>
  <si>
    <t>Psicóloga</t>
  </si>
  <si>
    <t>Practicante Universitaria</t>
  </si>
  <si>
    <t>Asistente Gestión Humana</t>
  </si>
  <si>
    <t>Auxiliar Administrativo</t>
  </si>
  <si>
    <t>Aprendiz Sistemas</t>
  </si>
  <si>
    <t>Coordinador</t>
  </si>
  <si>
    <t>Aprendiz SENA</t>
  </si>
  <si>
    <t>YURLEDIS VANESSA RAMOS</t>
  </si>
  <si>
    <t>Selección</t>
  </si>
  <si>
    <t>MARTA PATRICIA ROBLEDO PEREA</t>
  </si>
  <si>
    <t>Eosinofilia estudiar después, Juanetes bilaterales con posibilidad de recomendaciones a futuro y patología de piel de manejo por EPS</t>
  </si>
  <si>
    <t>NEIDER DARIO COGOLLO LUNA </t>
  </si>
  <si>
    <t>NEIDON MURILLO ALCARAZ</t>
  </si>
  <si>
    <t>Juanete en pie derecho con posibilidad de recomendaciones a futuro</t>
  </si>
  <si>
    <t>Patologia cardiaca,  Juanetes bilaterales  y eosinofilia, es preferible buscar otro condidato</t>
  </si>
  <si>
    <t>ALEXANDER RAMOS ALEAN</t>
  </si>
  <si>
    <t>YOBANI ALEXANDER GARCIA MONSALVE</t>
  </si>
  <si>
    <t>Si (Hablar con Sandra seguimiento)</t>
  </si>
  <si>
    <t>Amarre</t>
  </si>
  <si>
    <t>Embolse Foamy</t>
  </si>
  <si>
    <t>Embolse</t>
  </si>
  <si>
    <t>YOVARNIT STIVEN URDA PACHECO</t>
  </si>
  <si>
    <t>Repetir Hemograma en 8 días</t>
  </si>
  <si>
    <t xml:space="preserve">Aprendiz Amarre </t>
  </si>
  <si>
    <t>Patologia actual del hombro que entraria con recomendaciones ademas antecedente de fractura de ccraneo con la posibilidad de trastorno cognitivo a futuro. No lo veo como buen candidato</t>
  </si>
  <si>
    <t>JOSE WILSON MEDINA RIVAS</t>
  </si>
  <si>
    <t>LUIS ANGEL DONADO ALVAREZ</t>
  </si>
  <si>
    <t>Si (con eosinofilia para estudiar después)</t>
  </si>
  <si>
    <t>MAURICIO YOVAN CARDONA GARCIA</t>
  </si>
  <si>
    <t>Aplazado Sandra define</t>
  </si>
  <si>
    <t>KELLYS JOHANNA PEREZ BARRIOS</t>
  </si>
  <si>
    <t>Alteración de su Hemograma, repetirlo en 8 días, con Juanetes bilaterales</t>
  </si>
  <si>
    <t>NELFA OSORIO FUNIELES MESTRA</t>
  </si>
  <si>
    <t>Patologia de rodillas con posibilidad de recomendaciones a futuro</t>
  </si>
  <si>
    <t>EYDER SEIR ORTEGA RENDON</t>
  </si>
  <si>
    <t>Aprendiz Empaque</t>
  </si>
  <si>
    <t>Patologia de columna que entraria con recomendaciones, no es buen candidato</t>
  </si>
  <si>
    <t>ELVER MANUEL LOPEZ SOTELO</t>
  </si>
  <si>
    <t>ROYMAN MENA JULIO</t>
  </si>
  <si>
    <t xml:space="preserve">Desmane </t>
  </si>
  <si>
    <t>YAMILETH RESTREPO ARANGO</t>
  </si>
  <si>
    <t>ANDRES FELIPE ARTEAGA VIDAL</t>
  </si>
  <si>
    <t>Eosinofilia para estudiar después. Los Pterigios no son inconveniente)</t>
  </si>
  <si>
    <t>Si (Eosinofilia para estudiar después; Los Pterigios no son inconveniente)</t>
  </si>
  <si>
    <t>ALEXANDER PEREZ SIERRA</t>
  </si>
  <si>
    <t>Patologia de cadera y de rodilla que nos puede generar recomendaciones a futuro</t>
  </si>
  <si>
    <t>CARLOS ALFREDO MOSQUERA BARRETO</t>
  </si>
  <si>
    <t>DANIEL POLO PAEZ</t>
  </si>
  <si>
    <t>RAFAEL DARIO AVILES NARVAEZ</t>
  </si>
  <si>
    <t>Si (Los Pterigios no son inconveniente)</t>
  </si>
  <si>
    <t>FREIDER BELLO GARCIA</t>
  </si>
  <si>
    <t>Hernia umbilical pequeña, lo ideal cirugia antes de su vinculacion, en Caso contrario restriccion para manipular cargas mas de 15 kg, su incapacidad postoperatoria sera se aprox 15 dias y las recomendaciones por dos meses.</t>
  </si>
  <si>
    <t>RUBEN DARIO AGUDELO GOEZ</t>
  </si>
  <si>
    <t>Juanetes bilaterales con posibilidad de recomendaciones a futuro</t>
  </si>
  <si>
    <t>ANJESUS QUEJADA VILLALBA</t>
  </si>
  <si>
    <t>IMC 22,5 Con sobrepeso, estilos de vida saludables dieta y ejercicio regular</t>
  </si>
  <si>
    <t>YOBARNIT STIVEN URDA PACHECO</t>
  </si>
  <si>
    <t>ANGELO JAIR VILLA PALACIO</t>
  </si>
  <si>
    <t>La Ceiba</t>
  </si>
  <si>
    <t>Nuevo Mundo Oléico</t>
  </si>
  <si>
    <t>Bananal 2</t>
  </si>
  <si>
    <t>Las Delicias</t>
  </si>
  <si>
    <t>La Larga</t>
  </si>
  <si>
    <t>Playa Roja</t>
  </si>
  <si>
    <t>Si (con eosinofilia para estudiar después. Sandra estilos de vida saludables)</t>
  </si>
  <si>
    <t>IMC 28, sobrepeso, estilos de vida saludables dieta y ejercicio regular. Patología de piel de manejo por EPS. Con alteracion visual para vision lejana a ser evaluado por optometria para definir uso de lentes en su labor</t>
  </si>
  <si>
    <t>Si (Sandra estilos de vida saludables, Sandra hacer seguimiento primer máximo 2° contrato)</t>
  </si>
  <si>
    <t>SAMUEL ALBERTO PALACIOS HENAO</t>
  </si>
  <si>
    <t>Patología de piel de manejo por EPS</t>
  </si>
  <si>
    <t>Aprendiz Foamy</t>
  </si>
  <si>
    <t>CARLOS ALBERTO PALOMINO MOSQUERA</t>
  </si>
  <si>
    <t>Si (Sandra hacer seguimiento primer máximo 2° contrato)</t>
  </si>
  <si>
    <t>Juanete Izquierdo con posibilidad de recomendaciones a futuro</t>
  </si>
  <si>
    <t>IMC: 25,9 sobrepeso, estilos de vida saludables dieta y ejercicio regular. Patología visual para ingreso a PVE Visual</t>
  </si>
  <si>
    <t>DUBAN ALEXANDER ORTEGA SIERRA</t>
  </si>
  <si>
    <t>JOSE RAMON CABRERA PAEZ</t>
  </si>
  <si>
    <t>Fumigación</t>
  </si>
  <si>
    <t>IMC: 29,1 sobrepeso, estilos de vida saludables dieta y ejercicio regular. Trabajador con Juanetes bilaterales con posibilidad de recomendaciones a futuro. Los Pterigios no son inconveniente</t>
  </si>
  <si>
    <t>JHON JADER COGOLLO MORA</t>
  </si>
  <si>
    <t>Desmane</t>
  </si>
  <si>
    <t>Patologia visual severa en ojo derecho lo que lo haria muy suceptible de accidentes y lesiones; lo ideal es valoracion previa  por optometria o Oftalmologia para ver si es posible su correccion con lentes, si no corrige no seria buen candidato</t>
  </si>
  <si>
    <t>KHATERINE BELLO USUGA</t>
  </si>
  <si>
    <t>Amenorrea desde agosto, acarar posible embarazo Vs planificacion Sobrepeso</t>
  </si>
  <si>
    <t>DANIEL ANDRES LONDOÑO ARIAS</t>
  </si>
  <si>
    <t>Ingresar al PVE Visual previa valoracion por optometria</t>
  </si>
  <si>
    <t>Si (Sandra Ingresar al PVE Visual previa valoracion por optometria)</t>
  </si>
  <si>
    <t>Practicante Universitario</t>
  </si>
  <si>
    <t>JOSE DAVID ARCIA ALVAREZ</t>
  </si>
  <si>
    <t>GEOVANY JOSE ARROYO LUGO</t>
  </si>
  <si>
    <t>Desmache</t>
  </si>
  <si>
    <t>patologia alergica de manos que entraria con recomendaciones y posteriormente seguiria con ellas, ademas con Obesidad. No es buen candidato</t>
  </si>
  <si>
    <t>IMC: 25,2 sobrepeso, estilos de vida saludables dieta y ejercicio regular;  con Juanetes bilaterales con posibilidad de recomendaciones a futuro. Los Pterigios no son inconveniente </t>
  </si>
  <si>
    <t>RAFAEL ANTONIO SUAREZ GONZALEZ</t>
  </si>
  <si>
    <t>DIDIER JOAN BORJA ALVAREZ</t>
  </si>
  <si>
    <t>Paletizador / Sello</t>
  </si>
  <si>
    <t>con antecedente de cirugia de tobillo que probablemente a futuro iniciara recomendaciones. No lo veria como un buen candidato</t>
  </si>
  <si>
    <t>IMC: 33,2  con Obesidad y alteración de su Hemograma </t>
  </si>
  <si>
    <t>ELI ESTER ARTEAGA MARTINEZ</t>
  </si>
  <si>
    <t>ANNUAR RAMIREZ VARGAS</t>
  </si>
  <si>
    <t xml:space="preserve">Aprendiz Selección </t>
  </si>
  <si>
    <t>Con eosinofilia para estudiar después, con Juanete derecho con posibilidad de recomendaciones a futuro.</t>
  </si>
  <si>
    <t>HERMES HERRERA SALAZAR</t>
  </si>
  <si>
    <t>Con eosinofilia para estudiar después.Los Pterigios no son inconveniente </t>
  </si>
  <si>
    <t>ALEJANDRA MILENA HERNANDEZ SEGURA</t>
  </si>
  <si>
    <t>patologia de tiroides sin estudio por lo que es preferible buscar otro candidato</t>
  </si>
  <si>
    <t>LARRY ANTONIO NUÑEZ CAMPO</t>
  </si>
  <si>
    <t>JUAN CARLOS CUESTA QUEJADA</t>
  </si>
  <si>
    <t>Aprendiz Foamy / Embolse</t>
  </si>
  <si>
    <t>con deformidad congenita del primer dedo del pie + Juanetes bilaterales gran posibilidad de recomendaciones a futuro</t>
  </si>
  <si>
    <t>LUIS MIGUEL BERROCAL LOPEZ</t>
  </si>
  <si>
    <t>con eosinofilia para estudiar después, los Pterigios no son inconveniente </t>
  </si>
  <si>
    <t>JUAN JAVIER PUERTA PUERTA</t>
  </si>
  <si>
    <t>Aplazado por el medico evaluador</t>
  </si>
  <si>
    <t>WILLIAM SAMIR HERNANDEZ RAMIREZ</t>
  </si>
  <si>
    <t>Amarre / Foamy / Deshoje</t>
  </si>
  <si>
    <t>WILMAR ALBERTO ZAMBRANO CHAVERRA</t>
  </si>
  <si>
    <t>GLEDYS PEREZ CORREA</t>
  </si>
  <si>
    <t>ALEXIS PEREZ TORREGLOZA</t>
  </si>
  <si>
    <t>JUAN CARLOS VARGAS ROSARIO</t>
  </si>
  <si>
    <t>ALFONSO MANUEL CONTRERAS FABRA</t>
  </si>
  <si>
    <t>MAIRIS ALEJANDRA MORENO DIAZ</t>
  </si>
  <si>
    <t>Ingresar PVE Visual</t>
  </si>
  <si>
    <t>Si (Sandra Ingresar al PVE Visual)</t>
  </si>
  <si>
    <t>LEIDER PAYARES GALARCIO</t>
  </si>
  <si>
    <t>patologia respiratoria que entraria con recomendaciones. No lo veo como buen candidato</t>
  </si>
  <si>
    <t>GIAN CARLOS QUINTANA MASERI</t>
  </si>
  <si>
    <t>LUIS FERNEY HIGUITA RAMIREZ</t>
  </si>
  <si>
    <t>JOGE ARMANDO GARCIA ESTRADA</t>
  </si>
  <si>
    <t>IMC: 27,8 sobrepeso, estilos de vida saludables dieta y ejercicio regular. Patología de piel de manejo por EPS</t>
  </si>
  <si>
    <t>EDIER GONZALEZ AVILA</t>
  </si>
  <si>
    <t>EDWIN PAULINO GIRON AGUILAR</t>
  </si>
  <si>
    <t>YOVANNY JOSE HENRIQUEZ MORA</t>
  </si>
  <si>
    <t>Patología de piel de manejo por EPS; Juanetes bilaterales con posibilidad de recomendaciones a futuro</t>
  </si>
  <si>
    <t>MANUEL OCTAVIO ARBOLEDA ARCO</t>
  </si>
  <si>
    <t>Selección / Deshoje</t>
  </si>
  <si>
    <t>DAVID DELGADO</t>
  </si>
  <si>
    <t>Gran sobrepeso (IMC 29,4), estilos de vida saludables dieta y ejercicio regular</t>
  </si>
  <si>
    <t>OSCAR DAVID DE LA VEGA VERTEL</t>
  </si>
  <si>
    <t>Obesidad estilos de vida saludables dieta y ejercicio regular</t>
  </si>
  <si>
    <t>Con vision monocular no lo aconsejaria</t>
  </si>
  <si>
    <t>ROBINSON FABIAN MUÑOZ</t>
  </si>
  <si>
    <t>JOSE FRANCISCO GONZALEZ</t>
  </si>
  <si>
    <t>Embolse / Amarre</t>
  </si>
  <si>
    <t>Cuadro de dermatitis de contacto y antecedente de Cx Femur, lo lo veeria como buen candidato</t>
  </si>
  <si>
    <t>EDILSON VARELA VALLE</t>
  </si>
  <si>
    <t>sobrepeso, estilos de vida saludables dieta y ejercicio regular. Patología de piel de manejo por EPS y Juanetes bilaterales con posibilidad de recomendaciones a futuro</t>
  </si>
  <si>
    <t>Deshoje / Desmane</t>
  </si>
  <si>
    <t>WISTON MOSQUERA PALACIO</t>
  </si>
  <si>
    <t>DOUGLAS ANTONIO TORRES BRITO</t>
  </si>
  <si>
    <t>IMC 27,4 sobrepeso, estilos de vida saludables dieta y ejercicio regular.</t>
  </si>
  <si>
    <t>LINA MARCELA VIERA MESTRA</t>
  </si>
  <si>
    <t>ELKIN ENRIQUE LOPEZ</t>
  </si>
  <si>
    <t>Patología de piel Quemadura en miembro inferior reciente que es mejor esperar a que cicatrice</t>
  </si>
  <si>
    <t>EDWIN GAVIRIA TORREGLOSA</t>
  </si>
  <si>
    <t>DINA LUZ ARREDONDE GALLO</t>
  </si>
  <si>
    <t>Sello / Clasificación</t>
  </si>
  <si>
    <t>EDUAR DUVEIBER RODRIGUEZ LEON</t>
  </si>
  <si>
    <t>IMC 27,5 sobrepeso, estilos de vida saludables dieta y ejercicio regular.</t>
  </si>
  <si>
    <t>SERGIO MANCO MACHADO</t>
  </si>
  <si>
    <t>JULIAN ANDRES LOPEZ CASTRO</t>
  </si>
  <si>
    <t>aplazado por presentar heridas en antebrazo y mano, ademas hernia umbilical que entraria con recomendaciones, esto sin contar patologia de piel y alteracion leve del hemograma con eosinofilia</t>
  </si>
  <si>
    <t>Eosinofilia para estudiar después, patología de piel de manejo por EPS y Juanetes bilaterales con posibilidad de recomendaciones a futuro.</t>
  </si>
  <si>
    <t>No (Continua alteración hemograma, incluso desmejoro mas)</t>
  </si>
  <si>
    <t>EDILBERTO ANTONIO ROMERO ARENAS</t>
  </si>
  <si>
    <t>con eosinofilia, sobrepeso y masa en torax que debe ser extraida quirurgicamente antes de su ingreso</t>
  </si>
  <si>
    <t>Selección / Empaque</t>
  </si>
  <si>
    <t>EDUARDO SANTOS GONZALES LOPEZ</t>
  </si>
  <si>
    <t>ASTRID JOHANA OQUENDO URIBE</t>
  </si>
  <si>
    <t>sobrepeso, estilos de vida saludables dieta y ejercicio regular. Ingresop a PVE Visual</t>
  </si>
  <si>
    <t>JHON HERMES MARIN BERRIO</t>
  </si>
  <si>
    <t>JOSE LUIS GUTIERREZ VALETA</t>
  </si>
  <si>
    <t>Foamy / Deshoje</t>
  </si>
  <si>
    <t>Si (Sandra hacer seguimiento)</t>
  </si>
  <si>
    <t>Juanetes bilaterales con posibilidad de recomendaciones a futuro.</t>
  </si>
  <si>
    <t>JAIDER ANDRES GUZMAN ROMERO</t>
  </si>
  <si>
    <t>alteración de su Colinesterasas que lo limitaria en su labor, adems eosinofilia</t>
  </si>
  <si>
    <t>JAUDIER ALETH CARDENAS CARVAJAL</t>
  </si>
  <si>
    <t>Foamy / Embolse</t>
  </si>
  <si>
    <t>EVIS CRISTINA PALENCIA GOMEZ</t>
  </si>
  <si>
    <t>Aprendiz Sena</t>
  </si>
  <si>
    <t>Obesidad IMC de 34,5</t>
  </si>
  <si>
    <t xml:space="preserve"> </t>
  </si>
  <si>
    <t>LUIS ENRIQUE ALGARIN</t>
  </si>
  <si>
    <t>eosinofilia para estudiar después. Ademas trastorno visual para vision lejana que debera ser corregido en el primer mes</t>
  </si>
  <si>
    <t>LEIDY CAROLINA SALAZAR</t>
  </si>
  <si>
    <t>alteración de su Hemograma, repetirlo en 8 días.  Si no es labor administrativa por su patologia de rodillas no seria recomendable</t>
  </si>
  <si>
    <t>DIADIMIR MESA VILLALBA</t>
  </si>
  <si>
    <t>LIBARDO ENRIQUE SILVA CARDENAS</t>
  </si>
  <si>
    <t>con eosinofilia para estudiar después, sobrepeso, estilos de vida saludables dieta y ejercicio regular. Trabajador con Juanetes bilaterales con posibilidad de recomendaciones a futuro.</t>
  </si>
  <si>
    <t>NEDER MANUEL MORELO DIAZ</t>
  </si>
  <si>
    <t>EVER VILLAR ESTRADA</t>
  </si>
  <si>
    <t>IMC 25,5 eosinofilia para estudiar después,  sobrepeso, estilos de vida saludables dieta y ejercicio regular</t>
  </si>
  <si>
    <t>NILSON DANIEL RIVERA MORELO</t>
  </si>
  <si>
    <t>con eosinofilia para estudiar después</t>
  </si>
  <si>
    <t>JHON FREDY GAVIRIA VELASQUEZ</t>
  </si>
  <si>
    <t>sobrepeso, estilos de vida saludables dieta y ejercicio regular, patología de piel de manejo por EPS. Trabajador con Juanetes bilaterales con posibilidad de recomendaciones a futuro</t>
  </si>
  <si>
    <t>LUIS ANGEL GUERRA CAMAÑO</t>
  </si>
  <si>
    <t>GUALBERTO GALARCIO REYES</t>
  </si>
  <si>
    <t>KAREN DAYANA GAMBOA ALLIN</t>
  </si>
  <si>
    <t>Dx de Anemia de celulas falcifirmes que actualmente esta controlada pero esta enfermedad se de recaidas frecuentes la cual entraria con estabilidad reforzada. No la recomendaria</t>
  </si>
  <si>
    <t>CARLOS ANDRES SANCHEZ RODRIGUEZ</t>
  </si>
  <si>
    <t>con eosinofilia para estudiar después, con gran sobrepeso (IMC 29,3), estilos de vida saludables dieta y ejercicio regular.</t>
  </si>
  <si>
    <t>ARMANDO TORRES GARCES</t>
  </si>
  <si>
    <t>Miss</t>
  </si>
  <si>
    <t>KELLY JOHANA HERNANDEZ SANCHEZ</t>
  </si>
  <si>
    <t>Obesidad</t>
  </si>
  <si>
    <t>Sello</t>
  </si>
  <si>
    <t>ABELARDO NIAZA GUTIERREZ</t>
  </si>
  <si>
    <t>con eosinofilia para estudiar después,  con sobrepeso IMC: 25,2 , estilos de vida saludables dieta y ejercicio regular.</t>
  </si>
  <si>
    <t>EDER LUIS ORTIZ SOLANO</t>
  </si>
  <si>
    <t>alteracion de las colinesterasas entraria con restricciones para manipular o estar en contacto con agroquimicos, ademas Patología de piel de manejo por EPS, Juanetes bilaterales con posibilidad de recomendaciones a futuro. Los Pterigios no son inconveniente</t>
  </si>
  <si>
    <t>Foamy / Fumigación</t>
  </si>
  <si>
    <t>YESICA PAOLA RUEDA MISAL</t>
  </si>
  <si>
    <t>sobrepeso, estilos de vida saludables dieta y ejercicio regular. Patología de piel de manejo por EPS.</t>
  </si>
  <si>
    <t>Si</t>
  </si>
  <si>
    <t>WILLIAN ANDRES BRAN ZAPATA</t>
  </si>
  <si>
    <t>RAFAEL ANDRES DIAZ NEGRETE</t>
  </si>
  <si>
    <t>Aplazado Sandra revisa el caso)</t>
  </si>
  <si>
    <t>tiene en el momento herida infectada en muslo por lo que se debera esperar a que sane, una vez pase su infeccion y la herida este sana no tendria inconvenientes.</t>
  </si>
  <si>
    <t>DILSON MIGUEL LOPEZ PRIETO</t>
  </si>
  <si>
    <t>AUGUSTO TORDECILLA HOYOS</t>
  </si>
  <si>
    <t>con sobrepeso IMC: 27,2 , estilos de vida saludables dieta y ejercicio regular. Ingreso al PVE Visual. Los Pterigios no son inconveniente.</t>
  </si>
  <si>
    <t>EDILCE DE JESUS BLANCO TORRES</t>
  </si>
  <si>
    <t>patologia cardiaca aunque en el momento estable podria tener crisis en cualquier momento. Si se engancha seria solo por la practica</t>
  </si>
  <si>
    <t>LINA VALERIA MEDINA GAVIRIA</t>
  </si>
  <si>
    <t>JUAN CAMILO POSADA LOPEZ</t>
  </si>
  <si>
    <t>eosinofilia para estudiar después.</t>
  </si>
  <si>
    <t>ADMINISTRADOR SUPERNUMERARIO</t>
  </si>
  <si>
    <t>JOSE ANDRES ALVAREZ MONTOYA</t>
  </si>
  <si>
    <t>eosinofilia para estudiar después, la patología de piel de manejo por EPS</t>
  </si>
  <si>
    <t>Foamy / Embolse /Amarre</t>
  </si>
  <si>
    <t>YULIANA DIAZ USUGA</t>
  </si>
  <si>
    <t>KAREN DAYANA RENTERIA IBARGUEN</t>
  </si>
  <si>
    <t>CINDI MARCELA PEREA MORENO</t>
  </si>
  <si>
    <t>Foamy / Desmache /Amarre</t>
  </si>
  <si>
    <t>ALONSO PÉREZ CASTAÑEDA</t>
  </si>
  <si>
    <t>JORGE ANDRES IBARGUEN GRACIANO</t>
  </si>
  <si>
    <t>antecedente de cirugia de rodilla que aunque actualmente esta bien es un riesgo a futuro de una artrosis de rodillla</t>
  </si>
  <si>
    <t>ERNEY GAVIRIA GONZALEZ</t>
  </si>
  <si>
    <t>sobrepeso, estilos de vida saludables dieta y ejercicio regular. Patología de piel de manejo por EPS</t>
  </si>
  <si>
    <t>EDIER ANTONIO ARRIETA</t>
  </si>
  <si>
    <t>sobrepeso, estilos de vida saludables dieta y ejercicio regular.</t>
  </si>
  <si>
    <t>JHON JAIRO MURILLO MOSQUERA</t>
  </si>
  <si>
    <t>Santa Isabel</t>
  </si>
  <si>
    <t>sobrepeso, hipertension y Dislipidemia sin buen control de sus patologias en una persona joven seria para pensarlo bien por los riesgos a futuro</t>
  </si>
  <si>
    <t>MIGUEL MENDOZA RAMOS</t>
  </si>
  <si>
    <t>Amarre / Miss</t>
  </si>
  <si>
    <t>YEISSON ENRIQUE PALACIO RODRIGUEZ</t>
  </si>
  <si>
    <t>sobrepeso, estilos de vida saludables dieta y ejercicio regular. Los Pterigios no son inconveniente. Ingresar a PVE Visual</t>
  </si>
  <si>
    <t>MIGUEL ANGEL GOMEZ PEDROZA</t>
  </si>
  <si>
    <t>JUAN FERNANDO ALVAREZ TRUJILLO</t>
  </si>
  <si>
    <t>eosinofilia para estudiar después, con Juanetes bilaterales con posibilidad de recomendaciones a futuro.</t>
  </si>
  <si>
    <t>PEREZ NIÑO JHONMARIO</t>
  </si>
  <si>
    <t>JERSON VITERIS PENA COPETE</t>
  </si>
  <si>
    <t>LAURA CRISTINA DELGADO GRACIANO</t>
  </si>
  <si>
    <t>?????</t>
  </si>
  <si>
    <t>LUIS ANGEL URANGO</t>
  </si>
  <si>
    <t>con deformidad en rodillas que aunque este sintomatico es suceptible de patologia degenerativa de rodilla admas tiene sobrepeso que incrementa el riesgo y  Juanetes.</t>
  </si>
  <si>
    <t>KATERINE ZAPATA OCHOA</t>
  </si>
  <si>
    <t>ELKIN DARIO AGUIRRE OSORIO</t>
  </si>
  <si>
    <t>vision monocular lo que lo hace muy propenso a los accidentes, no lo veria como buen candidato</t>
  </si>
  <si>
    <t>JUAN FELIPE DE LEON PARRA</t>
  </si>
  <si>
    <t>Ingresar al PVE Visual</t>
  </si>
  <si>
    <t>Si (Sandra Ingresar PVE Visual)</t>
  </si>
  <si>
    <t>sobrepeso, estilos de vida saludables dieta y ejercicio regular</t>
  </si>
  <si>
    <t>WILBER LUIS SOTELO CORCHO</t>
  </si>
  <si>
    <t>JUAN DAVID OTALVARO OSPINA</t>
  </si>
  <si>
    <t>Patología de piel de manejo por EPS. Los Pterigios no son inconveniente.</t>
  </si>
  <si>
    <t>JAMINTON EUNILVER FABRA PALACIO</t>
  </si>
  <si>
    <t>eosinofilia para estudiar después la patología de piel de manejo por EPS.</t>
  </si>
  <si>
    <t>MARLEYDIS GUARDO MARZOLA</t>
  </si>
  <si>
    <t>MARIA ALEJANDRA TORRES VALENCIA</t>
  </si>
  <si>
    <t>alteración de su Hemograma, repetirlo en 8 días, con Juanetes bilaterales con posibilidad de recomendaciones a futuro. Hernia umbilical.</t>
  </si>
  <si>
    <t>LUZ ELENA IBARGUEN MOSQUERA</t>
  </si>
  <si>
    <t>KELLY JOHANA PERTUZ JIMENEZ</t>
  </si>
  <si>
    <t>gran obesidad + antecedentes familiares de diabetes, no creo sea uen candidato</t>
  </si>
  <si>
    <t>FABIO MANUEL ESTEVEZ RODRIGUEZ</t>
  </si>
  <si>
    <t>dermatitis de contacto que entraria con recomendaciones</t>
  </si>
  <si>
    <t>JHONATAN ANDRES SANCHEZ BENITEZ</t>
  </si>
  <si>
    <t>CRISTIAN ANDRES RAMIREZ QUEVEDO</t>
  </si>
  <si>
    <t>YUDEMY DE JESUS TUBERQUIA LOPEZ</t>
  </si>
  <si>
    <t>JUAN CARLOS HERNANDEZ HERRERA</t>
  </si>
  <si>
    <t>JUAN MURILLO TOVAR</t>
  </si>
  <si>
    <t>DIDIER MIGUEL GRANDET GALARCIO</t>
  </si>
  <si>
    <t>Obesidad y alteración de su Hemograma</t>
  </si>
  <si>
    <t>LUIS FELIPE QUINTO OREJUELA</t>
  </si>
  <si>
    <t>JULIO CESAR CORREA PEÑA</t>
  </si>
  <si>
    <t>MIGUEL ALFREDO MONSALVE BALLESTEROS</t>
  </si>
  <si>
    <t>sobrepeso, estilos de vida saludables dieta y ejercicio regular. Trabajador con Juanetes bilaterales con posibilidad de recomendaciones a futuro</t>
  </si>
  <si>
    <t>RICHAR JOSE PEREIRA HERNANDEZ </t>
  </si>
  <si>
    <t>YEDIS ANTONIO GONZALEZ MASS</t>
  </si>
  <si>
    <t>Patología de piel de manejo por EPS.</t>
  </si>
  <si>
    <t>eosinofilia para estudiar después. Trabajador con gran sobrepeso, estilos de vida saludables dieta y ejercicio regular.</t>
  </si>
  <si>
    <t>FERNADO JOSE ESPITIA SOLIPAS</t>
  </si>
  <si>
    <t>KENDRY MERCEDES MAYO CUESTA</t>
  </si>
  <si>
    <t>ANDRES FELIPE MARTINEZ TIERRADENTRO</t>
  </si>
  <si>
    <t>EDISON OVIEDO RAMIREZ</t>
  </si>
  <si>
    <t xml:space="preserve">Foamy / Embolse </t>
  </si>
  <si>
    <t>LUZ ARNEDYS DE LA CRUZ AVILA</t>
  </si>
  <si>
    <t>patología de piel de manejo por EPS.</t>
  </si>
  <si>
    <t>WENDY YOLANY CARDONA RODRIGUEZ</t>
  </si>
  <si>
    <t>DIONY CARRASCAL SUAREZ</t>
  </si>
  <si>
    <t>Pterigios no son inconveniente</t>
  </si>
  <si>
    <t>GLENEDIS JOSEFA DOMINGUEZ MARTINEZ</t>
  </si>
  <si>
    <t>alteración de su Hemograma, repetirlo en 8 días.Trabajador con Juanetes bilaterales con posibilidad de recomendaciones a futuro. persiste con alteración de su Hemograma</t>
  </si>
  <si>
    <t>FRANDERSON GALVIS LUCAS</t>
  </si>
  <si>
    <t>HENRY DE HORTA GARCIA</t>
  </si>
  <si>
    <t>SOLANGYE TAUTIVA DIAZ </t>
  </si>
  <si>
    <t>EMELYS PATRICIA REDONDO GONZALEZ</t>
  </si>
  <si>
    <t>Sobrepeso + deformidad de rodillas que a futuro terminara con recomendaciones.</t>
  </si>
  <si>
    <t>Secuelas de fractura de muñeca con limitaciones para movimiento. Entraria con recomendaciones</t>
  </si>
  <si>
    <t>Eosinofilia para estudiar después, con Juanetes bilaterales con posibilidad de recomendaciones a futuro</t>
  </si>
  <si>
    <t>YURLEY CASIANA QUINTERO  PALACIOS</t>
  </si>
  <si>
    <t>EDER GREGORIO PADILLA JULIO</t>
  </si>
  <si>
    <t>ADOLFO ANTONIO JULIO FENANDEZ</t>
  </si>
  <si>
    <t>ELIECER QUIROZ BALLESTERO</t>
  </si>
  <si>
    <t>afeccion del oido y ademas colinesterasas bajas que entraria con muchas limitaciones</t>
  </si>
  <si>
    <t>YEFERSON TORRES BALOYES</t>
  </si>
  <si>
    <t>eosinofilia para estudiar después</t>
  </si>
  <si>
    <t xml:space="preserve">Si </t>
  </si>
  <si>
    <t>JUAN DAVID RAMOS MONTALVO</t>
  </si>
  <si>
    <t>falta la mitad del examen fisico</t>
  </si>
  <si>
    <t>sobrepeso que por su foto se debe verificar ya que no parece ser de una persona con este IMC (29)</t>
  </si>
  <si>
    <t>LEIDI YOHANA MOSQERA VASQUEZ</t>
  </si>
  <si>
    <t>UBADEL JOSE VERGARA ALARCON</t>
  </si>
  <si>
    <t>Los Pterigios no son inconveniente. Verificar tiempo de afiliacion al SG-SSS</t>
  </si>
  <si>
    <t>gran sobrepeso ( IMC 29), estilos de vida saludables dieta y ejercicio regular.</t>
  </si>
  <si>
    <t>DEIVIS DAVID DORIA GARCIA</t>
  </si>
  <si>
    <t>YOSIRIS CHALA LARA</t>
  </si>
  <si>
    <t>FRANCISCO JAVIER MARTINEZ GARCES</t>
  </si>
  <si>
    <t>YEIDER ANTONIO RIVERA MIRANDA</t>
  </si>
  <si>
    <t>Juanetes bilaterales con posibilidad de recomendaciones a futuro, los Pterigios no son inconveniente</t>
  </si>
  <si>
    <t>EVER ENRIQUE LEUDO MURILLO</t>
  </si>
  <si>
    <t>25,8 sobrepeso, estilos de vida saludables dieta y ejercicio regular.</t>
  </si>
  <si>
    <t>Trabajador con Obesidad 30,8</t>
  </si>
  <si>
    <t>YUVIER PALACIOS MORENO</t>
  </si>
  <si>
    <t>Oficio</t>
  </si>
  <si>
    <t>Amarre Empaque</t>
  </si>
  <si>
    <t>Embolse, Foamy, Amarre</t>
  </si>
  <si>
    <t xml:space="preserve">Empaque, Selección, Clasificación </t>
  </si>
  <si>
    <t>Empacadora</t>
  </si>
  <si>
    <t>Amarre, Foamy</t>
  </si>
  <si>
    <t>Amarre, Embolse, Foamy</t>
  </si>
  <si>
    <t>Fertilizacion, Agricultura, Chapeo</t>
  </si>
  <si>
    <t>Embolse Amarre</t>
  </si>
  <si>
    <t>Amarre Foamy</t>
  </si>
  <si>
    <t>Embolse, Foamy</t>
  </si>
  <si>
    <t>Amarre, Embolse</t>
  </si>
  <si>
    <t>Palletizador Foamy</t>
  </si>
  <si>
    <t>Foamy, Empaque, Sello</t>
  </si>
  <si>
    <t>Foamy, Fumigacion</t>
  </si>
  <si>
    <t>Selección, Empaque</t>
  </si>
  <si>
    <t>Embolse, Amarre, Foamy</t>
  </si>
  <si>
    <t>Foamy Embolse</t>
  </si>
  <si>
    <t>Foamy, Amarre, Embolse</t>
  </si>
  <si>
    <t>Foamy Amarre</t>
  </si>
  <si>
    <t>Emarre, Embolse</t>
  </si>
  <si>
    <t>Aprendiz Empacadora</t>
  </si>
  <si>
    <t>Fertilizacion, Chapeo, Agricultura</t>
  </si>
  <si>
    <t>Ala</t>
  </si>
  <si>
    <t>Foamy, Embolse</t>
  </si>
  <si>
    <t>Embolse, Foamy, Miss</t>
  </si>
  <si>
    <t>Foamy, Ayudante Agricultura</t>
  </si>
  <si>
    <t>Empaque Desmache</t>
  </si>
  <si>
    <t xml:space="preserve">Selección Empaque </t>
  </si>
  <si>
    <t>Ayudante De Agricultura, Amarre</t>
  </si>
  <si>
    <t>Aprendiz Oficios Varios</t>
  </si>
  <si>
    <t>Miss, Palletizado</t>
  </si>
  <si>
    <t>Embolse, Foamy Y Miss</t>
  </si>
  <si>
    <t>Auxiliar Agricultura</t>
  </si>
  <si>
    <t>Embolse, Foamy Amarre</t>
  </si>
  <si>
    <t>Fumigacion, Palletizado, Foamy</t>
  </si>
  <si>
    <t xml:space="preserve">Desmane, Selección </t>
  </si>
  <si>
    <t>Empaque, Selección</t>
  </si>
  <si>
    <t>Selección y Empaque</t>
  </si>
  <si>
    <t>Miss y Amarre</t>
  </si>
  <si>
    <t>Selección Y Empaque</t>
  </si>
  <si>
    <t>Corte y Empaque</t>
  </si>
  <si>
    <t>Amarrador, Desmanchador, Embolsador, Fomero</t>
  </si>
  <si>
    <t>Empacadora, Ayudante Riego</t>
  </si>
  <si>
    <t>Amarre, Puyero, Fertilizacion, Chapeo</t>
  </si>
  <si>
    <t>Embolse Amarre, Foamy</t>
  </si>
  <si>
    <t>Fumigacion Desguasque</t>
  </si>
  <si>
    <t>Embolse, Desflore</t>
  </si>
  <si>
    <t>Embolse Amarre Foamy</t>
  </si>
  <si>
    <t>Aprendizaje Embolse, Foamy, Corte y Empaque</t>
  </si>
  <si>
    <t>Aprendiz Embolse, Foamy, Agricultura</t>
  </si>
  <si>
    <t>Empaque Selección</t>
  </si>
  <si>
    <t>Cuadri De Corte</t>
  </si>
  <si>
    <t>Cuadrilla Corte y Miss</t>
  </si>
  <si>
    <t>Embolse, Cuadrilla Corte</t>
  </si>
  <si>
    <t>Empaque Palletizado</t>
  </si>
  <si>
    <t>Foamy, Empaque</t>
  </si>
  <si>
    <t>Desmache Miss</t>
  </si>
  <si>
    <t>Foamy, Amarre</t>
  </si>
  <si>
    <t>Agricultor Ayudante Amarre</t>
  </si>
  <si>
    <t xml:space="preserve">Empacadora Selección </t>
  </si>
  <si>
    <t xml:space="preserve">Desmache Selección </t>
  </si>
  <si>
    <t>Barcadilla, Miss</t>
  </si>
  <si>
    <t>Selección Empaque</t>
  </si>
  <si>
    <t>Aprendiz Foamy, Selección</t>
  </si>
  <si>
    <t xml:space="preserve">Foamy, Selección </t>
  </si>
  <si>
    <t>Embolse, Amarre</t>
  </si>
  <si>
    <t>Fumigador Foamy</t>
  </si>
  <si>
    <t>Agricultor Ayudante, Foamy</t>
  </si>
  <si>
    <t>Selección, Desmache, Clasificación</t>
  </si>
  <si>
    <t>Aprendizaje, Foamy, Embolse, Palletizado</t>
  </si>
  <si>
    <t>Desmane, Selección, Clasificación, Amarre, Empaque</t>
  </si>
  <si>
    <t>Foamy, Embolse, Amarre</t>
  </si>
  <si>
    <t>Foamy, Embolse, Agricultura</t>
  </si>
  <si>
    <t>Foamy, Miss</t>
  </si>
  <si>
    <t>Foamy, Fumigación</t>
  </si>
  <si>
    <t>Embolse, Miss</t>
  </si>
  <si>
    <t>Miss, Fumigación</t>
  </si>
  <si>
    <t>Amarre, Foamy, Embolse</t>
  </si>
  <si>
    <t>No Establecieron Labor</t>
  </si>
  <si>
    <t>Selección, Clasificación, Sello</t>
  </si>
  <si>
    <t>Selección, Empaque, Foamy</t>
  </si>
  <si>
    <t>Foamy, Agricultor Ayudante</t>
  </si>
  <si>
    <t>Aprendizaje Foamy Empaque</t>
  </si>
  <si>
    <t>Selección, Desmane, Embolse</t>
  </si>
  <si>
    <t>Cuadrilla Corte</t>
  </si>
  <si>
    <t>Aprendiz Cuadrilla Corte</t>
  </si>
  <si>
    <t>Aprendiz Selección y Empaque</t>
  </si>
  <si>
    <t>Embolse, Foamy, Amarre, Desmane</t>
  </si>
  <si>
    <t>Embolse, Empaque</t>
  </si>
  <si>
    <t>Selección y Amarre</t>
  </si>
  <si>
    <t xml:space="preserve">Coordinador </t>
  </si>
  <si>
    <t>Foamy, Embolse, Palletizado</t>
  </si>
  <si>
    <t>Foamy, Guantelete</t>
  </si>
  <si>
    <t>Desmache Cosecha</t>
  </si>
  <si>
    <t>Aprendiz Foamy, Embolse</t>
  </si>
  <si>
    <t>Amarre, Embolse, Miss</t>
  </si>
  <si>
    <t>Corte, Empaque, Embolse</t>
  </si>
  <si>
    <t>Aprendiz Foamy-Embolse</t>
  </si>
  <si>
    <t>Embolse-Foamy-Amarre-Empaque</t>
  </si>
  <si>
    <t>Embolse-Foamy-Amarre</t>
  </si>
  <si>
    <t>Cartonero-Miss</t>
  </si>
  <si>
    <t>Embolse-Empaque-Foamy</t>
  </si>
  <si>
    <t>Abono</t>
  </si>
  <si>
    <t>Abono - Fumigación</t>
  </si>
  <si>
    <t>Selección-Clasificación-Cartonero-Embolsador</t>
  </si>
  <si>
    <t>Embolse-Amarre-Foamy</t>
  </si>
  <si>
    <t>Foamy-Embolse</t>
  </si>
  <si>
    <t>Fumigación - Desmane</t>
  </si>
  <si>
    <t>Corte Y Empaque</t>
  </si>
  <si>
    <t>Foamy- Deshoje</t>
  </si>
  <si>
    <t>Fumigación-Abono</t>
  </si>
  <si>
    <t>Desmache-Corte y Empaque</t>
  </si>
  <si>
    <t>Sellado Clasificación</t>
  </si>
  <si>
    <t>Puyero - Deshoje</t>
  </si>
  <si>
    <t>Empaque-Selección</t>
  </si>
  <si>
    <t>Amarre - Foamy</t>
  </si>
  <si>
    <t>Foamy - Deshoje</t>
  </si>
  <si>
    <t>Cablero-Sellador-Embolsador</t>
  </si>
  <si>
    <t>Selección - Empaque</t>
  </si>
  <si>
    <t>Selección- Empaque - Foamy</t>
  </si>
  <si>
    <t>Embolse - Amarre - Foamy</t>
  </si>
  <si>
    <t>Deshoje</t>
  </si>
  <si>
    <t>Embolse - Foamy</t>
  </si>
  <si>
    <t>Embolse - Foamy - Garrucha</t>
  </si>
  <si>
    <t>Riego</t>
  </si>
  <si>
    <t>Colero - Embolse - Garruchero</t>
  </si>
  <si>
    <t>Empaque - Amarre</t>
  </si>
  <si>
    <t>Foamy - Fumigación</t>
  </si>
  <si>
    <t>Embolse - Foamy Amarre</t>
  </si>
  <si>
    <t>Cosecha - Foamy</t>
  </si>
  <si>
    <t>Empaque - Selección -Foamy</t>
  </si>
  <si>
    <t>Mísero - Embolse - Corte - Empaque</t>
  </si>
  <si>
    <t>Selección - Foamy - Empaque</t>
  </si>
  <si>
    <t>Embolse - Colero - Foamy</t>
  </si>
  <si>
    <t>Embolse - Empaque - Amarre</t>
  </si>
  <si>
    <t xml:space="preserve">Empaque - Sello </t>
  </si>
  <si>
    <t>Desmache - Foamy</t>
  </si>
  <si>
    <t>Empaque - Colero</t>
  </si>
  <si>
    <t>Selector - Amarre</t>
  </si>
  <si>
    <t xml:space="preserve">Embolse - Amarre   </t>
  </si>
  <si>
    <t>Paletizador - Foamy</t>
  </si>
  <si>
    <t>Empaque - Selección</t>
  </si>
  <si>
    <t>Empaque - Miss</t>
  </si>
  <si>
    <t>Embolse - Foamy - Amarre</t>
  </si>
  <si>
    <t>Empaque - Desflore</t>
  </si>
  <si>
    <t>Embolse  - Amarre</t>
  </si>
  <si>
    <t>Empacador y Selector</t>
  </si>
  <si>
    <t>Desflore - Abono</t>
  </si>
  <si>
    <t>Foamy - Riego</t>
  </si>
  <si>
    <t>Embolse - Amarre</t>
  </si>
  <si>
    <t>Amarre - Embolse</t>
  </si>
  <si>
    <t>Amarre  - Embolse</t>
  </si>
  <si>
    <t>Clasificación - Sello</t>
  </si>
  <si>
    <t>Empaque - Colero -Desmache</t>
  </si>
  <si>
    <t>Sellador - Cartonero</t>
  </si>
  <si>
    <t>Colero - Garruchero</t>
  </si>
  <si>
    <t>Sello - Selección</t>
  </si>
  <si>
    <t>Embolse - Guantelete</t>
  </si>
  <si>
    <t>Paletizador - Empaque</t>
  </si>
  <si>
    <t>Empacador</t>
  </si>
  <si>
    <t>Amarrador - Selector</t>
  </si>
  <si>
    <t>Ganadería</t>
  </si>
  <si>
    <t>Amarre - Embolse - Desmache</t>
  </si>
  <si>
    <t>Fomi - Embolse</t>
  </si>
  <si>
    <t>Embolsador</t>
  </si>
  <si>
    <t>Embolse Y Amarre</t>
  </si>
  <si>
    <t>Amarre - Deshoje</t>
  </si>
  <si>
    <t>Palletizado</t>
  </si>
  <si>
    <t>Amarrador - Embolse</t>
  </si>
  <si>
    <t>Selector - Desmane</t>
  </si>
  <si>
    <t>Empaque - Foamy</t>
  </si>
  <si>
    <t>Desmachador</t>
  </si>
  <si>
    <t>Garrucha - Selección</t>
  </si>
  <si>
    <t>Aprendiz Amarre</t>
  </si>
  <si>
    <t xml:space="preserve">Embolsador </t>
  </si>
  <si>
    <t>Amarrador</t>
  </si>
  <si>
    <t xml:space="preserve">Fumigador   </t>
  </si>
  <si>
    <t xml:space="preserve">Aprendiz </t>
  </si>
  <si>
    <t>Fumigador</t>
  </si>
  <si>
    <t>Selector</t>
  </si>
  <si>
    <t>Deamanador</t>
  </si>
  <si>
    <t>Aprendiz Selección</t>
  </si>
  <si>
    <t>Ayudante De Retro</t>
  </si>
  <si>
    <t>Foamy - Embolse</t>
  </si>
  <si>
    <t>Clasificador</t>
  </si>
  <si>
    <t xml:space="preserve">Aprendiz Sello </t>
  </si>
  <si>
    <t>Embolse / Foamy</t>
  </si>
  <si>
    <t xml:space="preserve">Clasificación </t>
  </si>
  <si>
    <t>Agricultor Auxiliar</t>
  </si>
  <si>
    <t>Foamy - Amarre</t>
  </si>
  <si>
    <t>Auxiliar De Mantenimiento</t>
  </si>
  <si>
    <t>Selección - Paletizador</t>
  </si>
  <si>
    <t>Amarre - Selección</t>
  </si>
  <si>
    <t>Amarre - Empaque</t>
  </si>
  <si>
    <t xml:space="preserve">Embolse - Empaque </t>
  </si>
  <si>
    <t>Foamy - Selección</t>
  </si>
  <si>
    <t>Selectora</t>
  </si>
  <si>
    <t xml:space="preserve">Coordinador  </t>
  </si>
  <si>
    <t>Selección, Foamy</t>
  </si>
  <si>
    <t xml:space="preserve">Empaque </t>
  </si>
  <si>
    <t>Selección - Clasificación</t>
  </si>
  <si>
    <t>Aprendiz Deshoje</t>
  </si>
  <si>
    <t>Aprendiz Palletizado</t>
  </si>
  <si>
    <t>Embolse, Desmane, Protección Fruta</t>
  </si>
  <si>
    <t>Tecnología Gestión Administrativa</t>
  </si>
  <si>
    <t>Supervisión Actividades Bananeras</t>
  </si>
  <si>
    <t>Foamy-Sello-Peso</t>
  </si>
  <si>
    <t>Desmane- Palletizado</t>
  </si>
  <si>
    <t>Gestión Talento Humano</t>
  </si>
  <si>
    <t>Técnica Asistencia Administrativa</t>
  </si>
  <si>
    <t>Técnico Cultivos Agrícolas.</t>
  </si>
  <si>
    <t>Sello- Clasificación</t>
  </si>
  <si>
    <t>Foamy -  Selección y Peso</t>
  </si>
  <si>
    <t>Gestión Empresas Agropecuarias</t>
  </si>
  <si>
    <t>Tecnólogo en Agua y Saneamiento</t>
  </si>
  <si>
    <t>Tecnólogo Producción Agrícola</t>
  </si>
  <si>
    <t>Técnico  Organización de Archivo</t>
  </si>
  <si>
    <t>Tecnología Gestión Talento Humano</t>
  </si>
  <si>
    <t>Tecnólogo Producción Agrícola</t>
  </si>
  <si>
    <t>Foamy-Amarre-Fumigación</t>
  </si>
  <si>
    <t>Sello-Selección</t>
  </si>
  <si>
    <t>Técnico Asistencia Administrativa</t>
  </si>
  <si>
    <t>Empaque-Sello</t>
  </si>
  <si>
    <t>Tecnólogo Gestión  Empresas Agropecuarias</t>
  </si>
  <si>
    <t>Aprendiz Selección-Clasificación</t>
  </si>
  <si>
    <t>Técnica Producción Agropecuaria</t>
  </si>
  <si>
    <t>Técnica Piscicultura</t>
  </si>
  <si>
    <t>Tecnología Gestión Empresas Agropecuaria</t>
  </si>
  <si>
    <t>Foamy-Amarre</t>
  </si>
  <si>
    <t>Foamy-Deshoje</t>
  </si>
  <si>
    <t>Amarre-Desflore-Embolse</t>
  </si>
  <si>
    <t>Aprendiz Sello-Selección-Clasificación</t>
  </si>
  <si>
    <t>Desmache-Corte-Empaque</t>
  </si>
  <si>
    <t>Embolse-Miss-Foamy</t>
  </si>
  <si>
    <t>Agro Biotecnología</t>
  </si>
  <si>
    <t>SEBASTIAN OSSA ROJAS</t>
  </si>
  <si>
    <t>Asistente Auditoria</t>
  </si>
  <si>
    <t>JUAN CAMILO MARTINEZ ASTUDILLO</t>
  </si>
  <si>
    <t>Técnico Supervisor  en Actividades Bananeras</t>
  </si>
  <si>
    <t>Tecnólogo Gestión dDel Talento</t>
  </si>
  <si>
    <t>JHOAN STEVEN BELLO PONCE</t>
  </si>
  <si>
    <t>eosinofilia para estudiar después, con sobrepeso, estilos de vida saludables dieta y ejercicio regular</t>
  </si>
  <si>
    <t>CINDY YULIETH MURILLO HURTADO</t>
  </si>
  <si>
    <t>IVAN DARIO MUÑOZ SUAREZ</t>
  </si>
  <si>
    <t>Trabajador con sobrepeso</t>
  </si>
  <si>
    <t>DIANA SHIRLEY LUGO ZUÑIGA</t>
  </si>
  <si>
    <t>CARLOS MARIO FUENTES ZULUAGA</t>
  </si>
  <si>
    <t>Clasificación</t>
  </si>
  <si>
    <t>YEFERSON ARLEY QUINTANA MONSALVE</t>
  </si>
  <si>
    <t>Embolse-Foamy-selección</t>
  </si>
  <si>
    <t>Ingresar a PVE Visual</t>
  </si>
  <si>
    <t xml:space="preserve">Trabajador sin inconvenientes. </t>
  </si>
  <si>
    <t>ORLANDO JAVIER ARGUMEDO MILANES</t>
  </si>
  <si>
    <t>Clasificación -sello-selección -Empaque</t>
  </si>
  <si>
    <t>pie plano bilateral que tendria a futuro recomendaciones para estar de pies o desplazamientos</t>
  </si>
  <si>
    <t>CARLOS DAVID VALENCIA PALMERA</t>
  </si>
  <si>
    <t>ALEJANDRO CORDOBA BEJARANO</t>
  </si>
  <si>
    <t>LUIS ANDRES HERNANDEZ MARTINEZ</t>
  </si>
  <si>
    <t>Manuel Florentino Jaramillo Martinez</t>
  </si>
  <si>
    <t>Amarre-Empaque</t>
  </si>
  <si>
    <t>ALBERTO ZUÑIGA MARTINEZ</t>
  </si>
  <si>
    <t>JAMES ENRIQUE MERCADO</t>
  </si>
  <si>
    <t>Obesidad y Asma que le generaria recomendaciones. No lo veo buen candidato</t>
  </si>
  <si>
    <t>Embolse-Foamy</t>
  </si>
  <si>
    <t>EDWIN MANUEL PALOMO MESTRA</t>
  </si>
  <si>
    <t>ANLLY LICETH VARGAS VILLADIEGO</t>
  </si>
  <si>
    <t>Sello - Barcadilla</t>
  </si>
  <si>
    <t>CRISTIAN ANDRES BENITEZ COGOLLO</t>
  </si>
  <si>
    <t>Fumigador- corte y empaque</t>
  </si>
  <si>
    <t>Aprendiz empaque - Foamy</t>
  </si>
  <si>
    <t>SUPERVISION  DE ACTIVIDADES BANANERAS</t>
  </si>
  <si>
    <t>YELIS ANDREA SALINAS DENIS</t>
  </si>
  <si>
    <t>se debe descartar embarazo</t>
  </si>
  <si>
    <t>EMANUEL CARABALLO CASARRUBIA</t>
  </si>
  <si>
    <t>APRENDIZ AMARRE-EMBOLSE-EMPAQUE-SELECCION</t>
  </si>
  <si>
    <t>Juanete Izquierdos con posibilidad de recomendaciones a futuro</t>
  </si>
  <si>
    <t>GESTIÓN DE EMPRESAS AGROPECUARIAS </t>
  </si>
  <si>
    <t>YOAN SEBASTIAN MESA ACEVEDO</t>
  </si>
  <si>
    <t>OSCAR ANDRES TUIRAN HERNANDEZ</t>
  </si>
  <si>
    <t>YIMI ALEXANDER ZAPATA HIGUITA</t>
  </si>
  <si>
    <t>Neir Ospina Serna</t>
  </si>
  <si>
    <t>Yulieth Regino López</t>
  </si>
  <si>
    <t>Clasificación y sello</t>
  </si>
  <si>
    <t>con alteración de su Hemograma, repetirlo en 8 días. Trabajador con sobrepeso,</t>
  </si>
  <si>
    <t>Pendiente Maira</t>
  </si>
  <si>
    <t>DILIA ROSA URANGO TATIS</t>
  </si>
  <si>
    <t>SELLO-SELECCION</t>
  </si>
  <si>
    <t>Sara Danila Bedoya Durango</t>
  </si>
  <si>
    <t>sello, peso, selección</t>
  </si>
  <si>
    <t>DANIEL ANDRES OCHOA BLANCO</t>
  </si>
  <si>
    <t>APRENDIZ AUXILIAR AGRICULTOR</t>
  </si>
  <si>
    <t>DEIBIS JAMIT URUETA SAENZ</t>
  </si>
  <si>
    <t>eosinofilia para estudiar después. Patología de piel  (Pitiriasis y Lipoma) de manejo por EPS.</t>
  </si>
  <si>
    <t>JAIR ESNEIDER CAUSIL MOZO</t>
  </si>
  <si>
    <t>Visney Mendez Avila</t>
  </si>
  <si>
    <t>Supervisión de Actividades bananeras</t>
  </si>
  <si>
    <t>EMBOLSE-AMARRE-SELECCION</t>
  </si>
  <si>
    <t>EYBER RIVAS OVIEDO</t>
  </si>
  <si>
    <t>HORACIO ANTONIO GUERRA LUNA</t>
  </si>
  <si>
    <t xml:space="preserve">Si trabajador </t>
  </si>
  <si>
    <t>Si (Sandra hacer seguimiento, estilos de vida saludables)</t>
  </si>
  <si>
    <t>Obesidad, ademas leve defecto visual vision cercana ojo derecho</t>
  </si>
  <si>
    <t>Miguel Alberto López Muñoz </t>
  </si>
  <si>
    <t>EMBOLSE-AMARRE-FOMY</t>
  </si>
  <si>
    <t>YEISON ANDRES VILLA AGUDELO</t>
  </si>
  <si>
    <t>AMARRE-FOAMY</t>
  </si>
  <si>
    <t>secuelas en primer dedo mano derecha ademas posibilidades de Sindrome del tunel del carpo a futuro</t>
  </si>
  <si>
    <t>ELBOLSE-AMARRE-EMPAQUE</t>
  </si>
  <si>
    <t>KEVIN DAVID MANCO VILLALBA</t>
  </si>
  <si>
    <t>por su actividad tendra riesgo de sindrome del tunel del carpo</t>
  </si>
  <si>
    <t>MOISES DE JESUS RUIZ REGINO</t>
  </si>
  <si>
    <t>eosinofilia para estudiar después; sobrepeso, estilos de vida saludables dieta y ejercicio regular. Los Pterigios no son inconveniente</t>
  </si>
  <si>
    <t>EMPAQUE-SELECCION</t>
  </si>
  <si>
    <t>enfermedad varicosa queentraria con recomendaciones, ademas juanetes</t>
  </si>
  <si>
    <t>WILLIAN GOMEZ</t>
  </si>
  <si>
    <t>LEANIS PATRICIA RODRIGUEZ</t>
  </si>
  <si>
    <t>TÉCNICA EN SUPERVISION DE ACTIVIDADES BANANERAS</t>
  </si>
  <si>
    <t>eosinofilia para estudiar después; sobrepeso, estilos de vida saludables dieta y ejercicio regular</t>
  </si>
  <si>
    <t>EMBOLSE-EMPAQUE</t>
  </si>
  <si>
    <t>EMIRO MARTINEZ GARCES</t>
  </si>
  <si>
    <t>EMBOLSE-AMARRE-MISS</t>
  </si>
  <si>
    <t>JORGE LUIS OLEA PEÑATA</t>
  </si>
  <si>
    <t>SELECCION-FOMY</t>
  </si>
  <si>
    <t>patologia auditiva poco clara que es mejor esperar su diagnostico</t>
  </si>
  <si>
    <t>MARIO RODRIGUEZ PUERTA</t>
  </si>
  <si>
    <t>LEOVIGILDO JIMENEZ</t>
  </si>
  <si>
    <t>EDER DAVID BERROCAL DE HOYOS</t>
  </si>
  <si>
    <t>SELECCION-AMARRE-DESMANE</t>
  </si>
  <si>
    <t>JALINSON TORRES ALTAMIRANDA</t>
  </si>
  <si>
    <t>EMBOLSE</t>
  </si>
  <si>
    <t>YOINER ALBERTO CORDOBA RAMIREZ</t>
  </si>
  <si>
    <t>EMPAQUE-FOAMY</t>
  </si>
  <si>
    <t>VALERIA DIAZ DE HOYOS</t>
  </si>
  <si>
    <t>WILSON ANDRES PEREZ RIOS</t>
  </si>
  <si>
    <t>MIRBELLYS PALACIOS ESPITIA</t>
  </si>
  <si>
    <t>alteración de su Hemograma, ademas pie plano + juanetes y sobrepeso; la patologia de pel sin importancia. Considero que con estas afecciones terminara a corto plazo con recomendaciones</t>
  </si>
  <si>
    <t>ANDRES FELIPE BONILLA DIAZ</t>
  </si>
  <si>
    <t>EMPAQUE</t>
  </si>
  <si>
    <t>Si (Sandra hacer seguimiento valoracion por optometria y definir si requiere de uso de lentes)</t>
  </si>
  <si>
    <t>JUAN DAVID URREGO FLOREZ</t>
  </si>
  <si>
    <t>Si (Sandra hacer seguimiento primer máximo 2° contrato de STC)</t>
  </si>
  <si>
    <t>LUIS ENRIQUE TORREZ MACHADO</t>
  </si>
  <si>
    <t>Karen Yuliza Moreno Mosquera</t>
  </si>
  <si>
    <t>sello, clasificación</t>
  </si>
  <si>
    <t>alteración de su Hemograma (Anemia leve)</t>
  </si>
  <si>
    <t>APRENDIZ SENA ( SELECCION-EMPAQUE )????</t>
  </si>
  <si>
    <t>alteración de su Hemograma (Anemia leve</t>
  </si>
  <si>
    <t>AMARRE-GARRUCHERO</t>
  </si>
  <si>
    <t>una pequeña hernia umbilical asintomatico, de llegar a ser quirurgica unas dos semanas de incapacidad + 2 meses de recomendaciones</t>
  </si>
  <si>
    <t>SAMIR TORRES ORTEGA</t>
  </si>
  <si>
    <t>ANGIE DANIELA PALENCIA MENDOZA</t>
  </si>
  <si>
    <t>TECNOLOGIA EN GESTION DEL TALENTO HUMANO</t>
  </si>
  <si>
    <t>YAN CARLOS PESTANA URRUTIA</t>
  </si>
  <si>
    <t>Edwin Enrique Galvis Lucas</t>
  </si>
  <si>
    <t>Si (Sandra hacer seguimiento, primer máximo 2° contrato estilos de vida saludables)</t>
  </si>
  <si>
    <t>ROSMERIS GONZALEZ DIAZ</t>
  </si>
  <si>
    <t>sello, empaque</t>
  </si>
  <si>
    <t>DILAN ARIAS MOSQUERA</t>
  </si>
  <si>
    <t>DAIRO ENRIQUE TENORIO OCHOA</t>
  </si>
  <si>
    <t>LUIS ALEJANDRO FERREIRA SULETA</t>
  </si>
  <si>
    <t>Si (Sandra hacer seguimiento, primer máximo 2° contrato Juanetes bilaterales)</t>
  </si>
  <si>
    <t>ALEXANDER GALEANO RAMOS</t>
  </si>
  <si>
    <t>eosinofilia para estudiar después, patología de piel de manejo por EPS. Trabajador con Juanetes bilaterales con posibilidad de recomendaciones a futuro</t>
  </si>
  <si>
    <t>DESMACHE-EMBOLSE-AMARRE</t>
  </si>
  <si>
    <t>JOSE INES CORREA </t>
  </si>
  <si>
    <t>DESMANE-FOAMY</t>
  </si>
  <si>
    <t>28,5 (91 kilos) con sobrepeso, estilos de vida saludables dieta y ejercicio regular</t>
  </si>
  <si>
    <t>FARID ORTIZ ANAYA</t>
  </si>
  <si>
    <t>JEFRY MOSQUERA HINESTROZA</t>
  </si>
  <si>
    <t>secuelas de fractura de muñeca, entraria con recomendaciones</t>
  </si>
  <si>
    <t>TECNICA ASISTENCIA ADMINISTRATIVA</t>
  </si>
  <si>
    <t>LUIS ANIBAL JARAMILLO SALAS</t>
  </si>
  <si>
    <t>Pterigios no es problema.</t>
  </si>
  <si>
    <t>FOMMY- MISS</t>
  </si>
  <si>
    <t>SELECCION - FOAMY</t>
  </si>
  <si>
    <t>JHON KEDY RUIS </t>
  </si>
  <si>
    <t>patologia de rodillas que terminara con recomendaciones, ademas con Juanetes bilaterales con posibilidad de recomendaciones a futuro</t>
  </si>
  <si>
    <t>sobrepeso 28,1 (84 kg), estilos de vida saludables dieta y ejercicio regular. Los Pterigios no son inconveniente</t>
  </si>
  <si>
    <t>VICTOR SOTELO</t>
  </si>
  <si>
    <t>EMBOLSE-DESHOJE.CORTE-EMPAQUE</t>
  </si>
  <si>
    <t>eosinofilia para estudiar después. Los Pterigios no son inconveniente</t>
  </si>
  <si>
    <t>JULIO JAVIER ACOSTA</t>
  </si>
  <si>
    <t>EMBOLSE-AMARRE-GUANTELETE-EMPAQUE</t>
  </si>
  <si>
    <t>Obesidad 30,1 (82 kg)</t>
  </si>
  <si>
    <t>ASTRID NORELIS GOMES MOLINA </t>
  </si>
  <si>
    <t>EMBOLSE-AMARRE-EMPAQUE</t>
  </si>
  <si>
    <t>LUIS EDUARDO LADINO GIRALDO</t>
  </si>
  <si>
    <t>Katterine Carrascal Barreto</t>
  </si>
  <si>
    <t>Sello, selección, clasificación</t>
  </si>
  <si>
    <t>SANDRA LUZ RIVAS HERRERA</t>
  </si>
  <si>
    <t>EMPAQUE-SELECCION-SELLO</t>
  </si>
  <si>
    <t>JADER PEDROZA AGAMEZ</t>
  </si>
  <si>
    <t>DARIO JOSE RAMOS BARRIOS</t>
  </si>
  <si>
    <t>EMBOLSE-AMARRE</t>
  </si>
  <si>
    <t>FABER LUBIN MANCO CIFUENTES</t>
  </si>
  <si>
    <t>CLASIFICADOR-FOAMY</t>
  </si>
  <si>
    <t>Si (Sandra hacer seguimiento, leve eosinofilia)</t>
  </si>
  <si>
    <t>Si (Sandra hacer seguimiento, Trabajador con eosinofilia para estudiar después; con sobrepeso, estilos de vida saludables dieta y ejercicio regular)</t>
  </si>
  <si>
    <t>DESMACHE</t>
  </si>
  <si>
    <t>DARWIN CORDOBA CHAVERRA</t>
  </si>
  <si>
    <t>Si (Sandra hacer seguimiento, Trabajador con eosinofilia )</t>
  </si>
  <si>
    <t>PALETIZADO-EMPAQUE</t>
  </si>
  <si>
    <t>WILSON ANTONIO GARCIA MORENO</t>
  </si>
  <si>
    <t>CORTE-EMPAQUE</t>
  </si>
  <si>
    <t>Si (Sandra hacer seguimiento, Trabajador con sobrepeso, estilos de vida saludables dieta y ejercicio regular )</t>
  </si>
  <si>
    <t>DAVID ESTEBAN LADEUS DIAZ</t>
  </si>
  <si>
    <t> EMPAQUE-PALETIZADO-CIRUGIA-DEHOJE</t>
  </si>
  <si>
    <t>KEINER ANDRES FUENTES PEREZ</t>
  </si>
  <si>
    <t>ANDI RIVAS PAEZ</t>
  </si>
  <si>
    <t>BRAYAN STIP OSPINA VELEZ</t>
  </si>
  <si>
    <t>DARIO ENRIQUE ROJAS CARDALES</t>
  </si>
  <si>
    <t>APRENDIZ AMARRE- EMBOLSE</t>
  </si>
  <si>
    <t>CRISTIAN DE JESUS CAÑAS PEÑATA</t>
  </si>
  <si>
    <t>Si (Sandra hacer seguimiento, Trabajador con Hidrocele que de ser quirurgicola incapacidad no superaria los 15 dias )</t>
  </si>
  <si>
    <t> SELECCION-CLASIFICACION-</t>
  </si>
  <si>
    <t>LUIS MIGUEL MIRANDA JIMENEZ</t>
  </si>
  <si>
    <t>Si (Sandra hacer seguimiento, Trabajador con eosinofilia para estudiar después )</t>
  </si>
  <si>
    <t> FOAMY-EMBOLSE</t>
  </si>
  <si>
    <t>WILLER JOSE PEDROZA MARTINEZ</t>
  </si>
  <si>
    <t>EDILBERTO PEREIRA MARTINEZ</t>
  </si>
  <si>
    <t>Si (Sandra hacer seguimiento, Trabajador con sobrepeso, estilos de vida saludables dieta y ejercicio regular. )</t>
  </si>
  <si>
    <t>FUMIGACION-DESMANE-AMARRE</t>
  </si>
  <si>
    <t>ADRIANA MARCELA LONDOÑO ARROYAVE</t>
  </si>
  <si>
    <t>APRENDIZ EMPAQUE-SELLO</t>
  </si>
  <si>
    <t>DANIELA GRACIANO TAMAYO</t>
  </si>
  <si>
    <t>APRENDIZ EMPAQUE-SELECCIÓN</t>
  </si>
  <si>
    <t>Patología de piel para manejo por su EPS</t>
  </si>
  <si>
    <t>JHUVERNEYS GOMEZ VILLALBA</t>
  </si>
  <si>
    <t>ELIZABETH BANQUETH MORENO</t>
  </si>
  <si>
    <t>SELECCION-SELLO-CLASIFICACION-EMPAQUE</t>
  </si>
  <si>
    <t>JENRISON GONZALEZ ROCHA</t>
  </si>
  <si>
    <t>EMBOLSE-FUMIGACION</t>
  </si>
  <si>
    <t>leve eosinofilia para estudiar después.</t>
  </si>
  <si>
    <t>Eduardo Palencia Jaramillo</t>
  </si>
  <si>
    <t>SELECCION-SELLO-CLASIFICACION-PESO</t>
  </si>
  <si>
    <t>Si (Sandra hacer seguimiento, estilos de vida saludables dieta y ejercicio regular )</t>
  </si>
  <si>
    <t>KELLY JOHANA MENA JULIO</t>
  </si>
  <si>
    <t>EMILSON RODRIGUEZ BERMUDEZ</t>
  </si>
  <si>
    <t>PALETIZADO</t>
  </si>
  <si>
    <t>AMARRE-EMBOLSE-ABONO</t>
  </si>
  <si>
    <t>ANDRES JIMENEZ PINEDA</t>
  </si>
  <si>
    <t>JON JANDER CHIMA SALGADO</t>
  </si>
  <si>
    <t>Si (Sandra hacer seguimiento primer máximo 2° contrato)persiste con leve alteración de su Hemograma, con sobrepeso, estilos de vida saludables dieta y ejercicio regular.</t>
  </si>
  <si>
    <t>CARLOS ALBERTO SERNA VALENCIA</t>
  </si>
  <si>
    <t>trombocitopenia que lo limitaria para agroquimicos, ademas antecedente de fractura de codo y muñeca con secuelas. No lo veo como buen candidato</t>
  </si>
  <si>
    <t>EMPAQUE-SELECCIÓN-SELLO</t>
  </si>
  <si>
    <t>ILEANA SANTOS MURIEL</t>
  </si>
  <si>
    <t>PEDRO EMIRO PERALTA FLOREZ</t>
  </si>
  <si>
    <t>Obesidad ademas Juanetes bilaterales con posibilidad de recomendaciones a futuro y trastorno visual</t>
  </si>
  <si>
    <t>Si (Sandra hacer seguimiento primer máximo 2° contrato) persiste con alteración de su Hemograma (Anemia)</t>
  </si>
  <si>
    <t>FOAMY-EMBOLSE</t>
  </si>
  <si>
    <t>DILSON JAVIER QUINTERO LUNA</t>
  </si>
  <si>
    <t>NEIDER POLO VARVAJAL</t>
  </si>
  <si>
    <t>FOMMY</t>
  </si>
  <si>
    <t>MISS</t>
  </si>
  <si>
    <t>DIEGO ANTONIO CALLE TORRES</t>
  </si>
  <si>
    <t>secuelas de trauma de muñeca ademas  con Juanetes bilaterales con posibilidad de recomendaciones a futuro</t>
  </si>
  <si>
    <t>YUDYS ANDREA FERNANDEZ PAEZ</t>
  </si>
  <si>
    <t>FOAMY-EMPAQUE</t>
  </si>
  <si>
    <t>MOISES MARIO MORA PEREZ</t>
  </si>
  <si>
    <t>Empaque-fomy</t>
  </si>
  <si>
    <t>SELECTOR CLASIFICADOR</t>
  </si>
  <si>
    <t>JAMERSON DAVI ALQUERQUE WILCHEZ</t>
  </si>
  <si>
    <t>gran sobrepeso, ademas presenta infeccion activa en elmomento por lo que es mejor aclarar diagnosico de su lesion purulenta y recibir tratamiento</t>
  </si>
  <si>
    <t>AMARRE-EMBOLSE-DESMACHE</t>
  </si>
  <si>
    <t>LUIS GUILLERMO VASQUEZ JIMENEZ</t>
  </si>
  <si>
    <t>EMBOLSE-AMARRE-CORTE-EMPAQUE</t>
  </si>
  <si>
    <t>GABRIEL ALBERTO GONZALEZ SANCHEZ</t>
  </si>
  <si>
    <t>NAVID LOPEZ MATO</t>
  </si>
  <si>
    <t>Si (Sandra hacer seguimiento) persiste con alteración de su Hemograma</t>
  </si>
  <si>
    <t>gran sobrepeso (IMC 29,4), ademas con Juanetes bilaterales con posibilidad de recomendaciones a futuro</t>
  </si>
  <si>
    <t>EDWIN BERRIO GENES</t>
  </si>
  <si>
    <t>EMPAQUE-SELLO-SELECCION</t>
  </si>
  <si>
    <t>MARIA YESENIA MORENO PALACIO</t>
  </si>
  <si>
    <t>Obesidad y anemia severa</t>
  </si>
  <si>
    <t>JOSE ALDAIR SUAREZ VARELA</t>
  </si>
  <si>
    <t>CORTE-EMPAQUE-DESMANE</t>
  </si>
  <si>
    <t>gran sobrepeso (IMC 29,4), estilos de vida saludables dieta y ejercicio regular.</t>
  </si>
  <si>
    <t>AMARRE-DESMANE</t>
  </si>
  <si>
    <t>VICTOR ALFONSO LLORENTE</t>
  </si>
  <si>
    <t>CARLOS MAURICIO RAMIREZ PASTRANA</t>
  </si>
  <si>
    <t>SELECTOR</t>
  </si>
  <si>
    <t>MARY SOLEDY PALACIOS ASPRILLA</t>
  </si>
  <si>
    <t>LUIS SANTA CRUZ AVILA</t>
  </si>
  <si>
    <t>secuelas de accidente en mano con dedos en garra. No lo veo como buen candidato</t>
  </si>
  <si>
    <t>JORGE ARMANDO GARCIA ESTRADA</t>
  </si>
  <si>
    <t>SECAR SEGUNDO BLANCO</t>
  </si>
  <si>
    <t>antecedente de trauma e infeccion en hombro que muy seguramente terminaria con recomendaciones ademas tiene Obesidad</t>
  </si>
  <si>
    <t>CARLOS ANDRES DE ARCO JARAMILLO</t>
  </si>
  <si>
    <t>LINEL SEGUNDO LUGO GONZALEZ</t>
  </si>
  <si>
    <t>Trabajador con Obesidad y patologia genital</t>
  </si>
  <si>
    <t>FOAMY-GARRUCHERO</t>
  </si>
  <si>
    <t>EMBOLSE-AMARRE-EMPAQUE-MISS</t>
  </si>
  <si>
    <t>EMBOLSADOR</t>
  </si>
  <si>
    <t>AMARRE-PALETIZADOR</t>
  </si>
  <si>
    <t>NELSON ENRIQUE SANCHEZ PELAEZ</t>
  </si>
  <si>
    <t>JHEYLER GALVAN RICARDO</t>
  </si>
  <si>
    <t>FOAMY-COLERO-GARRUCHERO</t>
  </si>
  <si>
    <t>Obesidad (IMC 31,2)</t>
  </si>
  <si>
    <t>Obesidad (IMC 32,9)</t>
  </si>
  <si>
    <t>Obesidad (IMC 35,9)</t>
  </si>
  <si>
    <t>Identificación</t>
  </si>
  <si>
    <t>CONCEPTO2</t>
  </si>
  <si>
    <t xml:space="preserve">Aclarar posible embarazo vs planificacion </t>
  </si>
  <si>
    <t>Alteración Hemograma</t>
  </si>
  <si>
    <t xml:space="preserve">Alteracion visual para vision lejana </t>
  </si>
  <si>
    <t xml:space="preserve">Amenorrea </t>
  </si>
  <si>
    <t>Antecedente Cx Femur</t>
  </si>
  <si>
    <t xml:space="preserve">Antecedente Cx tobillo </t>
  </si>
  <si>
    <t>Antecedente fx cráneo</t>
  </si>
  <si>
    <t>Aplazado por medico evaluador</t>
  </si>
  <si>
    <t>Aplazado por médico empresa</t>
  </si>
  <si>
    <t>Colinesterasas alteración</t>
  </si>
  <si>
    <t>Cx antes de su ingreso</t>
  </si>
  <si>
    <t>Hernia umbilical pequeña</t>
  </si>
  <si>
    <t xml:space="preserve">Juanetes bilaterales </t>
  </si>
  <si>
    <t xml:space="preserve">Masa en torax </t>
  </si>
  <si>
    <t>No es buen candidato (médico)</t>
  </si>
  <si>
    <t xml:space="preserve">Obesidad </t>
  </si>
  <si>
    <t xml:space="preserve">Patologia cadera </t>
  </si>
  <si>
    <t>Patologia cardiaca</t>
  </si>
  <si>
    <t>Patologia columna</t>
  </si>
  <si>
    <t xml:space="preserve">Patologia respiratoria </t>
  </si>
  <si>
    <t xml:space="preserve">Patologia rodillas </t>
  </si>
  <si>
    <t xml:space="preserve">Patologia tiroides sin estudio </t>
  </si>
  <si>
    <t>Patologia visual severa, ver si es posible su correccion con lentes</t>
  </si>
  <si>
    <t>Patologia visual valoracion previa oftalmologia</t>
  </si>
  <si>
    <t xml:space="preserve">PVE Visual Ingresa </t>
  </si>
  <si>
    <t xml:space="preserve">Sobrepeso Gran </t>
  </si>
  <si>
    <t>CM1</t>
  </si>
  <si>
    <t>CM2</t>
  </si>
  <si>
    <t>CM3</t>
  </si>
  <si>
    <t>CM4</t>
  </si>
  <si>
    <t>CM5</t>
  </si>
  <si>
    <t>CM6</t>
  </si>
  <si>
    <t>CM7</t>
  </si>
  <si>
    <t>CM8</t>
  </si>
  <si>
    <t>CM9</t>
  </si>
  <si>
    <t>CM10</t>
  </si>
  <si>
    <t>CM11</t>
  </si>
  <si>
    <t>CM12</t>
  </si>
  <si>
    <t>CM13</t>
  </si>
  <si>
    <t>CM14</t>
  </si>
  <si>
    <t>CM15</t>
  </si>
  <si>
    <t>CM16</t>
  </si>
  <si>
    <t>CM17</t>
  </si>
  <si>
    <t>CM18</t>
  </si>
  <si>
    <t>CM19</t>
  </si>
  <si>
    <t>CM20</t>
  </si>
  <si>
    <t>CM21</t>
  </si>
  <si>
    <t>CM22</t>
  </si>
  <si>
    <t>CM23</t>
  </si>
  <si>
    <t>CM24</t>
  </si>
  <si>
    <t>CM25</t>
  </si>
  <si>
    <t>CM26</t>
  </si>
  <si>
    <t>CM27</t>
  </si>
  <si>
    <t>CM28</t>
  </si>
  <si>
    <t>CM29</t>
  </si>
  <si>
    <t>CM30</t>
  </si>
  <si>
    <t>CM31</t>
  </si>
  <si>
    <t>CM32</t>
  </si>
  <si>
    <t>CM33</t>
  </si>
  <si>
    <t>CM34</t>
  </si>
  <si>
    <t>CM35</t>
  </si>
  <si>
    <t>CM36</t>
  </si>
  <si>
    <t>CM37</t>
  </si>
  <si>
    <t>Concepto</t>
  </si>
  <si>
    <t>Código</t>
  </si>
  <si>
    <t>Departamento</t>
  </si>
  <si>
    <t>Gestión Humana</t>
  </si>
  <si>
    <t>CONCEPTO mx</t>
  </si>
  <si>
    <t>Bananal 2 2</t>
  </si>
  <si>
    <t>ARNOLD MOSQUERA HINESTROZA</t>
  </si>
  <si>
    <t>Almacenista Barcadillero</t>
  </si>
  <si>
    <t>Patología de oidos de manejo por EPS</t>
  </si>
  <si>
    <t>Quemadura en miembro inferior esperar a que cicatrice</t>
  </si>
  <si>
    <t xml:space="preserve">Juanete en pie </t>
  </si>
  <si>
    <t>Patologia de hombro</t>
  </si>
  <si>
    <t>Trabajador sin inconvenientes</t>
  </si>
  <si>
    <t>Eosinofilia para estudiar después</t>
  </si>
  <si>
    <t>Estilos de vida saludables, dieta, ejercicio regular</t>
  </si>
  <si>
    <t>NICOLAS ANTONIO HENAO PEREZ</t>
  </si>
  <si>
    <t>Trabajador con patologia cardiaca sin diagnostico claro</t>
  </si>
  <si>
    <t>Trabajador con patologia cronica de rodilla que entraria con recomendaciones y seguiria con ellas</t>
  </si>
  <si>
    <t>AMARRE-EMBOLSE-DESHOJE-FUMIGACION</t>
  </si>
  <si>
    <t>ROGELIO REGINO PALENCIA</t>
  </si>
  <si>
    <t>PVE Visual ingresa</t>
  </si>
  <si>
    <t>VISNEY PALACIOS BECERRA</t>
  </si>
  <si>
    <t>Trabajador con Obesidad y Juanetes</t>
  </si>
  <si>
    <t>CLASIFICACION-SELLO</t>
  </si>
  <si>
    <t>EMPACADOR-SELECTOR</t>
  </si>
  <si>
    <t>JOSE DAVID GALVIS ARRIETA</t>
  </si>
  <si>
    <t>Trabajador con Dermatitis de contacto a futuro recomendaciones</t>
  </si>
  <si>
    <t>ERLIN BLANQUICET CARRILLLO</t>
  </si>
  <si>
    <t>Repetir Hemograma en 8 dias</t>
  </si>
  <si>
    <t>JOSE MARIA CONDE COGOLLO</t>
  </si>
  <si>
    <t>AMARRE-EMBOLSE-FUMIGACION</t>
  </si>
  <si>
    <t>CRISTIAN JULIAN ALMANZA CORREA</t>
  </si>
  <si>
    <t> EMPAQUE-SELECCION-CLASIFICACION</t>
  </si>
  <si>
    <t>Trabajador sin inconvenientes aparentemente pero si la fractura de pierna comprometio la rodilla no seria recomendable por futuro de artrosis de rodilla.</t>
  </si>
  <si>
    <t>JHON MARIO ZAPATA PEÑATA</t>
  </si>
  <si>
    <t>amarre-foamy-miss-seleccion</t>
  </si>
  <si>
    <t>CARLONA BANQUET CHARRASQUIEL</t>
  </si>
  <si>
    <t>FERNANDO ANTONIO MONA MOSQUERA</t>
  </si>
  <si>
    <t>SELECCIÓN</t>
  </si>
  <si>
    <t>JOSE DAVID POLO NAVARRO</t>
  </si>
  <si>
    <t>JAIDER ROMERO CUADRADO</t>
  </si>
  <si>
    <t>JOHAN SEBASTIAN MONSALVE CASTAÑO</t>
  </si>
  <si>
    <t>GABRIEL ANTONIO CIFUENTES RODAS</t>
  </si>
  <si>
    <t>SELECCIÓN - SELLO</t>
  </si>
  <si>
    <t>JESUS DANIEL VALENCIA SALINAS</t>
  </si>
  <si>
    <t>KATTERINE CARRASCAL BARRETO</t>
  </si>
  <si>
    <t>SELLO-CLASIFICACION-SELECCION</t>
  </si>
  <si>
    <t>MARCIA CARLONA BANQUET CHARRASQUIEL</t>
  </si>
  <si>
    <t>NATALIA BLAQUISETH PETRO</t>
  </si>
  <si>
    <t>JAIME ENRIQUE RUIZ PADILLA</t>
  </si>
  <si>
    <t>WILBER ANDRES ALBORNOZ MOSQUERA</t>
  </si>
  <si>
    <t>DAVINSON NORIEGA ALMANZA</t>
  </si>
  <si>
    <t>YEISON MIGUEL BARBOSA CASTRO</t>
  </si>
  <si>
    <t>FOAMY-FUMIGACION</t>
  </si>
  <si>
    <t>CALIXTO NUÑEZ COGOLLO</t>
  </si>
  <si>
    <t>RAFAEL DARIO OVIEDO PINEDA</t>
  </si>
  <si>
    <t>EMPAQUE-SELECTOR-CLASIFICACION</t>
  </si>
  <si>
    <t>YINNY PAOLA JIMENEZ BENITEZ</t>
  </si>
  <si>
    <t>SELLO-EMPAQUE-SELECCIÓN</t>
  </si>
  <si>
    <t>ELIAS MANUEL MENDEZ MONTES</t>
  </si>
  <si>
    <t>JAIR ANTONIO CAÑAVERAL RODIRGUEZ</t>
  </si>
  <si>
    <t>EDIR ANDRES BELLO RENTERIA</t>
  </si>
  <si>
    <t>sobrepeso, estilos de vida saludables dieta y ejercicio regular ademas con Juanetes bilaterales con posibilidad de recomendaciones a futuro. Presenta pequeña hernia umbilical asintomatica</t>
  </si>
  <si>
    <t>DUMAR ESTEBAN RENDON MORA</t>
  </si>
  <si>
    <t>CM38</t>
  </si>
  <si>
    <t>Rinitis cronica que generaria recomendaciones</t>
  </si>
  <si>
    <t>2 CONTRATOS MAX</t>
  </si>
  <si>
    <t>Sandra hacer seguimiento, estilos de vida saludables dieta y ejercicio regular</t>
  </si>
  <si>
    <t>Trabajador con conjuntivitis actinica que muy seguramente iniciara con recomendaciones</t>
  </si>
  <si>
    <t>EIMER LUGO MERCADO</t>
  </si>
  <si>
    <t>Conjuntivitis actinica que muy seguramente iniciara con recomendaciones</t>
  </si>
  <si>
    <t>CM39</t>
  </si>
  <si>
    <t>DIANA PATRICIA CHIQUILLO PUERTA</t>
  </si>
  <si>
    <t>APRENDIZ EMPAQUE</t>
  </si>
  <si>
    <t>CARLOS MARIO GARCES ZAPA</t>
  </si>
  <si>
    <t>VICTOR ALFONSO SANDON HERNANDEZ</t>
  </si>
  <si>
    <t>LUIS ORLANDO CARPIO</t>
  </si>
  <si>
    <t>Corte-empaque-desflore</t>
  </si>
  <si>
    <t>sobrepeso</t>
  </si>
  <si>
    <t>Hacer seguimiento primer máximo 2° contrato</t>
  </si>
  <si>
    <t>CM40</t>
  </si>
  <si>
    <t>ALEXIS GOMEZ SANCHEZ</t>
  </si>
  <si>
    <t>sobrepeso, estilos de vida saludables dieta y ejercicio regular. Ademas presenta hernia asintomatica pequeña y Juanetes bilaterales con posibilidad de recomendaciones a futuro</t>
  </si>
  <si>
    <t>Empaque-clasificación</t>
  </si>
  <si>
    <t>ELVISIBETH GARCES TEHERAN</t>
  </si>
  <si>
    <t>DIDIER ALBERTO RIVERA CORCHO</t>
  </si>
  <si>
    <t>Empaque-selección</t>
  </si>
  <si>
    <t>JUAN ANDRES ZARZA PEREZ</t>
  </si>
  <si>
    <t>eosinofilia para estudiar después. Patología de piel de manejo por EPS.</t>
  </si>
  <si>
    <t>EDWIN ALBERTO VALENCIA RESTREPO</t>
  </si>
  <si>
    <t>MAURICIO MORELO CARDENAS</t>
  </si>
  <si>
    <t>Embolse-amarre</t>
  </si>
  <si>
    <t xml:space="preserve">YEINER ANDRES MAYA PALACIO </t>
  </si>
  <si>
    <t>eosinofilia para estudiar después ademas sobrepeso (25,6), estilos de vida saludables dieta y ejercicio regular</t>
  </si>
  <si>
    <t>LUIS GABRIEL LICONA COA</t>
  </si>
  <si>
    <t xml:space="preserve">LIBER AUGUSTO CARMONA ESTRADA </t>
  </si>
  <si>
    <t>con dermatitis de contacto en manos, Juanetes bilaterales con posibilidad de recomendaciones a futuro y secuelas de trauma mano derecha 5 dedo. No me parece buen candidato</t>
  </si>
  <si>
    <t>Fommy</t>
  </si>
  <si>
    <t>DAIRO ALBERTO ARROYO LOPEA</t>
  </si>
  <si>
    <t>FOAMY-MISS</t>
  </si>
  <si>
    <t>JOSE FRANCISCO LOPEZ MERCADO</t>
  </si>
  <si>
    <t>FOMMY-EMBOLSE-AMARREZ</t>
  </si>
  <si>
    <t>patologia de muñeca izquierda suceptible de sindrome del tunel del carpo a futuro</t>
  </si>
  <si>
    <t>EMIRO ENRIQUE HERNANDEZ SOLANO</t>
  </si>
  <si>
    <t>JEINY LORENA DURAN TANGARIFE</t>
  </si>
  <si>
    <t>DUVAN FELIPE SUESCUN HERNANDEZ CC:</t>
  </si>
  <si>
    <t xml:space="preserve">SAMUEL HERNANDEZ BABILONIA </t>
  </si>
  <si>
    <t>KATHERINE GISELA PEREZ TELLEZ</t>
  </si>
  <si>
    <t>Agricultor ayudante</t>
  </si>
  <si>
    <t>con sobrepeso</t>
  </si>
  <si>
    <t>Sandra por favor hablar con el Dr. Carlos ya que Persiste con alteración de su Hemograma incluso empeoro</t>
  </si>
  <si>
    <t>WILSON JOSE AGUILAR SANCHEZ</t>
  </si>
  <si>
    <t>alteración de su Hemograma, tiene antecedente de fractura de rodilla que le generara a futuro recomendaciones + HTA</t>
  </si>
  <si>
    <t>CLASIFICADOR-SELECTOR</t>
  </si>
  <si>
    <t>FRAY DAVID ROMAÑA</t>
  </si>
  <si>
    <t>eosinofilia para estudiar después, sobrepeso, estilos de vida saludables dieta y ejercicio regular y patología de piel de manejo por EPS.</t>
  </si>
  <si>
    <t>LUZ ESTELLA MARTINEZ LEON</t>
  </si>
  <si>
    <t>eosinofilia para estudiar después, Juanetes bilaterales con posibilidad de recomendaciones a futuro. Los Pterigios no son inconveniente</t>
  </si>
  <si>
    <t>WILBER ENRIQUE HERNANDEZ OVIEDO</t>
  </si>
  <si>
    <t>Sello - Empaque</t>
  </si>
  <si>
    <t>ISRAEL DAVID VERA MELENDEZ</t>
  </si>
  <si>
    <t>JULIAN ESTEBAN ALARCON ARROYAVE</t>
  </si>
  <si>
    <t>LUIS CAMILO PIEDRAHITA GOEZ</t>
  </si>
  <si>
    <t>ARLYN YUDYS VALENCIA IBARRA</t>
  </si>
  <si>
    <t>APRENDIZ EMPAQUE-SELECCION</t>
  </si>
  <si>
    <t>Obesidad y Anemia severa</t>
  </si>
  <si>
    <t>JOSE ALEXANDER ACEVEDO</t>
  </si>
  <si>
    <t>eosinofilia para estudiar después. Trastorno visual que debera ser corregido con lentes antes de su ingreso</t>
  </si>
  <si>
    <t>GLORIA RAMIREZ DURANGO</t>
  </si>
  <si>
    <t>TATIANA RAMOS GOMEZ</t>
  </si>
  <si>
    <t>alteración de su Hemograma (Anemia)</t>
  </si>
  <si>
    <t>SAMIR BLANDON CHALA</t>
  </si>
  <si>
    <t>JHOYMAR MORENO JULIO</t>
  </si>
  <si>
    <t>APRENDIZ AMARRE</t>
  </si>
  <si>
    <t>persiste con alteración de su Hemograma.</t>
  </si>
  <si>
    <t>DARLIN BEJARANO RENTERIA</t>
  </si>
  <si>
    <t>eosinofilia para estudiar después, sobrepeso (25,4), estilos de vida saludables dieta y ejercicio regular. Secuelas de luxacion de codo que en el momento no lo limitan para el cargo</t>
  </si>
  <si>
    <t>eosinofilia para estudiar después, sobrepeso (25,6), estilos de vida saludables dieta y ejercicio regular. Ingresar PVE Visual</t>
  </si>
  <si>
    <t>eosinofilia para estudiar después, sobrepeso ()27,5), estilos de vida saludables dieta y ejercicio regular.</t>
  </si>
  <si>
    <t>CARLOS EDUARDO IRIS PALACIOS</t>
  </si>
  <si>
    <t>LUIS ALFREDO VALENCIA MENA</t>
  </si>
  <si>
    <t>CARLOS ENRIQUE SANCHEZ</t>
  </si>
  <si>
    <t>LUIS MARIA YEPES CORRAL</t>
  </si>
  <si>
    <t>MANUEL VICENTE JIMENEZ MUÑOZ </t>
  </si>
  <si>
    <t>IVAN DARIO URIBE PETRO</t>
  </si>
  <si>
    <t>EDINSON ANTONIO CASTILLO GARCIA</t>
  </si>
  <si>
    <t>CESAR MANUEL FLOREZ CABALLERO</t>
  </si>
  <si>
    <t>BRAYAN SMITH MOSQUERA</t>
  </si>
  <si>
    <t>sobrepeso y ademas antecedente de tractura de tibia con grandes posibilidades de recomendaciones a futuro</t>
  </si>
  <si>
    <t>LUIS FERNANNDO GUERRA LOPEZ</t>
  </si>
  <si>
    <t>Embolse- Colero - Puyero</t>
  </si>
  <si>
    <t>YASIR ALBERTO GONZALEZ DAVID</t>
  </si>
  <si>
    <t>NILSON COGOLLO MONTALVO</t>
  </si>
  <si>
    <t>EVER LUIS MONTALVO ARROYO</t>
  </si>
  <si>
    <t>EDILSON RADA CASTILLO</t>
  </si>
  <si>
    <t>LUIS FERNANDO ORTIZ PALENCIA</t>
  </si>
  <si>
    <t>Administrativo</t>
  </si>
  <si>
    <t>ALDO FERNANDO DIAZ ZAPATA</t>
  </si>
  <si>
    <t>sin vision por ojo</t>
  </si>
  <si>
    <t>CM41</t>
  </si>
  <si>
    <t>Ayudante Agricultura</t>
  </si>
  <si>
    <t>OMAR LOBO BERRIO</t>
  </si>
  <si>
    <t>ALIRIO LOPEZ LOPEZ</t>
  </si>
  <si>
    <t>SELECTOR-PESADOR</t>
  </si>
  <si>
    <t>JOSE ALBERTO DIAZ MORELO</t>
  </si>
  <si>
    <t>EMBER GUZMAN MONTALVO</t>
  </si>
  <si>
    <t>DAVER MANUEL FLOREZ MARTINEZ</t>
  </si>
  <si>
    <t>Trabajador con eosinofilia para estudiar después. Trabajador con sobrepeso, estilos de vida saludables dieta y ejercicio regular.</t>
  </si>
  <si>
    <t>JEFERSON MAURICIO GOMEZ JULIO</t>
  </si>
  <si>
    <t>OLGA MILENA RUIZ VARELA</t>
  </si>
  <si>
    <t>Obesidad (39,1)</t>
  </si>
  <si>
    <t>RAUL SEGUNDO ARGUMEDO ZABALETA</t>
  </si>
  <si>
    <t>linitacion a la felxoextension de mano derecha  por lo que entraria con recomendaciones.</t>
  </si>
  <si>
    <t>JHAN CARLOS SUAREZ RUIZ</t>
  </si>
  <si>
    <t>ROIBER PEREZ GONZALEZ</t>
  </si>
  <si>
    <t>Fumigación - Amarre</t>
  </si>
  <si>
    <t>RONNY JOSE FLORES CABEZA</t>
  </si>
  <si>
    <t>Pie plano bilateral con posibilidades de restricciones de marchas y estacion prolongada de pies</t>
  </si>
  <si>
    <t>CM42</t>
  </si>
  <si>
    <t>MIGUEL DARIO PEREZ MARTINEZ</t>
  </si>
  <si>
    <t>FRANKLIN GALINDO GALINDO</t>
  </si>
  <si>
    <t>NEIDER ANTONIO FERIA CACHILA</t>
  </si>
  <si>
    <t>Guantelete - Embolse</t>
  </si>
  <si>
    <t>JEAN CARLOS DE HOYOS REYES</t>
  </si>
  <si>
    <t>Obesidad y vision practicamente monocular. No lo veo como un buen candidato</t>
  </si>
  <si>
    <t>JAIDER LORBEY RODRIGUEZ OSPINA</t>
  </si>
  <si>
    <t>ELVIS BOLAÑOS ESPITIA</t>
  </si>
  <si>
    <t>Foamy - Empaque</t>
  </si>
  <si>
    <t>LUIS FERNANDO MARTINEZ CARVAJAL </t>
  </si>
  <si>
    <t>Ingeniería en Sistemas</t>
  </si>
  <si>
    <t>CAMILA ANDREA MUÑOZ LOPEZ</t>
  </si>
  <si>
    <t>Tecnología Producción Agrícola</t>
  </si>
  <si>
    <t>Persiste alteracion de su hemograma</t>
  </si>
  <si>
    <t>LAURA NATALY PEÑA LONDOÑO</t>
  </si>
  <si>
    <t>Auxiiar de Gestión documental</t>
  </si>
  <si>
    <t>YERALDIN VANESSA CORDOBA</t>
  </si>
  <si>
    <t>Tecnología Gestión Administrativa</t>
  </si>
  <si>
    <t>sobrepeso estilos de vida saludables dieta y ejercicio regular</t>
  </si>
  <si>
    <t>SEBASTIAN ISAZA MONTERROSA</t>
  </si>
  <si>
    <t>Tecnología Produccón Agrícola</t>
  </si>
  <si>
    <t>DUBAN STIVEN ESPITIA TUBERQUIA</t>
  </si>
  <si>
    <t>Embolse - Amarre - Desflore</t>
  </si>
  <si>
    <t>sobrepeso, estilos de vida saludables dieta y ejercicio regular. Tiene antecedente de tenorafia en dedo de la mano no seria recomandable labores que requieran de fuerza en mano por riesgo de reruptura</t>
  </si>
  <si>
    <t>MANUEL ANTONIO URANGO GONZALEZ</t>
  </si>
  <si>
    <t>NATALY DEL CARMEN VALOYES PRETELT</t>
  </si>
  <si>
    <t>JORGE DAVID ORO ZAMBRANO</t>
  </si>
  <si>
    <t>sobrepeso, estilos de vida saludables dieta y ejercicio regular. Hernia umbilical pequeña con poca incapacidad POP y decomendaciones por 2 meses</t>
  </si>
  <si>
    <t>YAQUELINE ANDRES GONZALEZ SERNA</t>
  </si>
  <si>
    <t>FABIAN CHAVERRA ORTEGA</t>
  </si>
  <si>
    <t>KATHERINE MARTINEZ MANJARRES</t>
  </si>
  <si>
    <t>Técnica Supervisión Actividades Bananeras</t>
  </si>
  <si>
    <t>YESID MANYOMA PALACIOS</t>
  </si>
  <si>
    <t>IVAN DARIO FLOREZ VERTEL</t>
  </si>
  <si>
    <t>con eosinofilia para estudiar después. Limitacion extencion 4 dedo Mano derecha Patología de piel de manejo por EPS y  Juanetes bilaterales con posibilidad de recomendaciones a futuro.</t>
  </si>
  <si>
    <t>RODRIGO OCHOA REYES</t>
  </si>
  <si>
    <t>DANIELA GONZALEZ IBARRA</t>
  </si>
  <si>
    <t>Tecnólogo Gestión Administrativa</t>
  </si>
  <si>
    <t>Aprendiz Embolse - Amarre</t>
  </si>
  <si>
    <t>LUIS FERNANDO BELTRAN VILLADIEGO</t>
  </si>
  <si>
    <t>KEVIN DAVID LOZANO TABORDA</t>
  </si>
  <si>
    <t xml:space="preserve">Gestión Empresas Agropecuarias </t>
  </si>
  <si>
    <t>NEFER JOSE PEREZ MORELO</t>
  </si>
  <si>
    <t>JOSE MARIA GUZMAN RAMIREZ</t>
  </si>
  <si>
    <t>WILBER ALONSO ARROYO MUÑOZ</t>
  </si>
  <si>
    <t>Fumigación - Deshoje</t>
  </si>
  <si>
    <t>ISAIAS SIBAJA MARTINEZ</t>
  </si>
  <si>
    <t>ANDRES FELIPE JARAMILLO GONZALEZ</t>
  </si>
  <si>
    <t>con gran sobrepeso (29,7), estilos de vida saludables dieta y ejercicio regular. Los Pterigios no son inconveniente</t>
  </si>
  <si>
    <t>JAIBER ALONSO</t>
  </si>
  <si>
    <t>ANDERSON PINEDA MENDOZA</t>
  </si>
  <si>
    <t>eosinofilia para estudiar después, sobrepeso, estilos de vida saludables dieta y ejercicio regular. Juanetes bilaterales con posibilidad de recomendaciones a futuro. Tiene una deformidad en codos pero es funcional</t>
  </si>
  <si>
    <t>PEDRO ANTONIO MONTES PASTRANA</t>
  </si>
  <si>
    <t>JUAN KEIBER TEHERAN SALAZAR</t>
  </si>
  <si>
    <t>SARES MORELO DURAN</t>
  </si>
  <si>
    <t>LUZ ESTELA VERGARA PATRANA</t>
  </si>
  <si>
    <t>Clasificación - Selección</t>
  </si>
  <si>
    <t>Trabajador que al examen se le encuentra una glandula Tiroides aumentada de tamaño no uniforme. Es prudente esperar</t>
  </si>
  <si>
    <t>ALBA ALEXIS MARTINEZ CORREA</t>
  </si>
  <si>
    <t>MANUEL PAJARO MOGOLLON</t>
  </si>
  <si>
    <t>sobrepeso, estilos de vida saludables dieta y ejercicio regular, con Juanetes bilaterales con posibilidad de recomendaciones a futuro</t>
  </si>
  <si>
    <t>CRISTIAN CAMILO GONZALEZ HERNANDEZ</t>
  </si>
  <si>
    <t>Embolse - Empaque</t>
  </si>
  <si>
    <t>JUAN GABRIEL URANGO FERNANDEZ</t>
  </si>
  <si>
    <t>Embolse - Amarre Fumigación</t>
  </si>
  <si>
    <t>ARNOVIS HERNANDEZ BALLESTAS</t>
  </si>
  <si>
    <t>FABIAN ANTONIO GALLO SUAZA</t>
  </si>
  <si>
    <t>Foamy - Embolse - Paletizado</t>
  </si>
  <si>
    <t>JORGE LUIS MARTINEZ</t>
  </si>
  <si>
    <t>con sobrepeso, estilos de vida saludables dieta y ejercicio regular, Juanetes bilaterales con posibilidad de recomendaciones a futuro. Los Pterigios no son inconveniente</t>
  </si>
  <si>
    <t>YAQUIRA PAOLA DELGADO CARVAJAL</t>
  </si>
  <si>
    <t>eosinofilia para estudiar después,  con sobrepeso, estilos de vida saludables dieta y ejercicio regular</t>
  </si>
  <si>
    <t>OPERARIO EN COSECHA Y EMPAQUE EN EL CULTIVO DE BANANO O PLATANO</t>
  </si>
  <si>
    <t>OSVALDO EMIRO GUZMAN PEREZ</t>
  </si>
  <si>
    <t>Selección - Empaque - Desmane</t>
  </si>
  <si>
    <t>MARIA CRISTIANA BERRIO TORDECILLA</t>
  </si>
  <si>
    <t>Obesidad (IMC 34)</t>
  </si>
  <si>
    <t>DAIRO MANUEL REGINO VELASQUEZ</t>
  </si>
  <si>
    <t>antecedentes de cancer de pancreas que aunque este actualmente bien por lo general no supera el pronostico mas de 5 a 7 años de sobrevida. Considero no es prudente por el riesgo.  No es buen candidato (médico). Walter y Cruz  toman el riesgo, va para Medellin a hacer práctica</t>
  </si>
  <si>
    <t>ENOC EFER VARGAS BALLESTEROS</t>
  </si>
  <si>
    <t>JUAN CAMILO PANESSO DIASZ</t>
  </si>
  <si>
    <t>DUBIER FABIAN HURTADO GOMEZ</t>
  </si>
  <si>
    <t>UBER ALBERTO CUESTA CORDOBA</t>
  </si>
  <si>
    <t>coordinador campo</t>
  </si>
  <si>
    <t>obesidad</t>
  </si>
  <si>
    <t>DEIVIS JOSE TIRADO MACHADO</t>
  </si>
  <si>
    <t> Patología de piel de manejo por EPS.</t>
  </si>
  <si>
    <t>WILMAR ROJAS MARRIAGA</t>
  </si>
  <si>
    <t>amarre-embolse</t>
  </si>
  <si>
    <t>CRISTIAN ESTEBAN GONZALEZ MATURANA</t>
  </si>
  <si>
    <t>fomy</t>
  </si>
  <si>
    <t>DEIBIS HERNANDEZ TORDECILLA</t>
  </si>
  <si>
    <t>embolse -amarre</t>
  </si>
  <si>
    <t>Trabajador con sobrepeso, estilos de vida saludables dieta y ejercicio regular</t>
  </si>
  <si>
    <t>JOSE MEDARDO OSORIO</t>
  </si>
  <si>
    <t>FREDDY ALEXANDER MORENO PACHECO</t>
  </si>
  <si>
    <t>Trabajador con sobrepeso, estilos de vida saludables dieta y ejercicio regula</t>
  </si>
  <si>
    <t>JUAN CAMILO POSADA</t>
  </si>
  <si>
    <t>ABIGAIL ANTONIO LOPEZ</t>
  </si>
  <si>
    <t>Trabajador con alteración del hemograma repetirlo en 8 días</t>
  </si>
  <si>
    <t>JOSE ARMANDO CASTILLO MARTINEZ</t>
  </si>
  <si>
    <t>emblose</t>
  </si>
  <si>
    <t>Trabajador con eosinofilia para estudiar después</t>
  </si>
  <si>
    <t>ADRIANA GOMEZ SALAZAR</t>
  </si>
  <si>
    <t>mateguadua</t>
  </si>
  <si>
    <t>Trabajador con Sobrepeso estilos de vida saludables dieta y ejercicio regular. Ingresar PVE Visua</t>
  </si>
  <si>
    <t>JUAN CAMILO ALCARAZ DAVID</t>
  </si>
  <si>
    <t>empaque-selección</t>
  </si>
  <si>
    <t>casco</t>
  </si>
  <si>
    <t>coordinar campo</t>
  </si>
  <si>
    <t>OSCAR JAIME HERNANDEZ</t>
  </si>
  <si>
    <t>Sobrepeso estilos de vida saludables dieta y ejercicio regula</t>
  </si>
  <si>
    <t>VERLEDIS NOVOA CASTELBONDO</t>
  </si>
  <si>
    <t>selección-sello-clasificacion</t>
  </si>
  <si>
    <t>Trabajador con sobrepeso, estilos de vida saludables dieta y ejercicio regular.</t>
  </si>
  <si>
    <t>aprendiz coordinacion</t>
  </si>
  <si>
    <t> estilos de vida saludables dieta y ejercicio regular. Los Pterigios no son inconveniente</t>
  </si>
  <si>
    <t>HERNAN ORTEGA SIBAJA</t>
  </si>
  <si>
    <t>PAOLA PATRICIA LONGA MANYOMA</t>
  </si>
  <si>
    <t>YURY PAOLA HERNANDEZ HERNANDEZ </t>
  </si>
  <si>
    <t>Tecnico Recursos Humanos</t>
  </si>
  <si>
    <t>Aprendiz embolse - Amarre - Empaque</t>
  </si>
  <si>
    <t>sobrepeso, estilos de vida saludables dieta y ejercicio regular. Trabajador con Juanetes bilaterales con posibilidad de recomendaciones a futuro.</t>
  </si>
  <si>
    <t>JOSE ANGEL MORENO BARRAGAN</t>
  </si>
  <si>
    <t>MANUEL LARGACHA GAMBOA</t>
  </si>
  <si>
    <t>Obesidad IMC 32</t>
  </si>
  <si>
    <t>Sobrepeso (25,9) estilos de vida saludables dieta y ejercicio regular. Pie Plano bilateral con la posibilidad de recomendaciones a futuro</t>
  </si>
  <si>
    <t>eosinofilia para estudiar después. Trabajador con gran sobrepeso (IMC 29,8), estilos de vida saludables dieta y ejercicio regular.</t>
  </si>
  <si>
    <t>Trabajador con Obesidad (IMC 36,6)</t>
  </si>
  <si>
    <t>JOSE ENRIQUE ROJAS ARIAS</t>
  </si>
  <si>
    <t>con hernia umbilical asintomatica incapacidad y ecomendaciones cortas si lo operan</t>
  </si>
  <si>
    <t>WILSON MUÑOZ VELEZ</t>
  </si>
  <si>
    <t>Ingenieron Agropecuario</t>
  </si>
  <si>
    <t>Obesidad ya con problemas de rodilla.</t>
  </si>
  <si>
    <t>RAFAEL IGNACIO MEJIA CARDONA</t>
  </si>
  <si>
    <t>En su declaratoria del estado de salud resalto en rojo lo mas importante; tiene Dx de Asma actualmente en trataminto con inhaladores</t>
  </si>
  <si>
    <t>NELLYS MARIA PATERNINA ALVAREZ</t>
  </si>
  <si>
    <t>Operario Cosecha Corte y Empaque</t>
  </si>
  <si>
    <t>ELICEO JULIO MARTINEZ</t>
  </si>
  <si>
    <t>OSNALDYS MUÑOZ GALINDO</t>
  </si>
  <si>
    <t>FRANCISCO JAVIER GONZALEZ NARVAEZ</t>
  </si>
  <si>
    <t>GUILLERMO ALEXANDER ALMANZA VALENCIA</t>
  </si>
  <si>
    <t>DANIELA DEL CARMEN PARRA CALDERON</t>
  </si>
  <si>
    <t>Sello - Clasificación</t>
  </si>
  <si>
    <t>JAIR ALBERTO PANIAGUA CASTAÑEDA</t>
  </si>
  <si>
    <t>Operador Riego</t>
  </si>
  <si>
    <t>LUIS ALEXANDER LOPEZ VALENCIA</t>
  </si>
  <si>
    <t>alteración del hemograma</t>
  </si>
  <si>
    <t>Aprendiz Ayudante Agricultura</t>
  </si>
  <si>
    <t>LUIS ALFREDO GRAJALES CANO</t>
  </si>
  <si>
    <t>OSCAR ANTONIO CASTELLANO ARRIETA</t>
  </si>
  <si>
    <t>ANDRES FELIPE PALACIOS HINESTROZA</t>
  </si>
  <si>
    <t>WILLIAN IBARGUEN TORRES</t>
  </si>
  <si>
    <t>sobrepeso, estilos de vida saludables dieta y ejercicio regular. Pequeña Hernia umbilical asintomatica</t>
  </si>
  <si>
    <t>ALEXANDER POLO CORDERO</t>
  </si>
  <si>
    <t>EVERNEY FERNANDEZ PATERNINA</t>
  </si>
  <si>
    <t>Foamy - Embolse - Miss</t>
  </si>
  <si>
    <t>Patología de piel de manejo por EPS, Juanetes bilaterales con posibilidad de recomendaciones a futuro. Hernia umbilical asintomatica</t>
  </si>
  <si>
    <t>DEIMER ORTEGA JIMENEZ</t>
  </si>
  <si>
    <t>Aprendiz Amarre - Embolse</t>
  </si>
  <si>
    <t>ALEXANDER MOYA</t>
  </si>
  <si>
    <t>ALDAIR ANTONIO CARRASCAL</t>
  </si>
  <si>
    <t>RAMON ALBERTO OSORIO ESPITIA</t>
  </si>
  <si>
    <t>YORMAN FLOREZ JARAMILLO</t>
  </si>
  <si>
    <t>Aprendiz Selección - Empaque</t>
  </si>
  <si>
    <t>ISAIS MORENO CALDERIN</t>
  </si>
  <si>
    <t>Obesidad, antecedente de Cx de columna, Pterigios, Juanetes bilaterales, HTA, no lo veo como buen candidato</t>
  </si>
  <si>
    <t>JORGE ELIECER GIRALDO URIBE</t>
  </si>
  <si>
    <t>Obesidad (IMC 31)</t>
  </si>
  <si>
    <t>sobrepeso (IMC 25,7), estilos de vida saludables dieta y ejercicio regular.</t>
  </si>
  <si>
    <t>GEOVALDIS RAFAEL ARRIETA VERGARA</t>
  </si>
  <si>
    <t>Sobrepeso estilos de vida saludables dieta y ejercicio regular. Pie Plano bilateral con la posibilidad de recomendaciones a futuro.</t>
  </si>
  <si>
    <t>Persiste alteracion de su hemograma (Trombocitopeia)</t>
  </si>
  <si>
    <t>DENIS JORDAN ZEA</t>
  </si>
  <si>
    <t>selecccion y clasificacion</t>
  </si>
  <si>
    <t>FELIPE ANDRES MARTINEZ</t>
  </si>
  <si>
    <t>Fommy - Embolse</t>
  </si>
  <si>
    <t>DEIBY STIVEN PEREZ TABARES </t>
  </si>
  <si>
    <t>LUIS FERNANDO MOSQUERA PALACIOS</t>
  </si>
  <si>
    <t>JORGE LUIS CASTELLANO MADRIGAL</t>
  </si>
  <si>
    <t>foamy - empaque</t>
  </si>
  <si>
    <t>VERONICA OLARTE GUERRA</t>
  </si>
  <si>
    <t>Trabajador con antecedente de cirugia de rodilla en la infancia y ademas fractura de femur, con secuelas de marcha con cojera que a futuro tendria RML. Si es solo por la practica y por ser administrativo no habria inconveniente</t>
  </si>
  <si>
    <t>Alteración hemograma continua</t>
  </si>
  <si>
    <t>MARINELA BRAVO PINTO</t>
  </si>
  <si>
    <t>Aprendiz Selección - Empaque - Sello</t>
  </si>
  <si>
    <t>LAURA VANESSA PEÑATE SEPULVEDA</t>
  </si>
  <si>
    <t>Obesidad (IMC 34,2) y antecedente de fractura de antebrazo</t>
  </si>
  <si>
    <t>ROSA LINDA LUCAS JIMENEZ</t>
  </si>
  <si>
    <t>UBER ANTONIO PEREZ BELTRAN</t>
  </si>
  <si>
    <t>Obesidad (IMC 32,2)</t>
  </si>
  <si>
    <t>EDIER MIGUEL QUEJADA QUINTO</t>
  </si>
  <si>
    <t>ELIECER MENA QUEJADA</t>
  </si>
  <si>
    <t>eosinofilia para estudiar después, sobrepeso, estilos de vida saludables dieta y ejercicio regular. Los Pterigios no son inconveniente</t>
  </si>
  <si>
    <t>BELISARIO ROMAÑA MONRO</t>
  </si>
  <si>
    <t>Supervisor de calidad</t>
  </si>
  <si>
    <t>CARLOS MARIO RICARDO MORELO</t>
  </si>
  <si>
    <t>MIRYAM PATRICIA MOSQUERA PEREA</t>
  </si>
  <si>
    <t>ANTONIO NUÑEZ CARABALLO</t>
  </si>
  <si>
    <t>NELSON DE JESUS USUGA GARCIA</t>
  </si>
  <si>
    <t>CRISTI JOHANA BORJA MENA</t>
  </si>
  <si>
    <t>ADRIANO FLOREZ SERNA</t>
  </si>
  <si>
    <t>Trabajador con Juanetes bilaterales con posibilidad de recomendaciones a futuro.</t>
  </si>
  <si>
    <t>LUIS DAVID LOPEZ NUÑEZ</t>
  </si>
  <si>
    <t>AURA LINEY LOPEZ BEDOYA</t>
  </si>
  <si>
    <t>ANDY LUZ MARRIAGA GUZMAN</t>
  </si>
  <si>
    <t>EMERSON MORELOS JULIO</t>
  </si>
  <si>
    <t>JESUS ALFREDO DUARTE PUERTA</t>
  </si>
  <si>
    <t>Empaque -Sello</t>
  </si>
  <si>
    <t>rinitis, pie plano y sintomatico de hombros que el refiere por movimientos repetitivos. No me parece buena eleccion</t>
  </si>
  <si>
    <t>CAMILO ANDRES HURTADO RIVAS</t>
  </si>
  <si>
    <t>ANGELA MARIA DAVILA CASTILLO</t>
  </si>
  <si>
    <t>FREDY MOSQUERA CASTRO</t>
  </si>
  <si>
    <t>NEVIS DE JESUS PEREZ MUÑOZ</t>
  </si>
  <si>
    <t>LUIS MIGUEL PALACIO ESTRADA</t>
  </si>
  <si>
    <t>ADALBERTO JOSE CABALLERO RODRIGUEZ</t>
  </si>
  <si>
    <t>KEVIN DARIO CACERES SALDAÑA</t>
  </si>
  <si>
    <t>Trabajador con Juanetes bilaterales con posibilidad de recomendaciones a futuro</t>
  </si>
  <si>
    <t>JAIDER ENRIQUE MARTINEZ MORELO</t>
  </si>
  <si>
    <t>Amarre-Embolse</t>
  </si>
  <si>
    <t>Obesidad (IMC 33,6)</t>
  </si>
  <si>
    <t>JESUS DAVID FLOREZ ATENCIA</t>
  </si>
  <si>
    <t>Gran sobrepeso(IMC 29,4) secuelas de truma en antebrazo.</t>
  </si>
  <si>
    <t>Obesidad IMC: 31,4</t>
  </si>
  <si>
    <t>DIANA CRISTINA CAVADIA LOZANO</t>
  </si>
  <si>
    <t>CM43</t>
  </si>
  <si>
    <t>FERNANDO DE JESUS TORO MOLINA</t>
  </si>
  <si>
    <t>Trabajador con sobrepeso, estilos de vida saludables dieta y ejercicio regular, presbicia para ingreso PVE Visual y desviacion tabique.</t>
  </si>
  <si>
    <t>Trabajador que persiste con alteración de su Hemograma. (Walter Ponce)</t>
  </si>
  <si>
    <t>JHONATAN FUENTE OLARTE</t>
  </si>
  <si>
    <t>Aprendiz Empaque - Selección</t>
  </si>
  <si>
    <t>MAURICIO JOSE ATENCIA CONTRERAS</t>
  </si>
  <si>
    <t>JOHON FREDY MARIAGA MONTERROSA</t>
  </si>
  <si>
    <t>Desmane - Selección - Fumigación</t>
  </si>
  <si>
    <t>YEISON ANTONIO LEON VASCO</t>
  </si>
  <si>
    <t>con secuelas de trauma en mano con 3 dedo en semiflexion</t>
  </si>
  <si>
    <t>JORGE LUIS DIAZ GALINDO</t>
  </si>
  <si>
    <t>sobrepeso, estilos de vida saludables dieta y ejercicio regular. Hernia umbilical pequeña restricciones de peso, incapacidad de 2 o 3 semanas y recomendaciones POP de dos meses</t>
  </si>
  <si>
    <t>DIDI ALEX AVILA ESPITIA</t>
  </si>
  <si>
    <t>Embolse - Desmane</t>
  </si>
  <si>
    <t>EDINSON DAVID GARCIA TORDECILLA</t>
  </si>
  <si>
    <t>NORELYS PAOLA ASPRILLA CARRASCAL</t>
  </si>
  <si>
    <t>sobrepeso, estilos de vida saludables dieta y ejercicio regular; Juanetes bilaterales con posibilidad de recomendaciones a futuro</t>
  </si>
  <si>
    <t>RAFAEL ANTONIO SANCHEZ RAMOS</t>
  </si>
  <si>
    <t>Miss - Paletizado</t>
  </si>
  <si>
    <t>Trabajador con sobrepeso, estilos de vida saludables dieta y ejercicio regular. Trabajador con Juanetes bilaterales con posibilidad de recomendaciones a futuro. Era de Providencia y pasa a Margaritas</t>
  </si>
  <si>
    <t>Los Pterigios no son inconveniente, (revisados 26 enero) queda pendiente revisar colinesterasas</t>
  </si>
  <si>
    <t>98 kg</t>
  </si>
  <si>
    <t>pesa 99 kg, no puede realizar labores de escalera</t>
  </si>
  <si>
    <t>ANGIE BIVIANA PATIÑO ARENAS</t>
  </si>
  <si>
    <t>ELBER ANDRES CORREA PADILLA</t>
  </si>
  <si>
    <t>RICHAR WILDEMAN BODER SIERRA</t>
  </si>
  <si>
    <t>ORLANDO SALAZAR OLEA</t>
  </si>
  <si>
    <t>sobrepeso, estilos de vida saludables dieta y ejercicio regular, con Juanetes bilaterales con posibilidad de recomendaciones a futuro.</t>
  </si>
  <si>
    <t>LUIS ANTONIO LUJAN FLOREZ</t>
  </si>
  <si>
    <t>JOSE LLOREDA RICARDO</t>
  </si>
  <si>
    <t>Patología de piel que entraria con recomendaciones es prudente no vincular</t>
  </si>
  <si>
    <t>DIANA MILENA VALENCIA MOSQUERA</t>
  </si>
  <si>
    <t>Sello-Selección-Clasificación</t>
  </si>
  <si>
    <t>ELDER CASTRO LOPEZ</t>
  </si>
  <si>
    <t>con deformidad en Varo del pie lo que muy probablemente generara a futuro recomendaciones</t>
  </si>
  <si>
    <t>Desmache - Amarre - Embolse</t>
  </si>
  <si>
    <t>JHON FREDY RIVAS LEMUS</t>
  </si>
  <si>
    <t>dx Crisis de Migrañas refiere por la alimentacion ¿?</t>
  </si>
  <si>
    <t>Migrañas crisis o similar</t>
  </si>
  <si>
    <t>CM44</t>
  </si>
  <si>
    <t>Repetir Hemograma en 30 días</t>
  </si>
  <si>
    <t>Embolse - Fumigador - Foamy</t>
  </si>
  <si>
    <t>EDER LUIS LOPEZ TAPIAS</t>
  </si>
  <si>
    <t>con eosinofilia para estudiar después, con Juanetes bilaterales con posibilidad de recomendaciones a futuro.</t>
  </si>
  <si>
    <t>HUGO ALBERTO CERPA AVILA</t>
  </si>
  <si>
    <t>EDINSON VILLALBA GONZALEZ</t>
  </si>
  <si>
    <t>LISNEY MORELO MONTERROSA</t>
  </si>
  <si>
    <t>Selección-Clasificación</t>
  </si>
  <si>
    <t>YUDER PALACIO ROJAS</t>
  </si>
  <si>
    <t>ANA MILENA PACHECO LOPEZ</t>
  </si>
  <si>
    <t>Sello-Peso-Clasificación</t>
  </si>
  <si>
    <t>MARIA PAULA ACOSTA GUTIERREZ</t>
  </si>
  <si>
    <t>ANA CARMELA GUERRA</t>
  </si>
  <si>
    <t>Repetir Hemograma en 15 días</t>
  </si>
  <si>
    <t>LOURDE DEL CARMEN AGAMEZ RAMOS</t>
  </si>
  <si>
    <t>LEIDY PATRICIA PEREZ SALAZAR</t>
  </si>
  <si>
    <t>Aprendiz Empaque - Clasificación</t>
  </si>
  <si>
    <t>JHON FREDY CAÑAS MOLINA</t>
  </si>
  <si>
    <t>con sobrepeso, estilos de vida saludables dieta y ejercicio regular. Los Pterigios no son inconveniente</t>
  </si>
  <si>
    <t>DARVINSON ALBERTO BARROETA BARROETA</t>
  </si>
  <si>
    <t>PEDRO BARON ZUÑIGA</t>
  </si>
  <si>
    <t>WENDY VANESSA LOPEZ MALDONADO</t>
  </si>
  <si>
    <t>DUVER ALBERTO BORJA SEPULVEDA</t>
  </si>
  <si>
    <t>AURELIO JOSE OTERO JULIO</t>
  </si>
  <si>
    <t>Foamy - Empaque - Selección</t>
  </si>
  <si>
    <t>con eosinofilia para estudiar después; Juanetes bilaterales con posibilidad de recomendaciones a futuro. Los Pterigios no son inconveniente</t>
  </si>
  <si>
    <t>Foamy - Miss</t>
  </si>
  <si>
    <t>NATALIA GOMEZ BEDOYA</t>
  </si>
  <si>
    <t>YAMILETH ROSARIO ANAYA</t>
  </si>
  <si>
    <t>NORELYS PAOLA ASPRILLA CARRASCAL</t>
  </si>
  <si>
    <t>con sobrepeso (26,2) , estilos de vida saludables dieta y ejercicio regular.</t>
  </si>
  <si>
    <t>sobrepeso IMC 25,2, tabaquismo (s) Licor: (ocas) y estilos de vida saludables dieta y ejercicio regular</t>
  </si>
  <si>
    <t>sobrepeso (IMC 26,4), estilos de vida saludables dieta y ejercicio regular</t>
  </si>
  <si>
    <t>Obesidad (IMC 30,1) tabaquismo (s) y Licor (ocas)</t>
  </si>
  <si>
    <t>Obesidad  (IMC 31,2)</t>
  </si>
  <si>
    <t>Obesidad IMC 31,6</t>
  </si>
  <si>
    <t>ANDRES FELIPE SALDARRIAGA VALDERRAMA</t>
  </si>
  <si>
    <t>persiste con alteración de su Hemograma</t>
  </si>
  <si>
    <t>RONAL ESNEIDER ROBLEDO PALACIO</t>
  </si>
  <si>
    <t>Embolse - Fumigador - Miss - Amarre</t>
  </si>
  <si>
    <t>BERNARDO ANTONI GARCES</t>
  </si>
  <si>
    <t>LUIS FERNANDO VARGAS GONZALEZ</t>
  </si>
  <si>
    <t>Aprendiz Embolse - Amarre - Deshoje</t>
  </si>
  <si>
    <t>Juanetes bilaterales con posibilidad de recomendaciones a futuro. Los Pterigios estan de cirugia. Ingresar PVE Visual</t>
  </si>
  <si>
    <t>DWALFER BOGALLO GUERRA</t>
  </si>
  <si>
    <t>Desmane - Selección - Foamy</t>
  </si>
  <si>
    <t>JHONATAN GIL ALVAREZ</t>
  </si>
  <si>
    <t>Aprendiz Foamy - Agricultor</t>
  </si>
  <si>
    <t>Hernia Umbilical pequeña, podria generarle recomendaciones para levantamiento de cagaas, cirugia con incapacidd de 2 o 3 semanas y RML despues por dos meses. Juanetes con posibilidad de recomendaciones a futuro</t>
  </si>
  <si>
    <t>AURISNEL ANTONIO POZO MOZO</t>
  </si>
  <si>
    <t>bananal 2</t>
  </si>
  <si>
    <t>CARLOS JAVIER REYES FRANCO</t>
  </si>
  <si>
    <t>Aprendiz Foamy - Clasificación</t>
  </si>
  <si>
    <t>FERNANDO MINOTTA ORTEGA</t>
  </si>
  <si>
    <t>Aprendiz Embolse - Amarre - Empaque</t>
  </si>
  <si>
    <t>JESUS MANUEL BAUTISTA TEHERAN</t>
  </si>
  <si>
    <t>DANIEL SERNA BEDOYA</t>
  </si>
  <si>
    <t>LEMUEL DE JESUS GONZALEZ RAMOS</t>
  </si>
  <si>
    <t>con eosinofilia para estudiar después; sobrepeso IMC 25,3, estilos de vida saludables dieta y ejercicio regular.</t>
  </si>
  <si>
    <t>Sin vision por ojo</t>
  </si>
  <si>
    <t xml:space="preserve">Patologia alergica de manos </t>
  </si>
  <si>
    <t>DAVID MORENO MOSQUERA</t>
  </si>
  <si>
    <t>Aprendiz Embolse - Foamy</t>
  </si>
  <si>
    <t>LUIS ANA MILENA ORTIZ TUBERQUIA </t>
  </si>
  <si>
    <t>Sello-Empaque-Clasificación</t>
  </si>
  <si>
    <t>YEFERSON CAMILO DURANGO MARIN</t>
  </si>
  <si>
    <t>KELLYS JOHANA GUERRA USUGA</t>
  </si>
  <si>
    <t>Asistencia Organización Archivos</t>
  </si>
  <si>
    <t>Obesidad IMC 30,5</t>
  </si>
  <si>
    <t>JORGE EMILIO SAMCHEZ BELTRAN</t>
  </si>
  <si>
    <t>eosinofilia para estudiar después, con Juanetes bilaterales con posibilidad de recomendaciones a futuro. Los Pterigios no son inconveniente. Trabajador con Obesidad</t>
  </si>
  <si>
    <t>FERLYS DARIO BERRCOCAL BALLESTEROS</t>
  </si>
  <si>
    <t>JADER FRANCISCO POSADA VALDERRAMA</t>
  </si>
  <si>
    <t>Embolse - Fumigador</t>
  </si>
  <si>
    <t>MARTIN FERNANDO CALLE BUSTAMANTE</t>
  </si>
  <si>
    <t>CARLOS ALBERTO LOPEZ AGUILAR</t>
  </si>
  <si>
    <t xml:space="preserve">
Trabajador con sobrepeso y anormalidad en la columna que podra llegar a tener recomendaciones</t>
  </si>
  <si>
    <t>PEDRO PABLO HERNANDEZ RAMOS</t>
  </si>
  <si>
    <t>Embolse- Amarre</t>
  </si>
  <si>
    <t>Trabajador con sobrepeso, estilos de vida saludables dieta y ejercicio regular. Los Pterigios no son inconveniente.</t>
  </si>
  <si>
    <t>SEBASTIAN BERRIO MORENO</t>
  </si>
  <si>
    <t>Fertilización- Deshoje- Fumigación</t>
  </si>
  <si>
    <t>Trabajador con Juanetes bilaterales con posibilidad de recomendaciones a futuro. Trastorno visual no especificado ingresar PVE Visual de acuerdo a la respuesta de unlab sobre su defecto visual les indico si hay algo mas que hacer</t>
  </si>
  <si>
    <t>JONNY JAVIER MARTINEZ MOSQUERA</t>
  </si>
  <si>
    <t>Fertilización</t>
  </si>
  <si>
    <t>ROIBER ANDRES AGUILAR MURILLO</t>
  </si>
  <si>
    <t>Fertilización- Miss</t>
  </si>
  <si>
    <t>JOSE ANTONIO PALOMINO BAENA</t>
  </si>
  <si>
    <t>EDWIN BAENA ORTIZ</t>
  </si>
  <si>
    <t>Embolse - Fomi</t>
  </si>
  <si>
    <t>YEFERSON CHALA GAMBOA</t>
  </si>
  <si>
    <t>LUIS GERALDO PALOMINO MARTINEZ</t>
  </si>
  <si>
    <t>MATEO MUÑETON ARRIETA</t>
  </si>
  <si>
    <t>ROBINSON JOSE BALLESTEROS</t>
  </si>
  <si>
    <t>Trabajador con sobrepeso, estilos de vida saludables dieta y ejercicio regular. Trabajador con Juanetes bilaterales con posibilidad de recomendaciones a futuro</t>
  </si>
  <si>
    <t>Aprendiz Embolse- Amarre</t>
  </si>
  <si>
    <t>ARNULFO ANTONIO ARROYO PADILLA</t>
  </si>
  <si>
    <t>Embolse- Fomi- Amarre</t>
  </si>
  <si>
    <t>YEIFER ALBERTO GRANDET GONZALEZ</t>
  </si>
  <si>
    <t>LUIS MIGUEL BARRIOS CUESTA</t>
  </si>
  <si>
    <t>CAMILO ANDRES CORREA DORIA</t>
  </si>
  <si>
    <t>Embolse - Fomi- Fertilización</t>
  </si>
  <si>
    <t>JHODOAR ANTONIO GARCIA MARULANDA</t>
  </si>
  <si>
    <t>JEISON DAVID GALLARDO GASPAR</t>
  </si>
  <si>
    <t>Paletizador- Fomi</t>
  </si>
  <si>
    <t>Trabajador con eosinofilia para estudiar después. Me queda la duda que tan severo fue su trauma en cara.</t>
  </si>
  <si>
    <t>JUAN CARLOS CAUSIL ACOSTA</t>
  </si>
  <si>
    <t>Trabajador con leve eosinofilia para estudiar después.</t>
  </si>
  <si>
    <t> 1118871049</t>
  </si>
  <si>
    <t>Fertilización- Empaque-Selección</t>
  </si>
  <si>
    <t>Trabajador con eosinofilia para estudiar después; sobrepeso, estilos de vida saludables dieta y ejercicio regular.</t>
  </si>
  <si>
    <t>DIVIER AVILA QUINTO</t>
  </si>
  <si>
    <t>Fomi- Fertilización</t>
  </si>
  <si>
    <t>EDINSON TRILLO CACERES</t>
  </si>
  <si>
    <t>HILDA MARIA ALIAN MONTERROSA</t>
  </si>
  <si>
    <t>Trabajador con antecedente de lesion en rodilla ademas en el momento cuadro de anemia y ganglios crecidos en el cuerpo. Es prudente no vincularlo por ahora</t>
  </si>
  <si>
    <t>LUIS ORLANDO MARTINEZ PEREZ</t>
  </si>
  <si>
    <t>ALFREDO MANUEL LOPEZ PATERNINA</t>
  </si>
  <si>
    <t>con eosinofilia para estudiar después. Hernia umbilical pequeña de manejo quirurgico ¿?? De tener cirugia incapacidad de unos 15 dias y recomendaciones por dos meses</t>
  </si>
  <si>
    <t>ALVARO JAVIER ORREGO MARTINEZ</t>
  </si>
  <si>
    <t>Empaque - paletizado</t>
  </si>
  <si>
    <t>con dermatitis alergica y gran sobrepeso; no lo veo como buen candidato</t>
  </si>
  <si>
    <t>JESUS DANIEL ANICHARICO SEGURA</t>
  </si>
  <si>
    <t>NEDER ENRIQUE VUELVAS</t>
  </si>
  <si>
    <t>leve eosinofilia para estudiar después, sobrepeso, estilos de vida saludables dieta y ejercicio regular. Los Pterigios no son inconveniente.</t>
  </si>
  <si>
    <t>Miss - Desmane</t>
  </si>
  <si>
    <t>JUAN CARLOS DELGADO MESTRA</t>
  </si>
  <si>
    <t>JOHN JARINSON SOTO CAUSIL</t>
  </si>
  <si>
    <t>Aprendiz Riego - Amarre</t>
  </si>
  <si>
    <t>alteración de su Hemograma, pero lo que me inquieta es el trauma ocular en accidente hace 6 meses y que aun esta en tratamiento, asi tenga agudeza visual normal no me arriesgaria</t>
  </si>
  <si>
    <t>DUBAN ALEXANDER AVILES VANEGAS</t>
  </si>
  <si>
    <t>sin inconvenientes, no presenta secuelas del accidente</t>
  </si>
  <si>
    <t>IVAN ANDRES CALAO PRIOLO</t>
  </si>
  <si>
    <t>Embolse- Desmane</t>
  </si>
  <si>
    <t>SERGIO ANDRES CORREA MAYA</t>
  </si>
  <si>
    <t>Inicialmente era para Carepa; Jorge Jimenez informa que se cambia para Costa Rica</t>
  </si>
  <si>
    <t>JOSE GUILLERMO PEÑATA CALDERON</t>
  </si>
  <si>
    <t>Aprendiz Empaque - Paletizado</t>
  </si>
  <si>
    <t>Trabajador sin inconvenientes, pero es mejor esperar a que se cure de su herida actual de mano</t>
  </si>
  <si>
    <t>ARNOBIS ANTONIO NERIO SANCHEZ</t>
  </si>
  <si>
    <t>leve eosinofilia para estudiar después, con Juanetes bilaterales con posibilidad de recomendaciones a futuro. Los Pterigios no son inconveniente</t>
  </si>
  <si>
    <t>ISMAEL ROMAÑA JULIO</t>
  </si>
  <si>
    <t>HENRY MAURICIO USUGA GARCIA</t>
  </si>
  <si>
    <t>Desmache - Selector</t>
  </si>
  <si>
    <t>Obesidad IMC 33,3</t>
  </si>
  <si>
    <t>Obesidad IMC 30,5 y sinusitis cronica</t>
  </si>
  <si>
    <t>CARLOS MARIO GONZALEZ RODRIGUEZ</t>
  </si>
  <si>
    <t>JHON ALEXIS CORREA VARGAS</t>
  </si>
  <si>
    <t>Embolse - Selección</t>
  </si>
  <si>
    <t>JUAN CARLOS MANCO MACHADO</t>
  </si>
  <si>
    <t>CARLOS ANDRES LOPERA ANAYA</t>
  </si>
  <si>
    <t>DEIVER LUIS GUZMAN GOMEZ</t>
  </si>
  <si>
    <t>eosinofilia para estudiar después, con sobrepeso, estilos de vida saludables dieta y ejercicio regular. Trabajador con Juanetes bilaterales con posibilidad de recomendaciones a futuro.</t>
  </si>
  <si>
    <t>Aprendiz Empaque - Sello</t>
  </si>
  <si>
    <t>LAIDER MARIA DE LA VEGA MORALES</t>
  </si>
  <si>
    <t>DIEGO JOSE PEREZ HERNANDEZ</t>
  </si>
  <si>
    <t>JUAN CARLOS BORJA SEPULVEDA</t>
  </si>
  <si>
    <t>con sobrepeso, estilos de vida saludables dieta y ejercicio regular. Patología de piel de manejo por EPS. Trabajador con Juanetes bilaterales con posibilidad de recomendaciones a futuro</t>
  </si>
  <si>
    <t>ANA ROCIO RENGIFO MOSQUERA</t>
  </si>
  <si>
    <t>Aprendiz Empaque - Sello - Clasificación</t>
  </si>
  <si>
    <t>JULIO CESAR USUGA ARENAS</t>
  </si>
  <si>
    <t>eosinofilia para estudiar después. Trabajador con Juanetes bilaterales con posibilidad de recomendaciones a futuro</t>
  </si>
  <si>
    <t>Puyero - Cirugia</t>
  </si>
  <si>
    <t>YOSMER TORREGLOSA HERNANDEZ</t>
  </si>
  <si>
    <t>LEONEL BALLESTA LICONA</t>
  </si>
  <si>
    <t>URIEL DARI ARCIA NEGRETE</t>
  </si>
  <si>
    <t>Selección - Embolse - Amarre</t>
  </si>
  <si>
    <t>JAGUIN JAVIER PADILLA SERPA</t>
  </si>
  <si>
    <t>Fumigación - Embolse - Miss</t>
  </si>
  <si>
    <t>JUAN GABRIEL ESPITIA BARRIOS</t>
  </si>
  <si>
    <t>JORGE ENRIQUE GOEZ DAVID</t>
  </si>
  <si>
    <t>Selección - Embolse - Empaque</t>
  </si>
  <si>
    <t>GERMAN PEÑATA SOCARRAS</t>
  </si>
  <si>
    <t>Trabajador que refiere que se le olvidan las cosas antecedente de ingst de tranquilizantes hace 10 años.  Por la perdida de memoria no estaria traquilo vinculandolo</t>
  </si>
  <si>
    <t>DAULIS MONTALBAN OROZCO</t>
  </si>
  <si>
    <t>CARLOS ANTONIO VUELVAS SOLANO</t>
  </si>
  <si>
    <t>CM45</t>
  </si>
  <si>
    <t>CM46</t>
  </si>
  <si>
    <t>Vitiligo que le podria generar recomendaciones por exposicion al sol</t>
  </si>
  <si>
    <t>Deshoje - Embolse - Amarre</t>
  </si>
  <si>
    <t>persiste con Alteración Hemograma</t>
  </si>
  <si>
    <t>con gran eosinofilia para estudiar después y sobrepeso IMC 25,6, estilos de vida saludables dieta y ejercicio regular</t>
  </si>
  <si>
    <t>Trabajador con sobrepeso IMC 27,2, estilos de vida saludables dieta y ejercicio regular. Los Pterigios no son inconveniente. Esperar a que se pase su otitis</t>
  </si>
  <si>
    <t>sobrepeso IMC 27,4, estilos de vida saludable dieta y ejercicio regular, leve eosinofilia para estudiar despues</t>
  </si>
  <si>
    <t>sobrepeso IMC 25,1, estilos de vida saludables dieta y ejercicio regular.</t>
  </si>
  <si>
    <t>sobrepeso IMC 27,7, estilos de vida saludables dieta y ejercicio regular. Trabajador con Juanetes bilaterales con posibilidad de recomendaciones a futuro. Leve trastorno visual ingresar al PVE Visual</t>
  </si>
  <si>
    <t>sobrepeso IMC 23,7, estilos de vida saludables dieta y ejercicio regular. con leve altracion visual, ingresar PVE Visual</t>
  </si>
  <si>
    <t>JHON DAIRON CORREA ROJAS</t>
  </si>
  <si>
    <t>rinitis alergica con posiblidades de recomendaciones , ademas con Juanetes bilaterales con posibilidad de recomendaciones a futuro</t>
  </si>
  <si>
    <t>Manteniiento Mecánico Industrial</t>
  </si>
  <si>
    <t>persiste con alteración de su Hemograma, hacer contrato corto tiempo definido.</t>
  </si>
  <si>
    <t>alteración de su Hemograma (Anemia), repetirlo en 8 días</t>
  </si>
  <si>
    <t>ARGENIS MARTINEZ SIOLO</t>
  </si>
  <si>
    <t>LEIDYS LUZ LAGARES GARCIA</t>
  </si>
  <si>
    <t>con deformidad en rodilla que tiene probabilidades de recoamendaciones a futuro ademas alteración de su Hemograma</t>
  </si>
  <si>
    <t>con secuelas de fractura de codo y antecedente de lesion del tendon de aquiles. No me parece buen candidato.</t>
  </si>
  <si>
    <t>Neider Yair Arrieta Ramos</t>
  </si>
  <si>
    <t>JHON FREDY TUBERQUIA SANTAMARIA</t>
  </si>
  <si>
    <t>Selección - Foamy - Amarre</t>
  </si>
  <si>
    <t>ROBINSON URRUTIA UMANES</t>
  </si>
  <si>
    <t>con gran sobrepeso (IMC 29,1), estilos de vida saludables dieta y ejercicio regular</t>
  </si>
  <si>
    <t>Aprendiz Selección - Sello - Clasificación</t>
  </si>
  <si>
    <t>persiste con alteración de su Hemograma, contrato periodos cortos tiempo definido</t>
  </si>
  <si>
    <t>persiste con alteración de su Hemograma, contrato corto por tiempo definido.</t>
  </si>
  <si>
    <t>OSCAR ANTONIO URREGO ZAPATA</t>
  </si>
  <si>
    <t>VICTOR JULIO</t>
  </si>
  <si>
    <t>HENRY GALLEGO</t>
  </si>
  <si>
    <t>con gran sobrepeso (IMC 29,4) con antecedentes de madre y hermana con diabetes que muy seguramente terminara teniendo este trabajador</t>
  </si>
  <si>
    <t>Foamy - Desmane</t>
  </si>
  <si>
    <t>LUIS CARLOS MEJIA SANCHEZ</t>
  </si>
  <si>
    <t>FREDYS BORJA URANGO</t>
  </si>
  <si>
    <t>Empaque-Selección - Sello</t>
  </si>
  <si>
    <t>EVER ENRIQUE PEREIRA DONADO</t>
  </si>
  <si>
    <t>con eosinofilia para estudiar después; sobrepeso (IMC 27,5), estilos de vida saludables dieta y ejercicio regular. Patología de piel de manejo por EPS</t>
  </si>
  <si>
    <t>JOAN SEBASTIAN CERON USUGA</t>
  </si>
  <si>
    <t>con eosinofilia para estudiar después. Los Pterigios no son inconveniente.</t>
  </si>
  <si>
    <t>con sobrepeso IMC 25,0, estilos de vida saludables dieta y ejercicio regular.</t>
  </si>
  <si>
    <t>Obesidad IMC 30,8</t>
  </si>
  <si>
    <t>con sobrepeso IMC 28,7 Peso 89 kilos h 176 cm, estilos de vida saludables dieta y ejercicio regular.</t>
  </si>
  <si>
    <t>con Pie Plano con posibilidad de recomendaciones a futuro. Los Pterigios no son inconveniente</t>
  </si>
  <si>
    <t>JUAN ESTEBAN CARUPIA</t>
  </si>
  <si>
    <t>JOSE FERNANDO CONTRERAS</t>
  </si>
  <si>
    <t>persiste con alteración de su Hemograma, es mejor por estar tan bajo de plaquetas no vincularlo por ahora</t>
  </si>
  <si>
    <t>con eosinofilia para estudiar después. Patología de piel de manejo por EPS. Hernia umbilical pequeña incapacidad futura de 2 semanas y recomendaciones por 2 meses</t>
  </si>
  <si>
    <t>LUIS CARLOS HINCAPIE DAVID</t>
  </si>
  <si>
    <t>ALDREY EDUARDO OQUENDO VASQUEZ</t>
  </si>
  <si>
    <t>con eosinofilia para estudiar después. Hernia umbilical pequeña incapacidad de dos semanas y recomendaciones de dos meses</t>
  </si>
  <si>
    <t>Hernia umbilical pña incap 2 sem y RML 2 meses</t>
  </si>
  <si>
    <t>ANDRES DAVID MONTERROSA BEHOINE</t>
  </si>
  <si>
    <t>alteración de su Corazon en relacion al ritmo es mejor esperar.</t>
  </si>
  <si>
    <t>LUIS LEONARDO MARTINEZ GUERRA</t>
  </si>
  <si>
    <t>ELISEO JIMENEZ VERGARA</t>
  </si>
  <si>
    <t>con Presbicia ingresar PVE Visual</t>
  </si>
  <si>
    <t>JHON JAIRO CORDERO MONTALVO</t>
  </si>
  <si>
    <t>con secuelas de accidente de trabajo donde se encontraron hallazgos al examen fisico, por lo encontrado es muy alta la posibilidad de artrosis de rodilla que terminaria con recomendaciones entre ellas para la marcha. No lo consideraria buen candidato</t>
  </si>
  <si>
    <t>ROBERTO CARLOS MOSQUERA GOMEZ</t>
  </si>
  <si>
    <t>persiste anemia moderada. Es riesgoso por su nivel de Hemoglobina</t>
  </si>
  <si>
    <t>JUAN ESTEBAN CORREA</t>
  </si>
  <si>
    <t>Gerencia Producción</t>
  </si>
  <si>
    <t>Amarre - Desmane</t>
  </si>
  <si>
    <t>con sobrepeso, estilos de vida saludables dieta y ejercicio regular; Patología de piel de manejo por EPS y  Juanetes bilaterales con posibilidad de recomendaciones a futuro.
Los Pterigios no son inconveniente</t>
  </si>
  <si>
    <t>Almacenista Barcadillero Supernumerario</t>
  </si>
  <si>
    <t>CARLOS MARIO BONOLIS GONZALEZ</t>
  </si>
  <si>
    <t>con eosinofilia para estudiar después;  con sobrepeso (IMC 25,8), estilos de vida saludables dieta y ejercicio regular</t>
  </si>
  <si>
    <t>JUAN CAMIO BERRIO HERNANDEZ</t>
  </si>
  <si>
    <t>con gran sobrepeso (IMC 29), estilos de vida saludables dieta y ejercicio regular. La patología de piel de manejo por EPS. Hernia pequeña incapcidad aproximada por Cx de 15 dias y recomendaciones por dos meses para cargas</t>
  </si>
  <si>
    <t>ALEJANDRO DE JESUS CHIQUILLO BLANCO</t>
  </si>
  <si>
    <t>con sobrepeso (IMC 26,6), estilos de vida saludables dieta y ejercicio regular. Patología de piel de manejo por EPS. Hernia umbilical que su incapacidad postQx sera de 15 dias y recomendaciones por dos meses mas</t>
  </si>
  <si>
    <t>ESTEBAN DAVID JIMENEZ OROZCO</t>
  </si>
  <si>
    <t>CAMILA ANDREA JIMENEZ BENITEZ</t>
  </si>
  <si>
    <t>ANA MARITZA LEMUS PEREA</t>
  </si>
  <si>
    <t>con alteración de su Hemograma y con Obesidad</t>
  </si>
  <si>
    <t>con sobrepeso IMC 26,4, estilos de vida saludables dieta y ejercicio regular</t>
  </si>
  <si>
    <t>JORGE LUIS ACOSTA HERRERA</t>
  </si>
  <si>
    <t>Amarre - Embolse - Foamy</t>
  </si>
  <si>
    <t>WILSON ALBERTO BORJA AGAMEZ</t>
  </si>
  <si>
    <t>Asistente Agricultura</t>
  </si>
  <si>
    <t>LISANDRO ANTONIO BORJA AGAMEZ</t>
  </si>
  <si>
    <t>con enfermedad del manguito rotador del hombro derecho, no es buen candidato</t>
  </si>
  <si>
    <t>JUAN ANTONIO GONZALEZ ANAYA</t>
  </si>
  <si>
    <t>ARIEL HERNANDEZ SANTOS</t>
  </si>
  <si>
    <t>Ingresar PVE Visua. Patología de piel de manejo por EPS.</t>
  </si>
  <si>
    <t>JHON FREDY AGUILAR MARIMON</t>
  </si>
  <si>
    <t>HUGO ALBERTO GONZALEZ DORIA</t>
  </si>
  <si>
    <t>Fumigación - Fertilización</t>
  </si>
  <si>
    <t>PAOLA ANDREA GARIZABAL BALLESTEROS</t>
  </si>
  <si>
    <t>YAN CARLOS BERNAL DEL CASTILLO</t>
  </si>
  <si>
    <t>Mis- Resiembra</t>
  </si>
  <si>
    <t>Trabajadora con antecedente de luxaciones de hombro que terminará con recomendaciones. No me parece buen candidato</t>
  </si>
  <si>
    <t>Auxiliar Producción</t>
  </si>
  <si>
    <t>FRANCISCO JOSE VALENCIA CARDONA</t>
  </si>
  <si>
    <t>Trabajador con eosinofilia para estudiar después. Ademas con sobrepeso, estilos de vida saludables dieta y ejercicio regular. Antecedente de Cx de Rodilla con posibilidades grandes de recomendaciones a futuro</t>
  </si>
  <si>
    <t>Embolse - Foamy - Empaque</t>
  </si>
  <si>
    <t>VILMAR VALDELAMAR DIAZ</t>
  </si>
  <si>
    <t>Trabajador con sobrepeso, estilos de vida saludables dieta y ejercicio regular. Patología de piel de manejo por EPS</t>
  </si>
  <si>
    <t>MARIA EUGENIA CARDENAS BLANQUISET</t>
  </si>
  <si>
    <t>YEDINSON ALEJANDRO GALINDEZ DURANGO</t>
  </si>
  <si>
    <t>Desflore - Deshoje</t>
  </si>
  <si>
    <t>JHONFER ESNEYDER RUEDA RODRIGUEZ</t>
  </si>
  <si>
    <t>Foamy - Paletizado</t>
  </si>
  <si>
    <t>LUIS LIBARDO LOPEZ LUNA</t>
  </si>
  <si>
    <t>MANUEL BLANDON RAMOS</t>
  </si>
  <si>
    <t>DAYANIS COGOLLO LOPEZ</t>
  </si>
  <si>
    <t>Sello  - Selección</t>
  </si>
  <si>
    <t>con sobrepeso, estilos de vida saludables dieta y ejercicio regular</t>
  </si>
  <si>
    <t>Obesidad IMC 30,5. Sandra hacer compromiso de estilos de vida saludable</t>
  </si>
  <si>
    <t>JOSE ALEXANDER RIVAS CORDOBA</t>
  </si>
  <si>
    <t>con sobrepeso, estilos de vida saludables dieta y ejercicio regular. Tiene secuela de trauma en dedo de la mano pero no se especifica cual dedo y a que nivel por lo que no podria definir bien su aptitud ya que podria limitarlo en su labor dependiendo del dedo y el nivel de afectacion</t>
  </si>
  <si>
    <t>Empaque - Paletizado</t>
  </si>
  <si>
    <t>con sobrepeso IMC 28,7, estilos de vida saludables dieta y ejercicio regular.</t>
  </si>
  <si>
    <t>JUAN ESTEBAN LEMUS CORTES</t>
  </si>
  <si>
    <t>Auxiliar Mantenimiento</t>
  </si>
  <si>
    <t>JOHNATAN ANDRES VARGAS MENDEZ</t>
  </si>
  <si>
    <t>Embolse - Foamy - Fumigación</t>
  </si>
  <si>
    <t>DANIEL ESTEBAN USUGA GOEZ</t>
  </si>
  <si>
    <t>Embolse - Foamy - Fertilización</t>
  </si>
  <si>
    <t>CRISTIAN CAMILO ALTAMIRANDA</t>
  </si>
  <si>
    <t>CARMELO CUESTA MOYA</t>
  </si>
  <si>
    <t>LEIDY JHOANA CEBALLOS CELADA</t>
  </si>
  <si>
    <t>con alergia a algunas plantas debera estar en oficinas urbanas</t>
  </si>
  <si>
    <t>DANILO CORDOBA MOYA</t>
  </si>
  <si>
    <t>sobrepeso, estilos de vida saludables dieta y ejercicio regular. Los Pterigios no son inconveniente</t>
  </si>
  <si>
    <t>Desmache - Resiembra</t>
  </si>
  <si>
    <t>con eosinofilia para estudiar después. Trabajador con Juanetes bilaterales con posibilidad de recomendaciones a futuro. Los Pterigios no son inconveniente</t>
  </si>
  <si>
    <t>Deshoje - Desmane</t>
  </si>
  <si>
    <t>LUIS SEGUNDO OTERO NORIEGA</t>
  </si>
  <si>
    <t>DEIVIS ANDRES AGAMEZ MARIN</t>
  </si>
  <si>
    <t>Psicología</t>
  </si>
  <si>
    <t>Técnico Asistente Administrativo</t>
  </si>
  <si>
    <t>con Juanetes bilaterales con posibilidad de recomendaciones a futuro.</t>
  </si>
  <si>
    <t>LUIS YAIR NORIEGA CARE</t>
  </si>
  <si>
    <t>Tecnólogo Gestión Negocios</t>
  </si>
  <si>
    <t>IDESMI BAUTISTA MOSQUERA</t>
  </si>
  <si>
    <t>LEYNER JOSE MARTINEZ VERGARA</t>
  </si>
  <si>
    <t>JOSUE EBERARDO GARCIA CUESTA</t>
  </si>
  <si>
    <t>Administración Empresas</t>
  </si>
  <si>
    <t>DANILO ANTONIO RODRIGUEZ RUIZ</t>
  </si>
  <si>
    <t>aparentemente sin inconvenientes, quedo con una gran duda y si es asi lo rechazaria solo por el Dx de “Exposicion ocupacional a agentes toxicos en agricultura”.</t>
  </si>
  <si>
    <t>persiste con alteración de su Hemograma, con Juanetes bilaterales con posibilidad de recomendaciones a futuro</t>
  </si>
  <si>
    <t>KATY LICETH MUENTES ORTEGA</t>
  </si>
  <si>
    <t>Técnica Archivo</t>
  </si>
  <si>
    <t>con alteración de su Hemograma por anemia leve, repetirlo en 8 días Trabajador con gran sobrepeso, estilos de vida saludables dieta y ejercicio regular</t>
  </si>
  <si>
    <t>ISABELLA ZULUAGA GIL</t>
  </si>
  <si>
    <t>ANA DICNA PEREA MURRAY</t>
  </si>
  <si>
    <t>Selección - Sello</t>
  </si>
  <si>
    <t>ABRAHAN ISAI MONTES PAREDES</t>
  </si>
  <si>
    <t>NILSON BATISTA GONZALEZ ROCHA</t>
  </si>
  <si>
    <t xml:space="preserve">Empacador </t>
  </si>
  <si>
    <t>HERNAN DARIO BEDOYA MONTOYA</t>
  </si>
  <si>
    <t>YONAIKER JOSE OVALLES BORGES</t>
  </si>
  <si>
    <t>ARLEY GRACIANO HIGUITA</t>
  </si>
  <si>
    <t>con eosinofilia para estudiar después, sobrepeso, estilos de vida saludables dieta y ejercicio regular.</t>
  </si>
  <si>
    <t>ISMAEL JOSE OQUENDO RAMOS</t>
  </si>
  <si>
    <t>realizar colinesterasas por el cargo, Carlos</t>
  </si>
  <si>
    <t>NICOLAS ELIAS ALIAN MARTINEZ</t>
  </si>
  <si>
    <t>con sobrepeso, estilos de vida saludables dieta y ejercicio regular.</t>
  </si>
  <si>
    <t>con eosinofilia para estudiar después,  sobrepeso, estilos de vida saludables dieta y ejercicio regular. Ingresar PVE Visual</t>
  </si>
  <si>
    <t>CELSO AILTON RIVAS LARA</t>
  </si>
  <si>
    <t>Empaque - Selección - Desmane</t>
  </si>
  <si>
    <t>BERNARDO ERNESTO HIGUITA SANCHEZ</t>
  </si>
  <si>
    <t>SEBASTIAN JAVIER RAMOS VEGA</t>
  </si>
  <si>
    <t>Pequeña hernia umbilical asintomatica, incapacidad POP 15 dis y RML por 2 meses se llegar a cirugia</t>
  </si>
  <si>
    <t>LUIS ALBERTO SOLAR SIMANCA</t>
  </si>
  <si>
    <t>DAYRO DE JESUS AVILA GUEVARA</t>
  </si>
  <si>
    <t>JEILER MOZO ECHEVERRIA</t>
  </si>
  <si>
    <t>DARLINSON DARIO CARDONA RODRIGUEZ</t>
  </si>
  <si>
    <t>Mantenimiento Resiembra</t>
  </si>
  <si>
    <t>Amarre - Embolse - Selección</t>
  </si>
  <si>
    <t>DIEGO MIGUEL REYES GOMEZ</t>
  </si>
  <si>
    <t>persiste con alteración de su Hemograma. Considerar prueba. Juanetes bilaterales  pequeños</t>
  </si>
  <si>
    <t>LUZ ADRIANA TORRENTE HERNANDEZ</t>
  </si>
  <si>
    <t>con sobrepeso , estilos de vida saludables dieta y ejercicio regular.</t>
  </si>
  <si>
    <t>YEISON ANTONIO BURGOS MEJIA</t>
  </si>
  <si>
    <t>DAGOBERTO ANTONIO MARTINEZ HERRERA</t>
  </si>
  <si>
    <t>YEISON ESPINOSA OREJUELA</t>
  </si>
  <si>
    <t>JHON JAIRO GOEZ DUARTE</t>
  </si>
  <si>
    <t>con sobrepeso y patología de piel que hasta no se aclare diagnostico y descartar fenomeno alergico deberiamos esperar</t>
  </si>
  <si>
    <t>LUIS ALFREDO PEÑATE LOZANO</t>
  </si>
  <si>
    <t>con eosinofilia para estudiar después,  sobrepeso IMC 25,5), estilos de vida saludables dieta y ejercicio regular. Ingresar PVE Visual</t>
  </si>
  <si>
    <t>JOSE MIGUEL LOPEZ PONCE</t>
  </si>
  <si>
    <t>MARLON CUESTA URIBE</t>
  </si>
  <si>
    <t>JIBANEL VELEZ BORJA</t>
  </si>
  <si>
    <t>con Varicocele que se corrige quirurgicamente incapacidd menor a 10 dias y recomendaciones por un mes</t>
  </si>
  <si>
    <t>WLFREDY SIERRA POLO</t>
  </si>
  <si>
    <t>Miss - Puya</t>
  </si>
  <si>
    <t>DANIEL ALFONSO LOPEZ RUBIO</t>
  </si>
  <si>
    <t>Fomy</t>
  </si>
  <si>
    <t>con sobrepeso (IMC 27,8 peso 92 kg), estilos de vida saludables dieta y ejercicio regular.</t>
  </si>
  <si>
    <t>WALTER VILLADIEGO DAVID</t>
  </si>
  <si>
    <t>LUIS ENRIQUE REDONDO GARCIA</t>
  </si>
  <si>
    <t>WILSON RAFAEL HERNANDEZ BALDOVINO</t>
  </si>
  <si>
    <t>con sobrepeso (IMC 25,3), estilos de vida saludables dieta y ejercicio regular.</t>
  </si>
  <si>
    <t>ARLEY LUIS HERNANDEZ PESTANA</t>
  </si>
  <si>
    <t>OSCAR DANIEL AYOLA RAMOS </t>
  </si>
  <si>
    <t>Empaque - Fomy</t>
  </si>
  <si>
    <t>Ya habia dado respuesta a este el 08-05-2019 Mateguadua y el 2/2/2018 Raices</t>
  </si>
  <si>
    <t>FREDY JAVIER ARENAS GONZALEZ</t>
  </si>
  <si>
    <t>con pequeña hernia Epigastrica, incapacidad aproximada de 15 dias y recomendaciones de 2 meses para cargas si lo operan</t>
  </si>
  <si>
    <t>JANIER CORDERO RAMOS</t>
  </si>
  <si>
    <t>con eosinofilia para estudiar después, ademas ganlion dorsal bilateral pequeños con incapacidad corta de 1 o 2 semanas sin secuelas normalmente</t>
  </si>
  <si>
    <t>MARTHA LILIA PINTO CARDENAS</t>
  </si>
  <si>
    <t>con eosinofilia para estudiar después. Pequeña hernia umbilical poca incapacidad 15 dias y pocas recomendaciones de carga 2 meses</t>
  </si>
  <si>
    <t>EDWIN DAVID MENDOZA PEREZ</t>
  </si>
  <si>
    <t>CRISTIAN ANDRES MENA RIVAS</t>
  </si>
  <si>
    <t>JOHAN STEVEN QUIROZ LOPEZ</t>
  </si>
  <si>
    <t>Tecnología Control Ambiental</t>
  </si>
  <si>
    <t>ANGIE CAROLINA HERRERA MARTINEZ</t>
  </si>
  <si>
    <t>Sello - Clasificación - Peso</t>
  </si>
  <si>
    <t>DAYANA MARIA LOZANO TORRES</t>
  </si>
  <si>
    <t>MICHELLE ANDREA MORALES ZAPATA</t>
  </si>
  <si>
    <t>CINDY NATALIA ARGUMEDO LOPEZ</t>
  </si>
  <si>
    <t>JULIANA HERRERA UPEGUI</t>
  </si>
  <si>
    <t>HILARIO ANTONIO TORRES HERNANDEZ</t>
  </si>
  <si>
    <t>con eosinofilia para estudiar después, con sobrepeso, estilos de vida saludables dieta y ejercicio regular. Los Pterigios no son inconveniente.</t>
  </si>
  <si>
    <t>LETICIA JUDITH PEREIRA CARMONA</t>
  </si>
  <si>
    <t>ANA DELIS GUEVARA ALVAREZ</t>
  </si>
  <si>
    <t>OSCAR ENRIQUE MENDOZA ORTEGA</t>
  </si>
  <si>
    <t>SAMAY XIOMARA RODRIGUEZ ALGARIN</t>
  </si>
  <si>
    <t>El Pterigio y la amputacion de FD no son inconveniente.</t>
  </si>
  <si>
    <t>JOSE ANGEL VERGARA ESPAÑA</t>
  </si>
  <si>
    <t>Obesidad Y aNEMIA</t>
  </si>
  <si>
    <t>con eosinofilia y con Obesidad</t>
  </si>
  <si>
    <t>Fomy - Desflore</t>
  </si>
  <si>
    <t>YOVANNY CAÑOLA ASPRILLA</t>
  </si>
  <si>
    <t>MARIA CAMILA MOSQUERA MOSQUERA</t>
  </si>
  <si>
    <t>Obesidad II</t>
  </si>
  <si>
    <t>????</t>
  </si>
  <si>
    <t>JOSE DAVID PALACIOS PINO</t>
  </si>
  <si>
    <t>con material de osteosintesis por fractura de antebrazo con grandes posibilidades de recomendaciones a futuro. No me parece buen candidato</t>
  </si>
  <si>
    <t>Empaque - Embolse</t>
  </si>
  <si>
    <t>EDWIN DAVID BANQUET ROQUEME</t>
  </si>
  <si>
    <t>YULEDYS GONZALEZ RAMOS</t>
  </si>
  <si>
    <t>NELLY JUDITH ARGUMEDO SALCEDO</t>
  </si>
  <si>
    <t>Operario Cosecha y Empaque</t>
  </si>
  <si>
    <t>ESTEFANI PAOLA MURILLO MOSQUERA</t>
  </si>
  <si>
    <t> alteración de su Hemograma, repetirlo en 8 días, ademas gran sobrepeso (IMC de 29)</t>
  </si>
  <si>
    <t>LUIS AMADO MARTINEZ ASPRILLA</t>
  </si>
  <si>
    <t>Fomy - Clasificación</t>
  </si>
  <si>
    <t>LUIS ALFONSO LONDO CORCHO</t>
  </si>
  <si>
    <t>Fomy - Miss</t>
  </si>
  <si>
    <t>CARLOS LUIS CUADRADO MONTES</t>
  </si>
  <si>
    <t>WILFREDDY PETRO ACOSTA</t>
  </si>
  <si>
    <t>con sobrepeso, estilos de vida saludables dieta y ejercicio regular, con Juanete Izquierdo con posibilidad de recomendaciones a futuro.</t>
  </si>
  <si>
    <t>AMADO SEGUNDO CARVAJAL ROMAN</t>
  </si>
  <si>
    <t>RUBEN DARIO MEJIA GONZALEZ</t>
  </si>
  <si>
    <t>con antecedente de Cirugia de columna por hernia discal hace 17 meses ademas con Obesidad, aunque este asintomatico en el momento no lo consideraria buen candidato por las posibles consecuencias a futurocon antecedente de Cirugia de columna por hernia discal hace 17 meses ademas con Obesidad, aunque este asintomatico en el momento no lo consideraria buen candidato por las posibles consecuencias a futuro</t>
  </si>
  <si>
    <t>Coordinador Campo  Supernumerario</t>
  </si>
  <si>
    <t>CARLOS ANDRES GONZALEZ GARCIA</t>
  </si>
  <si>
    <t>muy leve eosinofilia para estudiar después</t>
  </si>
  <si>
    <t>NANCY ESTELA BEDOYA CORREA</t>
  </si>
  <si>
    <t>con Obesidad IMC de 33, + Juanetes bilaterales con posibilidad de recomendaciones a futuro. Los Pterigios no son inconveniente</t>
  </si>
  <si>
    <t>OLMAN MULASCO CORCHO</t>
  </si>
  <si>
    <t>con alteración de su Hemograma, repetirlo en 8 días, la patologia de codo fue por accidente ¿?</t>
  </si>
  <si>
    <t>YIMMY ALBERTO HERNANDEZ RESTREPO</t>
  </si>
  <si>
    <t>JUAN AGUSTIN MEDRANO GARCES</t>
  </si>
  <si>
    <t>JUAN DANIEL SANCHEZ HERNANDEZ</t>
  </si>
  <si>
    <t>Aprendiz Ayudante Agricultor</t>
  </si>
  <si>
    <t>BANANAL 1????</t>
  </si>
  <si>
    <t>JUSTO MIGUEL SANCHEZ OROZCO</t>
  </si>
  <si>
    <t>DIVIER DE JESUS MARTINEZ ZAPATA</t>
  </si>
  <si>
    <t>con varicocele bilateral, incapacidad corta con recomendaciones por 2 meses</t>
  </si>
  <si>
    <t>con patologia visual por ojo derecho la cual no se especifica, refieren vision borrosa desde la infancia. Suponiendo vision buena ojo unico no me parece buen candidato</t>
  </si>
  <si>
    <t>Desmache - Fomy - Miss - Fumigación</t>
  </si>
  <si>
    <t>JUAN DAVID OCHOA MERCADO</t>
  </si>
  <si>
    <t>CARLOS JOHAN BELLO GONZALEZ</t>
  </si>
  <si>
    <t>JUAN SEBASTIAN MENA AGUDELO</t>
  </si>
  <si>
    <t>DANIEL ALLIN TUBERQUIA</t>
  </si>
  <si>
    <t>con antecedente de cirugia de craneo con posibilidades de alteraciones neuropsicologicas a futuro, no lo recomendaria</t>
  </si>
  <si>
    <t>ERIC MANUEL LOPEZ VILORIA</t>
  </si>
  <si>
    <t>con sobrepeso (IMC 25,9), estilos de vida saludables dieta y ejercicio regular.</t>
  </si>
  <si>
    <t>con sobrepeso (IMC 25,8), estilos de vida saludables dieta y ejercicio regular, ademas con Juanetes bilaterales con posibilidad de recomendaciones a futuro.</t>
  </si>
  <si>
    <t>Embolse - Amarre - Fomy</t>
  </si>
  <si>
    <t>JOSE CARLOS PEÑA CARDENAS</t>
  </si>
  <si>
    <t>WILMAR ANAYA ARTEAGA</t>
  </si>
  <si>
    <t>Patología de piel de manejo por EPS. Ingreso PVE Visual</t>
  </si>
  <si>
    <t>YORLEIDIS ESTHER PASSOS PASTRANA</t>
  </si>
  <si>
    <t>JOSE LEONARDO LEAL PEÑA</t>
  </si>
  <si>
    <t>Empaque - Fomy - Paletizado</t>
  </si>
  <si>
    <t>CRISTIAN CAMILO ZULETA CARDENAS</t>
  </si>
  <si>
    <t>Patología de piel de manejo por EPS. Juanetes bilaterales con posibilidad de recomendaciones a futuro.</t>
  </si>
  <si>
    <t>DIVIER ENRIQUE ARAUJO CHARIZ</t>
  </si>
  <si>
    <t>con secuelas de fractura de codo con limitacion en la movilidad y engrosamiento del epicondilo lo que lo hace mas suceptible a patologia del codo</t>
  </si>
  <si>
    <t>Antecedente por Fx con limitaciones</t>
  </si>
  <si>
    <t>CM47</t>
  </si>
  <si>
    <t>LAURA VANESSA BLANCO BOLIVAR</t>
  </si>
  <si>
    <t>con antecedente de asma y ademas amenorrea sin planificacion. No la consideraria buen candidato</t>
  </si>
  <si>
    <t>ROBINSON MOSQUERA AGUILAR</t>
  </si>
  <si>
    <t>eosinofilia para estudiar después, ademas sobrepeso IMC 28 (97 kg), estilos de vida saludables dieta y ejercicio regular.</t>
  </si>
  <si>
    <t>JUAN DAVID OREJUELA MOSQUERA</t>
  </si>
  <si>
    <t>Trabajador con alteración en su hemograma repetirlo en 8 días. Debemos averiguar de donde fue la tenorrafia que le hicieron, su origen y si tiene secuelas</t>
  </si>
  <si>
    <t>LUIS FERNANDO RUIZ ALIAN</t>
  </si>
  <si>
    <t>LUIS ALBERTO CUABA CORDOBA</t>
  </si>
  <si>
    <t>Amarre - Fumigacion</t>
  </si>
  <si>
    <t>Trabajador con Obesidad</t>
  </si>
  <si>
    <t>Aprendiz sena ( COSECHA -EMPAQUE )????</t>
  </si>
  <si>
    <t>Persiste leve anemia, ver y definir en periodo de prueba</t>
  </si>
  <si>
    <t>LUIS MIGUEL POLO MANJARRES</t>
  </si>
  <si>
    <t>Trabajador sin inconvenientes.</t>
  </si>
  <si>
    <t>Clasificacion - Sello</t>
  </si>
  <si>
    <t xml:space="preserve">
Trabajador con alteración de su Hemograma, anemia leve repetirlo en 8 días. Trabajador con Juanetes bilaterales con posibilidad de recomendaciones a futuro.</t>
  </si>
  <si>
    <t>JULISA ANDREA SOLORZANO ARBOLEDA</t>
  </si>
  <si>
    <t>Supervision actividades bananeras</t>
  </si>
  <si>
    <t xml:space="preserve">
Trabajador con eosinofilia para estudiar después, con Juanetes bilaterales con posibilidad de recomendaciones a futuro.</t>
  </si>
  <si>
    <t>KELLY JOHANA MUÑOZ ESTRADA</t>
  </si>
  <si>
    <t>Asistente Archivo</t>
  </si>
  <si>
    <t xml:space="preserve">
Trabajador con sobrepeso, estilos de vida saludables dieta y ejercicio regular.</t>
  </si>
  <si>
    <t>EDUARDO JOSE PEREIRA CASTRO</t>
  </si>
  <si>
    <t xml:space="preserve">
Trabajador con Juanetes bilaterales con posibilidad de recomendaciones a futuro.</t>
  </si>
  <si>
    <t>JHON JAIRO SEQUEDA GUEVARA</t>
  </si>
  <si>
    <t>Fomy-Fumigación-Embolse</t>
  </si>
  <si>
    <t xml:space="preserve">
Trabajador con alteración de su Hemograma, repetirlo en 8 días, ademas Hernia umbilical</t>
  </si>
  <si>
    <t>DIEGO ANDRES GUILLIN CORREA</t>
  </si>
  <si>
    <t>Embolse- Amarre- Desmane</t>
  </si>
  <si>
    <t>ALEXANDER AVILA ARCIA</t>
  </si>
  <si>
    <t>Trabajador con eosinofilia para estudiar después.</t>
  </si>
  <si>
    <t>VALERY ROMAÑA AREIZA</t>
  </si>
  <si>
    <t>Gestión Administrativa</t>
  </si>
  <si>
    <t>Trabajadora con patología de piel secundaria a picaduras de incectos por el momento de manejo por EPS, ademas hernia supraumbilical pequeña, creo por el aprendizaje no habria inconvenientes.</t>
  </si>
  <si>
    <t>Trabajador sin inconvenientes. Los Pterigios no son problema</t>
  </si>
  <si>
    <t>DIANA MILENA GARCIA</t>
  </si>
  <si>
    <t>CARLOS FIDEL PEDROZA JULIO</t>
  </si>
  <si>
    <t>Trabajador con alteración de su Hemograma, repetirlo en 8 días</t>
  </si>
  <si>
    <t>DIEGO ANDRES JARAMILLO URIBE</t>
  </si>
  <si>
    <t xml:space="preserve">
Trabajador con muy leve eosinofilia para estudiar después, ademas sobrepeso, estilos de vida saludables dieta y ejercicio regular.</t>
  </si>
  <si>
    <t>YERALDIN CAROLINA RAMIREZ BARRETO</t>
  </si>
  <si>
    <t>ELIZABETH MOSQUERA CHARRASQUIE</t>
  </si>
  <si>
    <t>Tecnico en asistencia en organización de archivos</t>
  </si>
  <si>
    <t>YERLY ANDREA CASILIMAS JARAMILLO</t>
  </si>
  <si>
    <t>Tecnico en asistencia administrativa</t>
  </si>
  <si>
    <t> 71946119</t>
  </si>
  <si>
    <t>JOHN DIDIER GALLEGO RENDON</t>
  </si>
  <si>
    <t>Coordinador de empacadora</t>
  </si>
  <si>
    <t>Secuelas de fractura de clavicula que para el cargo no es relevante</t>
  </si>
  <si>
    <t>LUDIS ROSA LICONA BERRIO</t>
  </si>
  <si>
    <t>Trabajador con alteración de su Hemograma (anemia cronica de 5 años no corregida), repetirlo en 30 días ya que no creo que mejore antes de este lapso de tiempo.</t>
  </si>
  <si>
    <t>DEIVIS LOPEZ MARTINEZ</t>
  </si>
  <si>
    <t>Trabajador con alteración de su Hemograma anemia, repetirlo en 8 días. Sobrepeso, estilos de vida saludables dieta y ejercicio regular.</t>
  </si>
  <si>
    <t>CARMEN ESTHER MILANES VERTEL</t>
  </si>
  <si>
    <t>MONICA JIMENEZ GARCIA</t>
  </si>
  <si>
    <t>Clasificacion -sello - empaque</t>
  </si>
  <si>
    <t>LUIS SEBASTIAN CABALLERO MOLINA</t>
  </si>
  <si>
    <t>MAURICIO SANCHEZ PEREZ</t>
  </si>
  <si>
    <t>JEAN CARLOS PALENCIA PITALUA</t>
  </si>
  <si>
    <t>Foamy - Puyero</t>
  </si>
  <si>
    <t xml:space="preserve">Ayudante de agricultura  </t>
  </si>
  <si>
    <t>FLORENTINO BOHORQUEZ SALGADO</t>
  </si>
  <si>
    <t>JHAN CARLOS HERNANDEZ LOPEZ</t>
  </si>
  <si>
    <t>ELIANA PATRICIA PEÑATA LAZARO</t>
  </si>
  <si>
    <t>Sello - Selección- Empaque</t>
  </si>
  <si>
    <t>CAROLINA BANQUET ANGARITA</t>
  </si>
  <si>
    <t>MARTHA REGINA CASTAÑO JIMENEZ</t>
  </si>
  <si>
    <t>con eosinofilia para estudiar después, con Juanetes bilaterales con posibilidad de recomendaciones a futuro</t>
  </si>
  <si>
    <t>ALBERTO ANTONIO SOTELO PADILLA</t>
  </si>
  <si>
    <t>ANTONIO VELASQUEZ DURANGO</t>
  </si>
  <si>
    <t>ARCAIDO JOSE ZUÑIGA AVILA</t>
  </si>
  <si>
    <t>ARLEISON DAVID RIVAS MURILLO</t>
  </si>
  <si>
    <t>CRISTOBAL BERRIO TATIS</t>
  </si>
  <si>
    <t>EMERSON SEREN RAMOS</t>
  </si>
  <si>
    <t>GILBERTO VILLA CARDENAS</t>
  </si>
  <si>
    <t>JHAN CARLOS SANCHEZ ARRIETA</t>
  </si>
  <si>
    <t>JHON ROGER RAMOS CORDOBA</t>
  </si>
  <si>
    <t>JUAN CARLOS TORO MUÑOZ</t>
  </si>
  <si>
    <t>LUIS ALFREDO FUENTES MENDOZA</t>
  </si>
  <si>
    <t>MARIO FERNANDO OSUNA MORA</t>
  </si>
  <si>
    <t>SERGIO TORDECILLA TORRES</t>
  </si>
  <si>
    <t>YOHELIS MORELO CUESTA</t>
  </si>
  <si>
    <t>Aprendiz fumigación</t>
  </si>
  <si>
    <t>Embolse - Fomi - Amarre</t>
  </si>
  <si>
    <t>Embolse - Fomi - Fumigación</t>
  </si>
  <si>
    <t>Fomi</t>
  </si>
  <si>
    <t>Embolse - fomi</t>
  </si>
  <si>
    <t>Fomi - Selección</t>
  </si>
  <si>
    <t>Fomi - Amarre</t>
  </si>
  <si>
    <t>Coordinadora Empacadora</t>
  </si>
  <si>
    <t>Aprendiz fomi - miss</t>
  </si>
  <si>
    <t>Técnico Asistencia Organización Archivos</t>
  </si>
  <si>
    <t>sobrepeso, estilos de vida saludables dieta y ejercicio regular. Patología de piel de manejo por EPS. Secuelas de trauma en indice derecho</t>
  </si>
  <si>
    <t>con gran sobrepeso (IMC 29,6), estilos de vida saludables dieta y ejercicio regular.</t>
  </si>
  <si>
    <t>sin inconvenientes, los Pterigios no son problema</t>
  </si>
  <si>
    <t>Trabajador con Diabetes tipo II, Hipertension y Sobrepeso, estilos de vida saludables dieta y ejercicio regular. Verificar si cumple requisitos de pension. Autorizó vinculación Edwin Gonzalez</t>
  </si>
  <si>
    <t>con antecedente de cirugia de rodilla que asociado al sobrepeso es una futura artrosis de rodilla, no me parece buen candidato.</t>
  </si>
  <si>
    <t>Obesidad, Diabetes y con HTD, no lo consideraria buen candidato</t>
  </si>
  <si>
    <t>con eosinofilia para estudiar después, Juanetes bilaterales con posibilidad de recomendaciones a futuro. Los Pterigios no son inconveniente.</t>
  </si>
  <si>
    <t>persiste con alteración de su Hemograma, anemia leve. Trabajador con Juanetes bilaterales con posibilidad de recomendaciones a futuro</t>
  </si>
  <si>
    <t>mejoro su hemograma, persiste hernia umbilical pequeña. Se averiguo la patologia del codo cual fue el origen y hace cuanto ¿?</t>
  </si>
  <si>
    <t>persiste anemia leve</t>
  </si>
  <si>
    <t>con eosinofilia para estudiar después, con sobrepeso IMC 25,0 (74 kg de peso), estilos de vida saludables dieta y ejercicio regular. Patología de piel de manejo por EPS. Miopia y debera usar lentes</t>
  </si>
  <si>
    <t>sobrepeso IMC 27,0 (peso 80 kg), estilos de vida saludables dieta y ejercicio regular.</t>
  </si>
  <si>
    <t xml:space="preserve">eosinofilia para estudiar después, ADEMAS sobrepeso IMC 28,1 (85 kg), estilos de vida saludables dieta y ejercicio regular.
 </t>
  </si>
  <si>
    <t>MANUEL ENRIQUE URANGO MARTINEZ</t>
  </si>
  <si>
    <t>Embolse - Desmache - Fumigación</t>
  </si>
  <si>
    <t>con Presbicia requiere de lentes correctivos para vision cercana. Ingreso PVE Visual</t>
  </si>
  <si>
    <t>MANUEL ANTONIO POSSO ROJAS</t>
  </si>
  <si>
    <t>con Juanetes bilaterales con posibilidad de recomendaciones a futuro. Los Pterigios no son inconveniente</t>
  </si>
  <si>
    <t>JOSE LUIS LONDOÑO MEDRANO</t>
  </si>
  <si>
    <t>JOSE ALBERTO ASPRILLA CORDOBA </t>
  </si>
  <si>
    <t>LUDIS BERRIO BOHORQUEZ</t>
  </si>
  <si>
    <t>con patología de piel Dermatitia de manejo por EPS pero seria muy bueno su origen no sea que resulte alergica a algun producto usado</t>
  </si>
  <si>
    <t>ANDRES FELIPE SANCHEZ ALVAREZ</t>
  </si>
  <si>
    <t>LADYS CECILIA JULIO TUBERQUIA</t>
  </si>
  <si>
    <t>Técnico Cultivos Agrícolas</t>
  </si>
  <si>
    <t>CESAR ANIBAL BLANCO SALCEDO</t>
  </si>
  <si>
    <t xml:space="preserve">ANGEL LUIS GOMEZ TEHERAN </t>
  </si>
  <si>
    <t>WILBER LUIS SOTELO CORCHO</t>
  </si>
  <si>
    <t>JUAN CARLOS TORO MUÑOZ</t>
  </si>
  <si>
    <t>JHAN CARLOS HERNANDEZ LOPEZ</t>
  </si>
  <si>
    <t>HECTOR DAVID JIMENEZ MISAL</t>
  </si>
  <si>
    <t>JORGE LUIS ALTAMIRANDA URANGO</t>
  </si>
  <si>
    <t>Aprendiz Amarre - Mantenimiento Resiembra</t>
  </si>
  <si>
    <t>JUVER LUIS JIMENEZ SUAREZ</t>
  </si>
  <si>
    <t>con hallazgos en rodilla, no es buen candidato</t>
  </si>
  <si>
    <t>ARLEY DE JESUS BENITEZ MARIMON</t>
  </si>
  <si>
    <t>con eosinofilia para estudiar después. Presenta hernia umbilical que lo restringe para manipular carga superior a 15 kg hasta tanto no se le opere. Incapacidad corta y RML por 2 meses</t>
  </si>
  <si>
    <t>Hernia umbilical incap 2 sem y RML 2 meses</t>
  </si>
  <si>
    <t>SERGIO LUIS MONTES TORRES</t>
  </si>
  <si>
    <t>FREDY DE JESUS RAMOS CORDERO</t>
  </si>
  <si>
    <t>DANIEL DAVID CAUSIL MARTINEZ</t>
  </si>
  <si>
    <t>Embolse - Fomi - Aprendiz Empaque</t>
  </si>
  <si>
    <t>JEIMAR YESID HERRERA MADRID</t>
  </si>
  <si>
    <t>con pequeña hernia umbilical con incapacidad POP de dos semanas y RML por dos meses</t>
  </si>
  <si>
    <t>LEIDER ORLANDO RAMIREZ HERNANDEZ</t>
  </si>
  <si>
    <t>CARLOS ANDRES LOPEZ MORALES</t>
  </si>
  <si>
    <t>con gran sobrepeso (IMC 29,6) , estilos de vida saludables dieta y ejercicio regular.</t>
  </si>
  <si>
    <t>Fertilización - Mantenimiento</t>
  </si>
  <si>
    <t>JOSE DAVD RAMOS ZABALA</t>
  </si>
  <si>
    <t>con sobrepeso, estilos de vida saludables dieta y ejercicio regular, con Juanetes bilaterales con posibilidad de recomendaciones a futuro.</t>
  </si>
  <si>
    <t>BARTOLO BARRIOS LICONA</t>
  </si>
  <si>
    <t>FRANSISCO JAVIER GONZALEZ NARVAEZ</t>
  </si>
  <si>
    <t>con eosinofilia para estudiar después. Patología de piel de manejo por EPS.</t>
  </si>
  <si>
    <t>JOSE FERNANDO RAMOS BEDOYA</t>
  </si>
  <si>
    <t>YEISON ARLEY ANDRADE MENA</t>
  </si>
  <si>
    <t xml:space="preserve">Embolse - Fomi </t>
  </si>
  <si>
    <t>Selección -sello - empaque</t>
  </si>
  <si>
    <t>persiste su anemia.</t>
  </si>
  <si>
    <t>LUIS EDUARDO BURGOS MIRANDA</t>
  </si>
  <si>
    <t>Embolse - Amarre - Aprendiz Empaque</t>
  </si>
  <si>
    <t>DUBAN ANDRES CORCHO REYES</t>
  </si>
  <si>
    <t>LUIS JAVIER TEHERAN REYES</t>
  </si>
  <si>
    <t>JOHANATAN ALBERTO ASPRILLA PALACIOS</t>
  </si>
  <si>
    <t>Embolse - Fomi - Deshoje</t>
  </si>
  <si>
    <t>YAMILE GOMEZ VARELA</t>
  </si>
  <si>
    <t>Gestión Empresa Agropecuaria</t>
  </si>
  <si>
    <t>con antecedentes de fractuda de antebrazo y ademas deformidad en rodilla. No me parece buen candidato</t>
  </si>
  <si>
    <t xml:space="preserve">Empaque - Fomi </t>
  </si>
  <si>
    <t>YEIMER PRIETO GONZALEZ</t>
  </si>
  <si>
    <t>con sobrepeso, estilos de vida saludables dieta y ejercicio regular, Juanetes bilaterales con posibilidad de recomendaciones a futuro. Presenta una pequeña hernia umbilical incapacidad corta y las recomendaciones maximo dos  meses mas</t>
  </si>
  <si>
    <t>CANDELARIO GONZALEZ BERRIO</t>
  </si>
  <si>
    <t>LUIS ALBERTO GORDON ANAYA</t>
  </si>
  <si>
    <t>Fomi - Fumigación</t>
  </si>
  <si>
    <t>JORGE LUIS SANCHEZ ALVAREZ</t>
  </si>
  <si>
    <t>con sobrepeso IMC 26 (77 kg), estilos de vida saludables dieta y ejercicio regular.</t>
  </si>
  <si>
    <t>con leve eosinofilia para estudiar después. con sobrepeso IMC 26,1 (peso 80 kg), estilos de vida saludables dieta y ejercicio regular. Ingreso al PVE Visual</t>
  </si>
  <si>
    <t>JOSE LUIS LONDOÑO MEDRANO</t>
  </si>
  <si>
    <t>JOSE ALBERTO ASPRILLA CORDOBA</t>
  </si>
  <si>
    <t>MARTHA REGINA CASTAÑO JIMENEZ</t>
  </si>
  <si>
    <t>REYNALDO RODRIGUEZ ALVAREZ</t>
  </si>
  <si>
    <t>con gran alteración de su Hemograma, que por los resultados diria que es mejor no</t>
  </si>
  <si>
    <t>DEIMY LUZ CONDE JIMENEZ</t>
  </si>
  <si>
    <t>RAFAEL ENRIQUE GIL REYES</t>
  </si>
  <si>
    <t>ALFREDO SEGUNDO MESTRA PADILLA</t>
  </si>
  <si>
    <t>YONYS CUELLO CORDOBA</t>
  </si>
  <si>
    <t>con sobrepeso, estilos de vida saludables dieta y ejercicio regular. Hernia umbilical, incapacidad de aprox 2 semanas y RML por dos meses</t>
  </si>
  <si>
    <t>Fumigación - Foamy</t>
  </si>
  <si>
    <t>ESLEYDER BAUTISTA MANCO</t>
  </si>
  <si>
    <t>Trabajador con eosinofilia para estudiar después y  con sobrepeso, estilos de vida saludables dieta y ejercicio regular. Hernia puntiforme umbilical</t>
  </si>
  <si>
    <t>DANIEL ENRIQUE BOLAÑOS JULIO</t>
  </si>
  <si>
    <t>RUBEN DARIO HERNANDEZ</t>
  </si>
  <si>
    <t>Con sobrepeso, estilos de vida saludables dieta y ejercicio regular. Pequeña hernia umbilical puntiforme asintomatica. Ingresar PVE Visual</t>
  </si>
  <si>
    <t>NANCY MILENA HERNANDEZ BENITEZ</t>
  </si>
  <si>
    <t>Selección - Sello - Aprendiz Empaque</t>
  </si>
  <si>
    <t>ARLEY CASTILLO ESTRADA</t>
  </si>
  <si>
    <t>Embolse - Amarre - Empaque</t>
  </si>
  <si>
    <t>NURIS DEL CARMEN LOPEZ PATERNINA</t>
  </si>
  <si>
    <t>Sello - Desmane - Empaque</t>
  </si>
  <si>
    <t>Con antecedente de fractura de muñeca con posibilidades de desarrollar sindrome del tunel del carpo</t>
  </si>
  <si>
    <t>Foamy - Clasificación</t>
  </si>
  <si>
    <t>JOHAN ANDRES VALENCIA SALINAS</t>
  </si>
  <si>
    <t>MAIRA ALEJANDRA SANCHEZ ARAUJO</t>
  </si>
  <si>
    <t>TATIANA BLANDON HURTADO</t>
  </si>
  <si>
    <t>JUAN CAMILO CARDENAS MARTINEZ</t>
  </si>
  <si>
    <t>RAUL HUMBERTO PEREIRA URANGO</t>
  </si>
  <si>
    <t>LUIS CARLOS VILLAR OSORIO</t>
  </si>
  <si>
    <t>Embolse - Clasificación - Fumigación</t>
  </si>
  <si>
    <t>Embolse - Desflore - Fumigación</t>
  </si>
  <si>
    <t>PEDRO ALEJANDRO LOPEZ MEDINA</t>
  </si>
  <si>
    <t>con gran sobrepeso (IMC 29,4), estilos de vida saludables dieta y ejercicio regular.. Los Pterigios no son inconveniente</t>
  </si>
  <si>
    <t>LUIS CARLOS BORJA DEL TORO</t>
  </si>
  <si>
    <t>Producción Agrícola</t>
  </si>
  <si>
    <t>JOSE MIGUEL JIMENEZ RACERO</t>
  </si>
  <si>
    <t>Embolse - Fumigación</t>
  </si>
  <si>
    <t>CARLOS ANDRES MAROMON MADERA</t>
  </si>
  <si>
    <t>Aprendiz Fomi - Mantenimiento Resiembras</t>
  </si>
  <si>
    <t>CRISTIAN FABIAN SANCHEZ DURANGO</t>
  </si>
  <si>
    <t>Selección - Fomi</t>
  </si>
  <si>
    <t>KATERIN MEZA LARGO</t>
  </si>
  <si>
    <t>Tener en cuenta que la trabajadora tiene rinitis activa en tratamiento, podria tener inconvenientes con el aire acondicionado de las oficinas y ni decir si sale al campo a exponerse a los agroquimicos</t>
  </si>
  <si>
    <t>JHONATAN MISAL DIAZ</t>
  </si>
  <si>
    <t>Embolse - Amarre - Fomi</t>
  </si>
  <si>
    <t>YONAI CONTRERAS HERRON</t>
  </si>
  <si>
    <t>JOSE ALEJANDRO VARGAS HERNANDEZ</t>
  </si>
  <si>
    <t>persiste con alteración de su Hemograma (Anemia)</t>
  </si>
  <si>
    <t>JUAN PABLO PEREZ FRANCO</t>
  </si>
  <si>
    <t>con sobrepeso IMC 25,8 )peso 66 kg), estilos de vida saludables dieta y ejercicio regular. Patología de piel de manejo por EPS</t>
  </si>
  <si>
    <t>eosinofilia para estudiar después, sobrepeso IMC 26,8 (peso 86 kg), estilos de vida saludables dieta y ejercicio regular.</t>
  </si>
  <si>
    <t>Obesidad IMC 32,9 peso 95 kg</t>
  </si>
  <si>
    <t>CONCEPTO3</t>
  </si>
  <si>
    <t>LUIS ALBERTO RAMOS CARDONA</t>
  </si>
  <si>
    <t>eosinofilia para estudiar después, sobrepeso, estilos de vida saludables dieta y ejercicio regular.</t>
  </si>
  <si>
    <t>Técnico Producción Agrícola</t>
  </si>
  <si>
    <t>Técnico Organización Archivo</t>
  </si>
  <si>
    <t>persiste con alteración de su Hemograma anemia sin cambios</t>
  </si>
  <si>
    <t>OSCAR DAVID CORREA PEÑA</t>
  </si>
  <si>
    <t>Fomi -Fumigación</t>
  </si>
  <si>
    <t xml:space="preserve"> LUIS HERNANDO TUBERQUIA MUÑOZ</t>
  </si>
  <si>
    <t>ARLEY DE JESUS PINEDA URREGOS</t>
  </si>
  <si>
    <t>Fomi - Deshoje</t>
  </si>
  <si>
    <t xml:space="preserve">
Trabajador con eosinofilia para estudiar después, con sobrepeso, estilos de vida saludables dieta y ejercicio regular.</t>
  </si>
  <si>
    <t>JAVIER ANTONIO ALVAREZ</t>
  </si>
  <si>
    <t>Aprendiz Fomi</t>
  </si>
  <si>
    <t>FERNANDO BARRIOS LICONA</t>
  </si>
  <si>
    <t>Leve eosinofilia para estudiar después</t>
  </si>
  <si>
    <t>NELSON HUMBERTO HIDALGO VALENCIA</t>
  </si>
  <si>
    <t>Derecho</t>
  </si>
  <si>
    <t>RAUL BLANDON SAYA</t>
  </si>
  <si>
    <t xml:space="preserve">
Trabajador con enfermedad de rodilla que lo predispone a una artrosis futura</t>
  </si>
  <si>
    <t>EDI DEL CARMEN MARTINEZ GASPAR</t>
  </si>
  <si>
    <t>Tecnico de cosecha y empaque de banano y platano</t>
  </si>
  <si>
    <t xml:space="preserve">
Trabajador con Obesidad</t>
  </si>
  <si>
    <t>Aprendiz Empaque, selección y embolse</t>
  </si>
  <si>
    <t>JORGE ELIECER MORENO COGOLLO</t>
  </si>
  <si>
    <t>ANDRES FELIPE MORA RINCON</t>
  </si>
  <si>
    <t>Aprendiz fomi, embolse y amarre</t>
  </si>
  <si>
    <t xml:space="preserve">
Trabajador con leve deformidad en rodilla con posibilidades de artrosis a futuro</t>
  </si>
  <si>
    <t>JHONATAN ANDRES MERCADO TERAN</t>
  </si>
  <si>
    <t>Aprendiz fomi - Embolse</t>
  </si>
  <si>
    <t>DIXIAN GREGORIO SANDOVAL ROJAS</t>
  </si>
  <si>
    <t>WILMAR ALEXANDER MONTOYA CASTAÑEDA</t>
  </si>
  <si>
    <t>LUZ YUHANY CAVADIA LOZANO</t>
  </si>
  <si>
    <t xml:space="preserve">
Trabajador con alteración de su Hemograma, repetirlo en 15 días</t>
  </si>
  <si>
    <t xml:space="preserve"> FREDY LEON GARCES </t>
  </si>
  <si>
    <t>Trabajador con patologia ocular de la cual no hizo referencia al interrogatorio inicial, que no me deja tranquilo</t>
  </si>
  <si>
    <t>Fumigación- Miss</t>
  </si>
  <si>
    <t>YERLIN ENQRIQUE PAYARES DIAZ</t>
  </si>
  <si>
    <t>Amarre - Fumigación</t>
  </si>
  <si>
    <t>JORGE LUIS CASTRO SOTO</t>
  </si>
  <si>
    <t>OSCAR DAVID BERROCAL AYALA</t>
  </si>
  <si>
    <t>petra</t>
  </si>
  <si>
    <t xml:space="preserve">
Trabajador con alteración de su Hemograma, repetirlo en 15 días</t>
  </si>
  <si>
    <t>JUAN DAVID PETRO AVILES</t>
  </si>
  <si>
    <t>OSNAIDER ARRIETA VILLANEDA</t>
  </si>
  <si>
    <t>JHAN CARLOS PRETELT GUTIERREZ</t>
  </si>
  <si>
    <t>CARLOS DAVID MARTINEZ NAVARRO</t>
  </si>
  <si>
    <t>Miss - Fomi</t>
  </si>
  <si>
    <t xml:space="preserve">
Trabajador con una hernia grande la cual ya fue intervenida quirurgicamente pero presenta recidiva, esto sumado a su corta edad en un futuro podria tener inconvenientes con recomendaciones permanentes</t>
  </si>
  <si>
    <t>JUAN ALBERTO MARQUEZ MIRANDA</t>
  </si>
  <si>
    <t>MANUEL DE JESUS ANAYA MACEA</t>
  </si>
  <si>
    <t>ANDERSON GOMEZ NIAZA</t>
  </si>
  <si>
    <t xml:space="preserve">
Trabajador con sobrepeso, estilos de vida saludables dieta y ejercicio regular, Juanetes bilaterales con posibilidad de recomendaciones a futuro.</t>
  </si>
  <si>
    <t>BELKYS BLANDON SAYA</t>
  </si>
  <si>
    <t>DUVAN LOPEZ MARTINEZ</t>
  </si>
  <si>
    <t xml:space="preserve">
Trabajador con sobrepeso, estilos de vida saludables dieta y ejercicio regular. Queda pendiente las colinesterasas</t>
  </si>
  <si>
    <t>YESSICA ALEJANDRA ECHEVERRI JIMENEZ</t>
  </si>
  <si>
    <t>MANUEL RENTERIA MARTINEZ</t>
  </si>
  <si>
    <t>Selección - Desmane</t>
  </si>
  <si>
    <t>Trabajador con gran sobrepeso (IMC 29,4), estilos de vida saludables dieta y ejercicio regular.</t>
  </si>
  <si>
    <t xml:space="preserve">Trabajador con muy leve mejoria pero aun alteración de su Hemograma Anemia. </t>
  </si>
  <si>
    <t>con eosinofilia para estudiar después, con sobrepeso IMC 24,2 (74 kg peso), estilos de vida saludables dieta y ejercicio regular</t>
  </si>
  <si>
    <t>ANNY YANETH RENTERIA COSSIO</t>
  </si>
  <si>
    <t>JAVIER ALBERTO PARRA GARCIA</t>
  </si>
  <si>
    <t>LUIS ENRIQUE LAMBERTINEZ USUGA</t>
  </si>
  <si>
    <t>??????</t>
  </si>
  <si>
    <t>JUAN CAMILO BORJA GUISAO</t>
  </si>
  <si>
    <t>con sobrepeso, estilos de vida saludables dieta y ejercicio regular. Pequeña hernia umbilical, incapacidad postquirurgica de aprox dos semanas y las recomendaciones por 2 meses</t>
  </si>
  <si>
    <t>Fomi - Embolse - Selección - Fumigación</t>
  </si>
  <si>
    <t>JOSE DAVID ARGEL URRUTIA</t>
  </si>
  <si>
    <t>con eosinofilia para estudiar después. Se le encontro unas cifras de presion arterial por encima de lo normal, por lo que debera ir a su EPS para toma seriada de presuion arterial</t>
  </si>
  <si>
    <t>EDIER CIPRIAN CHAMORRO</t>
  </si>
  <si>
    <t>KELLY JOHANNA PALACIOS IBAÑEZ</t>
  </si>
  <si>
    <t>CRISTIAN CAMILO SALAS CASAMA</t>
  </si>
  <si>
    <t>con hernia umbilical pequeña, pop de aproximadamente 15 dias y RML por dos meses</t>
  </si>
  <si>
    <t>JAIDER ENRIQUE ORTIZ AMOR</t>
  </si>
  <si>
    <t>JOHANCY MAQUILON CHALA</t>
  </si>
  <si>
    <t>con sobrepeso, estilos de vida saludables dieta y ejercicio regular. Patología de piel de manejo por EPS.</t>
  </si>
  <si>
    <t>HERNÁN HERNÁNDEZ LENIS</t>
  </si>
  <si>
    <t>ARNOVYS OVER LOPEZ ESPITIA</t>
  </si>
  <si>
    <t>Amarre- Embolse</t>
  </si>
  <si>
    <t xml:space="preserve">DANILO DORIA RAMIREZ </t>
  </si>
  <si>
    <t>Trabajador con eosinofilia para estudiar después. Los Pterigios no son inconveniente.</t>
  </si>
  <si>
    <t xml:space="preserve"> IVAN DAVID AVILA PEREIRA</t>
  </si>
  <si>
    <t>YONY MANUEL POLO OVIEDO</t>
  </si>
  <si>
    <t xml:space="preserve">
Trabajador con pequeña hernia puntiforme que por el momento no le generaria inconvenientes, con Juanetes bilaterales con posibilidad de recomendaciones a futuro. Los Pterigios no son inconveniente.</t>
  </si>
  <si>
    <t>NEIDER ALBERTO MARTINEZ LICONA</t>
  </si>
  <si>
    <t>Embolse- Fomi</t>
  </si>
  <si>
    <t>Trabajador con eosinofilia para estudiar después. Estrabismo ingreso PVE Visual</t>
  </si>
  <si>
    <t>CAMILO ANDRES TRUJILLO</t>
  </si>
  <si>
    <t>MANUELA DEL CARMEN ESPITIA SOLIPAS</t>
  </si>
  <si>
    <t>Tecnico Cultivos Agricolas</t>
  </si>
  <si>
    <t>JABINSON JINDRAMA SARCO</t>
  </si>
  <si>
    <t>El turno es mio - Dual</t>
  </si>
  <si>
    <t>LUISA FERNANDA JALAL RODRIGUEZ</t>
  </si>
  <si>
    <t>Gestion Empresas Agropecuarias</t>
  </si>
  <si>
    <t>YAIRIS JANETH COGOLLO LOPEZ</t>
  </si>
  <si>
    <t>Trabajador que persiste con alteración de su Hemograma.</t>
  </si>
  <si>
    <t>Analista Información</t>
  </si>
  <si>
    <t>Administración SST</t>
  </si>
  <si>
    <t>Auxiliar Medio Ambiente</t>
  </si>
  <si>
    <t>SN Coordinador Empacadora</t>
  </si>
  <si>
    <t>WENDY TATIANA BAENA COHA</t>
  </si>
  <si>
    <t>EDWAR FERNEY MORENO FUENTES</t>
  </si>
  <si>
    <t>DEIVER JOSE ORTIZ PATERNINA</t>
  </si>
  <si>
    <t>Aprendiz Fomi - Embolse</t>
  </si>
  <si>
    <t>DAYHAN SMIT NIAZA HANIPE</t>
  </si>
  <si>
    <t>JHON JAMES AGUDELO CASTAÑEDA</t>
  </si>
  <si>
    <t>HERNAN JOSE JULIO TORRES</t>
  </si>
  <si>
    <t>con eosinofilia para estudiar después. Juanetes bilaterales con posibilidad de recomendaciones a futuro</t>
  </si>
  <si>
    <t>Fomi - Fumigador</t>
  </si>
  <si>
    <t>EDUAR JOSE BUSTAMANTE MONTOYA</t>
  </si>
  <si>
    <t>Aprendiz Embolse- Fomi</t>
  </si>
  <si>
    <t>DIDIER ELIECER MORENO GOMEZ</t>
  </si>
  <si>
    <t>con eosinofilia para estudiar después, con sobrepeso IMC 25,4 (peso 75 kg), estilos de vida saludables dieta y ejercicio regular. Los Pterigios no son inconveniente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</si>
</sst>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b/>
      <sz val="11"/>
      <color theme="1"/>
      <name val="Calibri"/>
      <family val="2"/>
      <scheme val="minor"/>
    </font>
    <font>
      <b/>
      <sz val="12"/>
      <color theme="1"/>
      <name val="Arial"/>
      <family val="2"/>
    </font>
    <font>
      <sz val="12"/>
      <color theme="1"/>
      <name val="Arial"/>
      <family val="2"/>
    </font>
    <font>
      <sz val="12"/>
      <color rgb="FF000000"/>
      <name val="Arial"/>
      <family val="2"/>
    </font>
    <font>
      <b/>
      <sz val="12"/>
      <color rgb="FF000000"/>
      <name val="Arial"/>
      <family val="2"/>
    </font>
    <font>
      <sz val="11"/>
      <color theme="0"/>
      <name val="Calibri"/>
      <family val="2"/>
      <scheme val="minor"/>
    </font>
    <font>
      <sz val="11"/>
      <color rgb="FF000000"/>
      <name val="Calibri"/>
      <family val="2"/>
      <scheme val="minor"/>
    </font>
    <font>
      <u/>
      <sz val="11"/>
      <color theme="10"/>
      <name val="Calibri"/>
      <family val="2"/>
      <scheme val="minor"/>
    </font>
    <font>
      <sz val="9"/>
      <color indexed="81"/>
      <name val="Tahoma"/>
      <family val="2"/>
    </font>
    <font>
      <b/>
      <sz val="9"/>
      <color indexed="81"/>
      <name val="Tahoma"/>
      <family val="2"/>
    </font>
    <font>
      <sz val="1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92D050"/>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22E66"/>
        <bgColor indexed="64"/>
      </patternFill>
    </fill>
    <fill>
      <patternFill patternType="solid">
        <fgColor theme="7"/>
        <bgColor indexed="64"/>
      </patternFill>
    </fill>
    <fill>
      <patternFill patternType="solid">
        <fgColor theme="1" tint="0.499984740745262"/>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FF00"/>
        <bgColor indexed="64"/>
      </patternFill>
    </fill>
    <fill>
      <patternFill patternType="solid">
        <fgColor theme="4" tint="0.79998168889431442"/>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top style="thin">
        <color theme="4" tint="0.39997558519241921"/>
      </top>
      <bottom style="thin">
        <color indexed="64"/>
      </bottom>
      <diagonal/>
    </border>
    <border>
      <left style="thin">
        <color indexed="64"/>
      </left>
      <right/>
      <top style="thin">
        <color theme="4" tint="0.39997558519241921"/>
      </top>
      <bottom/>
      <diagonal/>
    </border>
  </borders>
  <cellStyleXfs count="2">
    <xf numFmtId="0" fontId="0" fillId="0" borderId="0"/>
    <xf numFmtId="0" fontId="8" fillId="0" borderId="0" applyNumberFormat="0" applyFill="0" applyBorder="0" applyAlignment="0" applyProtection="0"/>
  </cellStyleXfs>
  <cellXfs count="105">
    <xf numFmtId="0" fontId="0" fillId="0" borderId="0" xfId="0"/>
    <xf numFmtId="0" fontId="0" fillId="0" borderId="1" xfId="0" applyBorder="1"/>
    <xf numFmtId="0" fontId="0" fillId="0" borderId="1" xfId="0" applyBorder="1" applyAlignment="1">
      <alignment horizontal="left" vertical="center" wrapText="1"/>
    </xf>
    <xf numFmtId="0" fontId="0" fillId="2" borderId="1" xfId="0" applyFill="1" applyBorder="1" applyAlignment="1">
      <alignment horizontal="left" vertical="center" wrapText="1"/>
    </xf>
    <xf numFmtId="0" fontId="1" fillId="0" borderId="1" xfId="0" applyFont="1" applyBorder="1" applyAlignment="1">
      <alignment horizontal="center" vertical="center"/>
    </xf>
    <xf numFmtId="0" fontId="0" fillId="4" borderId="1" xfId="0" applyFill="1" applyBorder="1" applyAlignment="1">
      <alignment horizontal="left" vertical="center" wrapText="1"/>
    </xf>
    <xf numFmtId="0" fontId="0" fillId="4" borderId="1" xfId="0" applyFill="1" applyBorder="1"/>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14" fontId="3" fillId="0" borderId="1" xfId="0" applyNumberFormat="1" applyFont="1" applyBorder="1" applyAlignment="1">
      <alignment vertical="center" wrapText="1"/>
    </xf>
    <xf numFmtId="0" fontId="3" fillId="0" borderId="1" xfId="0" applyFont="1" applyBorder="1" applyAlignment="1">
      <alignment horizontal="left" vertical="center" wrapText="1"/>
    </xf>
    <xf numFmtId="0" fontId="3" fillId="0" borderId="1" xfId="0" applyFont="1" applyBorder="1" applyAlignment="1">
      <alignment horizontal="left" vertical="center"/>
    </xf>
    <xf numFmtId="0" fontId="3" fillId="0"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3" fillId="2" borderId="1" xfId="0" applyFont="1" applyFill="1" applyBorder="1" applyAlignment="1">
      <alignment horizontal="left" vertical="center"/>
    </xf>
    <xf numFmtId="0" fontId="3" fillId="3" borderId="1" xfId="0" applyFont="1" applyFill="1" applyBorder="1" applyAlignment="1">
      <alignment horizontal="left" vertical="center" wrapText="1"/>
    </xf>
    <xf numFmtId="14" fontId="3" fillId="2" borderId="1" xfId="0" applyNumberFormat="1" applyFont="1" applyFill="1" applyBorder="1" applyAlignment="1">
      <alignment vertical="center" wrapText="1"/>
    </xf>
    <xf numFmtId="0" fontId="3" fillId="4" borderId="1" xfId="0" applyFont="1" applyFill="1" applyBorder="1" applyAlignment="1">
      <alignment horizontal="left" vertical="center" wrapText="1"/>
    </xf>
    <xf numFmtId="0" fontId="3" fillId="4" borderId="1" xfId="0" applyFont="1" applyFill="1" applyBorder="1" applyAlignment="1">
      <alignment horizontal="left" vertical="center"/>
    </xf>
    <xf numFmtId="14" fontId="3" fillId="5" borderId="1" xfId="0" applyNumberFormat="1" applyFont="1" applyFill="1" applyBorder="1" applyAlignment="1">
      <alignment vertical="center" wrapText="1"/>
    </xf>
    <xf numFmtId="0" fontId="3" fillId="5" borderId="1" xfId="0" applyFont="1" applyFill="1" applyBorder="1" applyAlignment="1">
      <alignment horizontal="left" vertical="center" wrapText="1"/>
    </xf>
    <xf numFmtId="0" fontId="3" fillId="5" borderId="1" xfId="0" applyFont="1" applyFill="1" applyBorder="1" applyAlignment="1">
      <alignment horizontal="left" vertical="center"/>
    </xf>
    <xf numFmtId="14" fontId="3" fillId="4" borderId="1" xfId="0" applyNumberFormat="1" applyFont="1" applyFill="1" applyBorder="1" applyAlignment="1">
      <alignment vertical="center" wrapText="1"/>
    </xf>
    <xf numFmtId="0" fontId="3" fillId="0" borderId="1" xfId="0" applyFont="1" applyBorder="1"/>
    <xf numFmtId="0" fontId="3" fillId="0" borderId="1" xfId="0" applyFont="1" applyBorder="1" applyAlignment="1">
      <alignment wrapText="1"/>
    </xf>
    <xf numFmtId="0" fontId="3" fillId="0" borderId="1" xfId="0" applyFont="1" applyBorder="1" applyAlignment="1"/>
    <xf numFmtId="0" fontId="3" fillId="2" borderId="1" xfId="0" applyFont="1" applyFill="1" applyBorder="1" applyAlignment="1">
      <alignment wrapText="1"/>
    </xf>
    <xf numFmtId="14" fontId="3" fillId="0" borderId="1" xfId="0" applyNumberFormat="1" applyFont="1" applyBorder="1" applyAlignment="1">
      <alignment vertical="center"/>
    </xf>
    <xf numFmtId="0" fontId="3" fillId="2" borderId="1" xfId="0" applyFont="1" applyFill="1" applyBorder="1"/>
    <xf numFmtId="0" fontId="3" fillId="2" borderId="1" xfId="0" applyFont="1" applyFill="1" applyBorder="1" applyAlignment="1"/>
    <xf numFmtId="14" fontId="3" fillId="4" borderId="1" xfId="0" applyNumberFormat="1" applyFont="1" applyFill="1" applyBorder="1" applyAlignment="1">
      <alignment vertical="center"/>
    </xf>
    <xf numFmtId="0" fontId="3" fillId="4" borderId="1" xfId="0" applyFont="1" applyFill="1" applyBorder="1"/>
    <xf numFmtId="0" fontId="3" fillId="4" borderId="1" xfId="0" applyFont="1" applyFill="1" applyBorder="1" applyAlignment="1">
      <alignment wrapText="1"/>
    </xf>
    <xf numFmtId="0" fontId="3" fillId="4" borderId="1" xfId="0" applyFont="1" applyFill="1" applyBorder="1" applyAlignment="1"/>
    <xf numFmtId="0" fontId="3" fillId="6" borderId="1" xfId="0" applyFont="1" applyFill="1" applyBorder="1" applyAlignment="1">
      <alignment wrapText="1"/>
    </xf>
    <xf numFmtId="0" fontId="3" fillId="0" borderId="1" xfId="0" applyFont="1" applyBorder="1" applyAlignment="1">
      <alignment vertical="center"/>
    </xf>
    <xf numFmtId="0" fontId="4" fillId="0" borderId="1" xfId="0" applyFont="1" applyBorder="1" applyAlignment="1">
      <alignment vertical="center"/>
    </xf>
    <xf numFmtId="0" fontId="5" fillId="0" borderId="1" xfId="0" applyFont="1" applyBorder="1" applyAlignment="1">
      <alignment vertical="center"/>
    </xf>
    <xf numFmtId="0" fontId="4" fillId="0" borderId="1" xfId="0" applyFont="1" applyBorder="1"/>
    <xf numFmtId="0" fontId="3" fillId="7" borderId="1" xfId="0" applyFont="1" applyFill="1" applyBorder="1" applyAlignment="1"/>
    <xf numFmtId="14" fontId="3" fillId="0" borderId="1" xfId="0" applyNumberFormat="1" applyFont="1" applyBorder="1" applyAlignment="1"/>
    <xf numFmtId="14" fontId="3" fillId="5" borderId="1" xfId="0" applyNumberFormat="1" applyFont="1" applyFill="1" applyBorder="1" applyAlignment="1">
      <alignment vertical="center"/>
    </xf>
    <xf numFmtId="0" fontId="3" fillId="5" borderId="1" xfId="0" applyFont="1" applyFill="1" applyBorder="1"/>
    <xf numFmtId="0" fontId="3" fillId="5" borderId="1" xfId="0" applyFont="1" applyFill="1" applyBorder="1" applyAlignment="1">
      <alignment wrapText="1"/>
    </xf>
    <xf numFmtId="0" fontId="3" fillId="5" borderId="1" xfId="0" applyFont="1" applyFill="1" applyBorder="1" applyAlignment="1"/>
    <xf numFmtId="0" fontId="0" fillId="5" borderId="1" xfId="0" applyFill="1" applyBorder="1"/>
    <xf numFmtId="0" fontId="6" fillId="0" borderId="0" xfId="0" applyFont="1"/>
    <xf numFmtId="0" fontId="0" fillId="0" borderId="0" xfId="0" applyFont="1"/>
    <xf numFmtId="0" fontId="7" fillId="0" borderId="0" xfId="0" applyFont="1"/>
    <xf numFmtId="0" fontId="11" fillId="0" borderId="0" xfId="0" applyFont="1" applyBorder="1" applyAlignment="1">
      <alignment horizontal="left" vertical="center"/>
    </xf>
    <xf numFmtId="0" fontId="11" fillId="0" borderId="0" xfId="0" applyNumberFormat="1" applyFont="1" applyBorder="1" applyAlignment="1">
      <alignment vertical="center"/>
    </xf>
    <xf numFmtId="14" fontId="11" fillId="0" borderId="0" xfId="0" applyNumberFormat="1" applyFont="1" applyBorder="1" applyAlignment="1">
      <alignment horizontal="left" vertical="center"/>
    </xf>
    <xf numFmtId="0" fontId="11" fillId="0" borderId="0" xfId="0" applyFont="1" applyBorder="1"/>
    <xf numFmtId="0" fontId="11" fillId="0" borderId="0" xfId="0" applyFont="1" applyBorder="1" applyAlignment="1">
      <alignment vertical="center"/>
    </xf>
    <xf numFmtId="0" fontId="11" fillId="0" borderId="0" xfId="0" applyFont="1" applyFill="1" applyBorder="1" applyAlignment="1">
      <alignment horizontal="left" vertical="center"/>
    </xf>
    <xf numFmtId="14" fontId="11" fillId="14" borderId="0" xfId="0" applyNumberFormat="1" applyFont="1" applyFill="1" applyBorder="1" applyAlignment="1">
      <alignment horizontal="left" vertical="center"/>
    </xf>
    <xf numFmtId="0" fontId="11" fillId="13" borderId="0" xfId="0" applyFont="1" applyFill="1" applyBorder="1" applyAlignment="1">
      <alignment horizontal="left" vertical="center"/>
    </xf>
    <xf numFmtId="0" fontId="11" fillId="2" borderId="0" xfId="0" applyFont="1" applyFill="1" applyBorder="1" applyAlignment="1">
      <alignment horizontal="left" vertical="center"/>
    </xf>
    <xf numFmtId="0" fontId="11" fillId="0" borderId="2" xfId="0" applyFont="1" applyBorder="1" applyAlignment="1">
      <alignment horizontal="left" vertical="center"/>
    </xf>
    <xf numFmtId="0" fontId="11" fillId="0" borderId="0" xfId="0" applyFont="1"/>
    <xf numFmtId="0" fontId="11" fillId="5" borderId="0" xfId="0" applyFont="1" applyFill="1" applyBorder="1" applyAlignment="1">
      <alignment horizontal="left" vertical="center"/>
    </xf>
    <xf numFmtId="14" fontId="11" fillId="5" borderId="0" xfId="0" applyNumberFormat="1" applyFont="1" applyFill="1" applyBorder="1" applyAlignment="1">
      <alignment horizontal="left" vertical="center"/>
    </xf>
    <xf numFmtId="0" fontId="11" fillId="5" borderId="0" xfId="0" applyNumberFormat="1" applyFont="1" applyFill="1" applyBorder="1" applyAlignment="1">
      <alignment vertical="center"/>
    </xf>
    <xf numFmtId="0" fontId="11" fillId="5" borderId="0" xfId="0" applyFont="1" applyFill="1" applyBorder="1" applyAlignment="1">
      <alignment vertical="center"/>
    </xf>
    <xf numFmtId="14" fontId="11" fillId="2" borderId="0" xfId="0" applyNumberFormat="1" applyFont="1" applyFill="1" applyBorder="1" applyAlignment="1">
      <alignment horizontal="left" vertical="center"/>
    </xf>
    <xf numFmtId="0" fontId="11" fillId="2" borderId="0" xfId="0" applyNumberFormat="1" applyFont="1" applyFill="1" applyBorder="1" applyAlignment="1">
      <alignment vertical="center"/>
    </xf>
    <xf numFmtId="0" fontId="11" fillId="2" borderId="0" xfId="0" applyFont="1" applyFill="1" applyBorder="1" applyAlignment="1">
      <alignment vertical="center"/>
    </xf>
    <xf numFmtId="0" fontId="11" fillId="8" borderId="0" xfId="0" applyFont="1" applyFill="1" applyBorder="1" applyAlignment="1">
      <alignment horizontal="left" vertical="center"/>
    </xf>
    <xf numFmtId="0" fontId="11" fillId="7" borderId="0" xfId="0" applyFont="1" applyFill="1" applyBorder="1" applyAlignment="1">
      <alignment horizontal="left" vertical="center"/>
    </xf>
    <xf numFmtId="0" fontId="11" fillId="0" borderId="0" xfId="0" applyFont="1" applyBorder="1" applyAlignment="1">
      <alignment vertical="center" wrapText="1"/>
    </xf>
    <xf numFmtId="0" fontId="11" fillId="9" borderId="0" xfId="0" applyFont="1" applyFill="1" applyBorder="1" applyAlignment="1">
      <alignment horizontal="left" vertical="center"/>
    </xf>
    <xf numFmtId="0" fontId="11" fillId="0" borderId="0" xfId="0" applyFont="1" applyBorder="1" applyAlignment="1"/>
    <xf numFmtId="0" fontId="11" fillId="2" borderId="0" xfId="0" applyFont="1" applyFill="1" applyBorder="1"/>
    <xf numFmtId="0" fontId="11" fillId="9" borderId="0" xfId="0" applyFont="1" applyFill="1" applyBorder="1"/>
    <xf numFmtId="0" fontId="11" fillId="10" borderId="0" xfId="0" applyFont="1" applyFill="1" applyBorder="1" applyAlignment="1">
      <alignment horizontal="left" vertical="center"/>
    </xf>
    <xf numFmtId="0" fontId="11" fillId="13" borderId="0" xfId="0" applyFont="1" applyFill="1"/>
    <xf numFmtId="0" fontId="11" fillId="0" borderId="0" xfId="0" applyNumberFormat="1" applyFont="1" applyBorder="1" applyAlignment="1">
      <alignment horizontal="left" vertical="center"/>
    </xf>
    <xf numFmtId="0" fontId="11" fillId="0" borderId="0" xfId="0" applyFont="1" applyAlignment="1">
      <alignment horizontal="left" vertical="center"/>
    </xf>
    <xf numFmtId="0" fontId="11" fillId="0" borderId="0" xfId="0" applyNumberFormat="1" applyFont="1" applyAlignment="1">
      <alignment vertical="center"/>
    </xf>
    <xf numFmtId="0" fontId="11" fillId="0" borderId="0" xfId="0" applyFont="1" applyAlignment="1"/>
    <xf numFmtId="14" fontId="11" fillId="0" borderId="0" xfId="0" applyNumberFormat="1" applyFont="1" applyFill="1" applyBorder="1" applyAlignment="1">
      <alignment horizontal="left" vertical="center"/>
    </xf>
    <xf numFmtId="0" fontId="11" fillId="0" borderId="0" xfId="0" applyFont="1" applyAlignment="1">
      <alignment vertical="center" wrapText="1"/>
    </xf>
    <xf numFmtId="14" fontId="11" fillId="6" borderId="0" xfId="0" applyNumberFormat="1" applyFont="1" applyFill="1" applyBorder="1" applyAlignment="1">
      <alignment horizontal="left" vertical="center"/>
    </xf>
    <xf numFmtId="0" fontId="11" fillId="0" borderId="0" xfId="1" applyFont="1"/>
    <xf numFmtId="0" fontId="11" fillId="0" borderId="0" xfId="1" applyNumberFormat="1" applyFont="1" applyAlignment="1">
      <alignment vertical="center"/>
    </xf>
    <xf numFmtId="0" fontId="11" fillId="0" borderId="0" xfId="0" applyFont="1" applyFill="1"/>
    <xf numFmtId="0" fontId="11" fillId="2" borderId="0" xfId="0" applyFont="1" applyFill="1"/>
    <xf numFmtId="0" fontId="11" fillId="11" borderId="0" xfId="0" applyFont="1" applyFill="1" applyBorder="1" applyAlignment="1">
      <alignment horizontal="left" vertical="center"/>
    </xf>
    <xf numFmtId="0" fontId="11" fillId="0" borderId="0" xfId="0" applyFont="1" applyAlignment="1">
      <alignment wrapText="1"/>
    </xf>
    <xf numFmtId="0" fontId="11" fillId="0" borderId="0" xfId="0" applyFont="1" applyAlignment="1">
      <alignment vertical="center"/>
    </xf>
    <xf numFmtId="0" fontId="11" fillId="12" borderId="0" xfId="0" applyFont="1" applyFill="1"/>
    <xf numFmtId="0" fontId="11" fillId="12" borderId="0" xfId="0" applyFont="1" applyFill="1" applyBorder="1" applyAlignment="1">
      <alignment horizontal="left" vertical="center"/>
    </xf>
    <xf numFmtId="0" fontId="11" fillId="12" borderId="0" xfId="0" applyNumberFormat="1" applyFont="1" applyFill="1" applyBorder="1" applyAlignment="1">
      <alignment vertical="center"/>
    </xf>
    <xf numFmtId="0" fontId="11" fillId="0" borderId="1" xfId="0" applyFont="1" applyBorder="1" applyAlignment="1">
      <alignment horizontal="left" vertical="center"/>
    </xf>
    <xf numFmtId="0" fontId="11" fillId="0" borderId="0" xfId="0" applyNumberFormat="1" applyFont="1" applyAlignment="1">
      <alignment horizontal="right" vertical="center"/>
    </xf>
    <xf numFmtId="0" fontId="11" fillId="0" borderId="1" xfId="0" applyFont="1" applyBorder="1"/>
    <xf numFmtId="0" fontId="11" fillId="0" borderId="0" xfId="0" applyNumberFormat="1" applyFont="1" applyFill="1" applyBorder="1" applyAlignment="1">
      <alignment vertical="center"/>
    </xf>
    <xf numFmtId="0" fontId="11" fillId="0" borderId="0" xfId="0" applyNumberFormat="1" applyFont="1" applyFill="1" applyBorder="1" applyAlignment="1">
      <alignment horizontal="left" vertical="center"/>
    </xf>
    <xf numFmtId="0" fontId="11" fillId="0" borderId="0" xfId="0" applyFont="1" applyBorder="1" applyAlignment="1">
      <alignment horizontal="left" vertical="center" wrapText="1"/>
    </xf>
    <xf numFmtId="14" fontId="11" fillId="15" borderId="4" xfId="0" applyNumberFormat="1" applyFont="1" applyFill="1" applyBorder="1" applyAlignment="1">
      <alignment horizontal="left" vertical="center"/>
    </xf>
    <xf numFmtId="14" fontId="11" fillId="15" borderId="6" xfId="0" applyNumberFormat="1" applyFont="1" applyFill="1" applyBorder="1" applyAlignment="1">
      <alignment horizontal="left" vertical="center"/>
    </xf>
    <xf numFmtId="14" fontId="11" fillId="15" borderId="0" xfId="0" applyNumberFormat="1" applyFont="1" applyFill="1" applyBorder="1" applyAlignment="1">
      <alignment horizontal="left" vertical="center"/>
    </xf>
    <xf numFmtId="0" fontId="11" fillId="0" borderId="5" xfId="0" applyNumberFormat="1" applyFont="1" applyBorder="1" applyAlignment="1">
      <alignment horizontal="left" vertical="center"/>
    </xf>
    <xf numFmtId="0" fontId="11" fillId="0" borderId="5" xfId="0" applyFont="1" applyBorder="1" applyAlignment="1">
      <alignment horizontal="left" vertical="center"/>
    </xf>
    <xf numFmtId="0" fontId="11" fillId="15" borderId="3" xfId="0" applyFont="1" applyFill="1" applyBorder="1" applyAlignment="1">
      <alignment horizontal="left" vertical="center"/>
    </xf>
  </cellXfs>
  <cellStyles count="2">
    <cellStyle name="Hipervínculo" xfId="1" builtinId="8"/>
    <cellStyle name="Normal" xfId="0" builtinId="0"/>
  </cellStyles>
  <dxfs count="22">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9" formatCode="d/mm/yyyy"/>
      <alignment horizontal="left"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s>
  <tableStyles count="0" defaultTableStyle="TableStyleMedium2" defaultPivotStyle="PivotStyleLight16"/>
  <colors>
    <mruColors>
      <color rgb="FFF22E66"/>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66675</xdr:colOff>
          <xdr:row>2</xdr:row>
          <xdr:rowOff>161925</xdr:rowOff>
        </xdr:from>
        <xdr:to>
          <xdr:col>4</xdr:col>
          <xdr:colOff>200025</xdr:colOff>
          <xdr:row>5</xdr:row>
          <xdr:rowOff>57150</xdr:rowOff>
        </xdr:to>
        <xdr:sp macro="" textlink="">
          <xdr:nvSpPr>
            <xdr:cNvPr id="4098" name="CommandButton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5</xdr:row>
          <xdr:rowOff>123825</xdr:rowOff>
        </xdr:from>
        <xdr:to>
          <xdr:col>7</xdr:col>
          <xdr:colOff>133350</xdr:colOff>
          <xdr:row>8</xdr:row>
          <xdr:rowOff>19050</xdr:rowOff>
        </xdr:to>
        <xdr:sp macro="" textlink="">
          <xdr:nvSpPr>
            <xdr:cNvPr id="4099" name="CommandButton2"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2</xdr:row>
          <xdr:rowOff>161925</xdr:rowOff>
        </xdr:from>
        <xdr:to>
          <xdr:col>7</xdr:col>
          <xdr:colOff>142875</xdr:colOff>
          <xdr:row>5</xdr:row>
          <xdr:rowOff>57150</xdr:rowOff>
        </xdr:to>
        <xdr:sp macro="" textlink="">
          <xdr:nvSpPr>
            <xdr:cNvPr id="4100" name="CommandButton3"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a1" displayName="Tabla1" ref="A1:M2410" totalsRowShown="0" headerRowDxfId="21" dataDxfId="19" headerRowBorderDxfId="20" tableBorderDxfId="18">
  <autoFilter ref="A1:M2410"/>
  <sortState ref="A1157:M1960">
    <sortCondition ref="A1:A1960"/>
  </sortState>
  <tableColumns count="13">
    <tableColumn id="1" name="FECHA" dataDxfId="17"/>
    <tableColumn id="2" name="Identificación" dataDxfId="16"/>
    <tableColumn id="3" name="NOMBRE" dataDxfId="15"/>
    <tableColumn id="4" name="CONCEPTO" dataDxfId="14"/>
    <tableColumn id="5" name="CONCEPTO mx" dataDxfId="13"/>
    <tableColumn id="12" name="Código" dataDxfId="12">
      <calculatedColumnFormula>IFERROR(IF(Tabla1[[#This Row],[CONCEPTO mx]]="","",VLOOKUP(Tabla1[[#This Row],[CONCEPTO mx]],Tabla2[#All],2,0)),"")</calculatedColumnFormula>
    </tableColumn>
    <tableColumn id="11" name="Departamento" dataDxfId="11">
      <calculatedColumnFormula>IFERROR(IF(Tabla1[[#This Row],[CONCEPTO mx]]="","",VLOOKUP(Tabla1[[#This Row],[CONCEPTO mx]],Tabla2[#All],3,0)),"")</calculatedColumnFormula>
    </tableColumn>
    <tableColumn id="6" name="FINCA" dataDxfId="10"/>
    <tableColumn id="7" name="CARGO" dataDxfId="9"/>
    <tableColumn id="8" name="Oficio" dataDxfId="8"/>
    <tableColumn id="9" name="REPITE HEMOGRAMA" dataDxfId="7"/>
    <tableColumn id="10" name="CONCEPTO2" dataDxfId="6"/>
    <tableColumn id="13" name="CONCEPTO3" dataDxfId="5"/>
  </tableColumns>
  <tableStyleInfo name="TableStyleMedium2" showFirstColumn="0" showLastColumn="0" showRowStripes="1" showColumnStripes="0"/>
</table>
</file>

<file path=xl/tables/table2.xml><?xml version="1.0" encoding="utf-8"?>
<table xmlns="http://schemas.openxmlformats.org/spreadsheetml/2006/main" id="2" name="Tabla2" displayName="Tabla2" ref="A1:C48" totalsRowShown="0" headerRowDxfId="4" dataDxfId="3">
  <autoFilter ref="A1:C48"/>
  <sortState ref="A2:C48">
    <sortCondition descending="1" ref="A1:A48"/>
  </sortState>
  <tableColumns count="3">
    <tableColumn id="1" name="Concepto" dataDxfId="2"/>
    <tableColumn id="2" name="Código" dataDxfId="1"/>
    <tableColumn id="3" name="Departamento" dataDxfId="0"/>
  </tableColumns>
  <tableStyleInfo name="TableStyleMedium2" showFirstColumn="0" showLastColumn="0" showRowStripes="1" showColumnStripes="0"/>
</table>
</file>

<file path=xl/tables/table3.xml><?xml version="1.0" encoding="utf-8"?>
<table xmlns="http://schemas.openxmlformats.org/spreadsheetml/2006/main" id="3" name="Tabla3" displayName="Tabla3" ref="A1:A27" totalsRowShown="0">
  <autoFilter ref="A1:A27"/>
  <tableColumns count="1">
    <tableColumn id="1" name="FINC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callto:1103107210" TargetMode="External"/><Relationship Id="rId18" Type="http://schemas.openxmlformats.org/officeDocument/2006/relationships/hyperlink" Target="callto:1028028377" TargetMode="External"/><Relationship Id="rId26" Type="http://schemas.openxmlformats.org/officeDocument/2006/relationships/hyperlink" Target="callto:1027999973" TargetMode="External"/><Relationship Id="rId39" Type="http://schemas.openxmlformats.org/officeDocument/2006/relationships/hyperlink" Target="callto:1118871049" TargetMode="External"/><Relationship Id="rId21" Type="http://schemas.openxmlformats.org/officeDocument/2006/relationships/hyperlink" Target="callto:1027964579" TargetMode="External"/><Relationship Id="rId34" Type="http://schemas.openxmlformats.org/officeDocument/2006/relationships/hyperlink" Target="callto:1040380539" TargetMode="External"/><Relationship Id="rId42" Type="http://schemas.openxmlformats.org/officeDocument/2006/relationships/printerSettings" Target="../printerSettings/printerSettings2.bin"/><Relationship Id="rId7" Type="http://schemas.openxmlformats.org/officeDocument/2006/relationships/hyperlink" Target="callto:1028028238" TargetMode="External"/><Relationship Id="rId2" Type="http://schemas.openxmlformats.org/officeDocument/2006/relationships/hyperlink" Target="callto:1148435493" TargetMode="External"/><Relationship Id="rId16" Type="http://schemas.openxmlformats.org/officeDocument/2006/relationships/hyperlink" Target="callto:1027998263" TargetMode="External"/><Relationship Id="rId29" Type="http://schemas.openxmlformats.org/officeDocument/2006/relationships/hyperlink" Target="callto:1028014386" TargetMode="External"/><Relationship Id="rId1" Type="http://schemas.openxmlformats.org/officeDocument/2006/relationships/hyperlink" Target="callto:1038822323" TargetMode="External"/><Relationship Id="rId6" Type="http://schemas.openxmlformats.org/officeDocument/2006/relationships/hyperlink" Target="callto:1001023421" TargetMode="External"/><Relationship Id="rId11" Type="http://schemas.openxmlformats.org/officeDocument/2006/relationships/hyperlink" Target="callto:1028040030" TargetMode="External"/><Relationship Id="rId24" Type="http://schemas.openxmlformats.org/officeDocument/2006/relationships/hyperlink" Target="callto:1007439894" TargetMode="External"/><Relationship Id="rId32" Type="http://schemas.openxmlformats.org/officeDocument/2006/relationships/hyperlink" Target="callto:1147934423" TargetMode="External"/><Relationship Id="rId37" Type="http://schemas.openxmlformats.org/officeDocument/2006/relationships/hyperlink" Target="callto:1003070526" TargetMode="External"/><Relationship Id="rId40" Type="http://schemas.openxmlformats.org/officeDocument/2006/relationships/hyperlink" Target="callto:1045521234" TargetMode="External"/><Relationship Id="rId45" Type="http://schemas.openxmlformats.org/officeDocument/2006/relationships/comments" Target="../comments1.xml"/><Relationship Id="rId5" Type="http://schemas.openxmlformats.org/officeDocument/2006/relationships/hyperlink" Target="callto:1027945402" TargetMode="External"/><Relationship Id="rId15" Type="http://schemas.openxmlformats.org/officeDocument/2006/relationships/hyperlink" Target="callto:1038126982" TargetMode="External"/><Relationship Id="rId23" Type="http://schemas.openxmlformats.org/officeDocument/2006/relationships/hyperlink" Target="callto:1102233617" TargetMode="External"/><Relationship Id="rId28" Type="http://schemas.openxmlformats.org/officeDocument/2006/relationships/hyperlink" Target="callto:1028026038" TargetMode="External"/><Relationship Id="rId36" Type="http://schemas.openxmlformats.org/officeDocument/2006/relationships/hyperlink" Target="callto:1026149045" TargetMode="External"/><Relationship Id="rId10" Type="http://schemas.openxmlformats.org/officeDocument/2006/relationships/hyperlink" Target="callto:1027960542" TargetMode="External"/><Relationship Id="rId19" Type="http://schemas.openxmlformats.org/officeDocument/2006/relationships/hyperlink" Target="callto:1003241315" TargetMode="External"/><Relationship Id="rId31" Type="http://schemas.openxmlformats.org/officeDocument/2006/relationships/hyperlink" Target="callto:1041257419" TargetMode="External"/><Relationship Id="rId44" Type="http://schemas.openxmlformats.org/officeDocument/2006/relationships/table" Target="../tables/table1.xml"/><Relationship Id="rId4" Type="http://schemas.openxmlformats.org/officeDocument/2006/relationships/hyperlink" Target="callto:1040360743" TargetMode="External"/><Relationship Id="rId9" Type="http://schemas.openxmlformats.org/officeDocument/2006/relationships/hyperlink" Target="callto:1040360105" TargetMode="External"/><Relationship Id="rId14" Type="http://schemas.openxmlformats.org/officeDocument/2006/relationships/hyperlink" Target="callto:1028040804" TargetMode="External"/><Relationship Id="rId22" Type="http://schemas.openxmlformats.org/officeDocument/2006/relationships/hyperlink" Target="callto:1045502238" TargetMode="External"/><Relationship Id="rId27" Type="http://schemas.openxmlformats.org/officeDocument/2006/relationships/hyperlink" Target="callto:1028019416" TargetMode="External"/><Relationship Id="rId30" Type="http://schemas.openxmlformats.org/officeDocument/2006/relationships/hyperlink" Target="callto:1047236958" TargetMode="External"/><Relationship Id="rId35" Type="http://schemas.openxmlformats.org/officeDocument/2006/relationships/hyperlink" Target="callto:1045501678" TargetMode="External"/><Relationship Id="rId43" Type="http://schemas.openxmlformats.org/officeDocument/2006/relationships/vmlDrawing" Target="../drawings/vmlDrawing1.vml"/><Relationship Id="rId8" Type="http://schemas.openxmlformats.org/officeDocument/2006/relationships/hyperlink" Target="callto:1040357562" TargetMode="External"/><Relationship Id="rId3" Type="http://schemas.openxmlformats.org/officeDocument/2006/relationships/hyperlink" Target="callto:1040356839" TargetMode="External"/><Relationship Id="rId12" Type="http://schemas.openxmlformats.org/officeDocument/2006/relationships/hyperlink" Target="callto:1028007196" TargetMode="External"/><Relationship Id="rId17" Type="http://schemas.openxmlformats.org/officeDocument/2006/relationships/hyperlink" Target="callto:1038820918" TargetMode="External"/><Relationship Id="rId25" Type="http://schemas.openxmlformats.org/officeDocument/2006/relationships/hyperlink" Target="callto:1028039323" TargetMode="External"/><Relationship Id="rId33" Type="http://schemas.openxmlformats.org/officeDocument/2006/relationships/hyperlink" Target="callto:1028038602" TargetMode="External"/><Relationship Id="rId38" Type="http://schemas.openxmlformats.org/officeDocument/2006/relationships/hyperlink" Target="callto:1077449876" TargetMode="External"/><Relationship Id="rId20" Type="http://schemas.openxmlformats.org/officeDocument/2006/relationships/hyperlink" Target="callto:1040367683" TargetMode="External"/><Relationship Id="rId41" Type="http://schemas.openxmlformats.org/officeDocument/2006/relationships/hyperlink" Target="callto:1040352502"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F1094"/>
  <sheetViews>
    <sheetView zoomScale="90" zoomScaleNormal="90" workbookViewId="0">
      <pane ySplit="1" topLeftCell="A894" activePane="bottomLeft" state="frozen"/>
      <selection pane="bottomLeft" activeCell="C903" sqref="C903"/>
    </sheetView>
  </sheetViews>
  <sheetFormatPr baseColWidth="10" defaultRowHeight="15.75" x14ac:dyDescent="0.25"/>
  <cols>
    <col min="1" max="1" width="12.5703125" style="35" customWidth="1"/>
    <col min="2" max="2" width="42.5703125" style="23" customWidth="1"/>
    <col min="3" max="3" width="52.140625" style="24" customWidth="1"/>
    <col min="4" max="4" width="11.42578125" style="23"/>
    <col min="5" max="5" width="20.5703125" style="23" customWidth="1"/>
    <col min="6" max="6" width="45.140625" style="25" customWidth="1"/>
    <col min="7" max="16384" width="11.42578125" style="1"/>
  </cols>
  <sheetData>
    <row r="1" spans="1:6" s="4" customFormat="1" x14ac:dyDescent="0.25">
      <c r="A1" s="7" t="s">
        <v>0</v>
      </c>
      <c r="B1" s="7" t="s">
        <v>1</v>
      </c>
      <c r="C1" s="8" t="s">
        <v>2</v>
      </c>
      <c r="D1" s="7" t="s">
        <v>326</v>
      </c>
      <c r="E1" s="7" t="s">
        <v>331</v>
      </c>
      <c r="F1" s="7" t="s">
        <v>332</v>
      </c>
    </row>
    <row r="2" spans="1:6" s="2" customFormat="1" ht="15" x14ac:dyDescent="0.25">
      <c r="A2" s="9">
        <v>42766</v>
      </c>
      <c r="B2" s="10" t="s">
        <v>18</v>
      </c>
      <c r="C2" s="10" t="s">
        <v>19</v>
      </c>
      <c r="D2" s="10"/>
      <c r="E2" s="10"/>
      <c r="F2" s="11"/>
    </row>
    <row r="3" spans="1:6" s="2" customFormat="1" ht="15" x14ac:dyDescent="0.25">
      <c r="A3" s="9">
        <v>42824</v>
      </c>
      <c r="B3" s="10" t="s">
        <v>3</v>
      </c>
      <c r="C3" s="10" t="s">
        <v>4</v>
      </c>
      <c r="D3" s="10"/>
      <c r="E3" s="10"/>
      <c r="F3" s="11"/>
    </row>
    <row r="4" spans="1:6" s="2" customFormat="1" ht="15" x14ac:dyDescent="0.25">
      <c r="A4" s="9">
        <v>42824</v>
      </c>
      <c r="B4" s="10" t="s">
        <v>5</v>
      </c>
      <c r="C4" s="10" t="s">
        <v>6</v>
      </c>
      <c r="D4" s="10"/>
      <c r="E4" s="10"/>
      <c r="F4" s="11"/>
    </row>
    <row r="5" spans="1:6" s="2" customFormat="1" ht="15" x14ac:dyDescent="0.25">
      <c r="A5" s="9">
        <v>42824</v>
      </c>
      <c r="B5" s="10" t="s">
        <v>7</v>
      </c>
      <c r="C5" s="10" t="s">
        <v>8</v>
      </c>
      <c r="D5" s="10"/>
      <c r="E5" s="10"/>
      <c r="F5" s="11"/>
    </row>
    <row r="6" spans="1:6" s="2" customFormat="1" ht="30" x14ac:dyDescent="0.25">
      <c r="A6" s="9">
        <v>42824</v>
      </c>
      <c r="B6" s="10" t="s">
        <v>9</v>
      </c>
      <c r="C6" s="10" t="s">
        <v>6</v>
      </c>
      <c r="D6" s="10"/>
      <c r="E6" s="10"/>
      <c r="F6" s="11"/>
    </row>
    <row r="7" spans="1:6" s="2" customFormat="1" ht="45" x14ac:dyDescent="0.25">
      <c r="A7" s="9">
        <v>42824</v>
      </c>
      <c r="B7" s="10" t="s">
        <v>10</v>
      </c>
      <c r="C7" s="10" t="s">
        <v>11</v>
      </c>
      <c r="D7" s="10"/>
      <c r="E7" s="10"/>
      <c r="F7" s="11"/>
    </row>
    <row r="8" spans="1:6" s="2" customFormat="1" ht="15" x14ac:dyDescent="0.25">
      <c r="A8" s="9">
        <v>42824</v>
      </c>
      <c r="B8" s="10" t="s">
        <v>12</v>
      </c>
      <c r="C8" s="10" t="s">
        <v>6</v>
      </c>
      <c r="D8" s="10"/>
      <c r="E8" s="10"/>
      <c r="F8" s="11"/>
    </row>
    <row r="9" spans="1:6" s="2" customFormat="1" ht="15" x14ac:dyDescent="0.25">
      <c r="A9" s="9">
        <v>42824</v>
      </c>
      <c r="B9" s="10" t="s">
        <v>13</v>
      </c>
      <c r="C9" s="10" t="s">
        <v>14</v>
      </c>
      <c r="D9" s="10"/>
      <c r="E9" s="10"/>
      <c r="F9" s="11"/>
    </row>
    <row r="10" spans="1:6" s="2" customFormat="1" ht="30" x14ac:dyDescent="0.25">
      <c r="A10" s="9">
        <v>42824</v>
      </c>
      <c r="B10" s="10" t="s">
        <v>15</v>
      </c>
      <c r="C10" s="10" t="s">
        <v>4</v>
      </c>
      <c r="D10" s="10"/>
      <c r="E10" s="10"/>
      <c r="F10" s="11"/>
    </row>
    <row r="11" spans="1:6" s="2" customFormat="1" ht="30" x14ac:dyDescent="0.25">
      <c r="A11" s="9">
        <v>42824</v>
      </c>
      <c r="B11" s="10" t="s">
        <v>16</v>
      </c>
      <c r="C11" s="10" t="s">
        <v>17</v>
      </c>
      <c r="D11" s="10"/>
      <c r="E11" s="10"/>
      <c r="F11" s="11"/>
    </row>
    <row r="12" spans="1:6" s="2" customFormat="1" ht="15" x14ac:dyDescent="0.25">
      <c r="A12" s="9">
        <v>42828</v>
      </c>
      <c r="B12" s="10" t="s">
        <v>20</v>
      </c>
      <c r="C12" s="12" t="s">
        <v>21</v>
      </c>
      <c r="D12" s="10"/>
      <c r="E12" s="10"/>
      <c r="F12" s="11"/>
    </row>
    <row r="13" spans="1:6" s="2" customFormat="1" ht="30" x14ac:dyDescent="0.25">
      <c r="A13" s="9">
        <v>42828</v>
      </c>
      <c r="B13" s="10" t="s">
        <v>22</v>
      </c>
      <c r="C13" s="12" t="s">
        <v>23</v>
      </c>
      <c r="D13" s="10"/>
      <c r="E13" s="10"/>
      <c r="F13" s="11"/>
    </row>
    <row r="14" spans="1:6" s="2" customFormat="1" ht="15" x14ac:dyDescent="0.25">
      <c r="A14" s="9">
        <v>42828</v>
      </c>
      <c r="B14" s="10" t="s">
        <v>24</v>
      </c>
      <c r="C14" s="12" t="s">
        <v>25</v>
      </c>
      <c r="D14" s="10"/>
      <c r="E14" s="10"/>
      <c r="F14" s="11"/>
    </row>
    <row r="15" spans="1:6" s="2" customFormat="1" ht="15" x14ac:dyDescent="0.25">
      <c r="A15" s="9">
        <v>42828</v>
      </c>
      <c r="B15" s="10" t="s">
        <v>26</v>
      </c>
      <c r="C15" s="12" t="s">
        <v>6</v>
      </c>
      <c r="D15" s="10"/>
      <c r="E15" s="10"/>
      <c r="F15" s="11"/>
    </row>
    <row r="16" spans="1:6" s="2" customFormat="1" ht="30" x14ac:dyDescent="0.25">
      <c r="A16" s="9">
        <v>42828</v>
      </c>
      <c r="B16" s="10" t="s">
        <v>27</v>
      </c>
      <c r="C16" s="12" t="s">
        <v>6</v>
      </c>
      <c r="D16" s="10"/>
      <c r="E16" s="10"/>
      <c r="F16" s="11"/>
    </row>
    <row r="17" spans="1:6" s="2" customFormat="1" ht="15" x14ac:dyDescent="0.25">
      <c r="A17" s="9">
        <v>42828</v>
      </c>
      <c r="B17" s="10" t="s">
        <v>28</v>
      </c>
      <c r="C17" s="12" t="s">
        <v>6</v>
      </c>
      <c r="D17" s="10"/>
      <c r="E17" s="10"/>
      <c r="F17" s="11"/>
    </row>
    <row r="18" spans="1:6" s="2" customFormat="1" ht="30" x14ac:dyDescent="0.25">
      <c r="A18" s="9">
        <v>42828</v>
      </c>
      <c r="B18" s="10" t="s">
        <v>29</v>
      </c>
      <c r="C18" s="12" t="s">
        <v>4</v>
      </c>
      <c r="D18" s="10"/>
      <c r="E18" s="10"/>
      <c r="F18" s="11"/>
    </row>
    <row r="19" spans="1:6" s="2" customFormat="1" ht="15" x14ac:dyDescent="0.25">
      <c r="A19" s="9">
        <v>42828</v>
      </c>
      <c r="B19" s="10" t="s">
        <v>30</v>
      </c>
      <c r="C19" s="12" t="s">
        <v>6</v>
      </c>
      <c r="D19" s="10"/>
      <c r="E19" s="10"/>
      <c r="F19" s="11"/>
    </row>
    <row r="20" spans="1:6" s="2" customFormat="1" ht="15" x14ac:dyDescent="0.25">
      <c r="A20" s="9">
        <v>42828</v>
      </c>
      <c r="B20" s="10" t="s">
        <v>31</v>
      </c>
      <c r="C20" s="12" t="s">
        <v>6</v>
      </c>
      <c r="D20" s="10"/>
      <c r="E20" s="10"/>
      <c r="F20" s="11"/>
    </row>
    <row r="21" spans="1:6" s="2" customFormat="1" ht="30" x14ac:dyDescent="0.25">
      <c r="A21" s="9">
        <v>42828</v>
      </c>
      <c r="B21" s="10" t="s">
        <v>32</v>
      </c>
      <c r="C21" s="12" t="s">
        <v>6</v>
      </c>
      <c r="D21" s="10"/>
      <c r="E21" s="10"/>
      <c r="F21" s="11"/>
    </row>
    <row r="22" spans="1:6" s="2" customFormat="1" ht="15" x14ac:dyDescent="0.25">
      <c r="A22" s="9">
        <v>42828</v>
      </c>
      <c r="B22" s="10" t="s">
        <v>33</v>
      </c>
      <c r="C22" s="12" t="s">
        <v>21</v>
      </c>
      <c r="D22" s="10"/>
      <c r="E22" s="10"/>
      <c r="F22" s="11"/>
    </row>
    <row r="23" spans="1:6" s="2" customFormat="1" ht="15" x14ac:dyDescent="0.25">
      <c r="A23" s="9">
        <v>42828</v>
      </c>
      <c r="B23" s="10" t="s">
        <v>34</v>
      </c>
      <c r="C23" s="12" t="s">
        <v>6</v>
      </c>
      <c r="D23" s="10"/>
      <c r="E23" s="10"/>
      <c r="F23" s="11"/>
    </row>
    <row r="24" spans="1:6" s="2" customFormat="1" ht="15" x14ac:dyDescent="0.25">
      <c r="A24" s="9">
        <v>42828</v>
      </c>
      <c r="B24" s="10" t="s">
        <v>35</v>
      </c>
      <c r="C24" s="12" t="s">
        <v>36</v>
      </c>
      <c r="D24" s="10"/>
      <c r="E24" s="10"/>
      <c r="F24" s="11"/>
    </row>
    <row r="25" spans="1:6" s="2" customFormat="1" ht="15" x14ac:dyDescent="0.25">
      <c r="A25" s="9">
        <v>42828</v>
      </c>
      <c r="B25" s="10" t="s">
        <v>37</v>
      </c>
      <c r="C25" s="12" t="s">
        <v>6</v>
      </c>
      <c r="D25" s="10"/>
      <c r="E25" s="10"/>
      <c r="F25" s="11"/>
    </row>
    <row r="26" spans="1:6" s="2" customFormat="1" ht="30" x14ac:dyDescent="0.25">
      <c r="A26" s="9">
        <v>42828</v>
      </c>
      <c r="B26" s="10" t="s">
        <v>38</v>
      </c>
      <c r="C26" s="12" t="s">
        <v>39</v>
      </c>
      <c r="D26" s="10"/>
      <c r="E26" s="10"/>
      <c r="F26" s="11"/>
    </row>
    <row r="27" spans="1:6" s="2" customFormat="1" ht="30" x14ac:dyDescent="0.25">
      <c r="A27" s="9">
        <v>42828</v>
      </c>
      <c r="B27" s="10" t="s">
        <v>40</v>
      </c>
      <c r="C27" s="12" t="s">
        <v>6</v>
      </c>
      <c r="D27" s="10"/>
      <c r="E27" s="10"/>
      <c r="F27" s="11"/>
    </row>
    <row r="28" spans="1:6" s="2" customFormat="1" ht="15" x14ac:dyDescent="0.25">
      <c r="A28" s="9">
        <v>42828</v>
      </c>
      <c r="B28" s="10" t="s">
        <v>41</v>
      </c>
      <c r="C28" s="12" t="s">
        <v>19</v>
      </c>
      <c r="D28" s="10"/>
      <c r="E28" s="10"/>
      <c r="F28" s="11"/>
    </row>
    <row r="29" spans="1:6" s="2" customFormat="1" ht="15" x14ac:dyDescent="0.25">
      <c r="A29" s="9">
        <v>42828</v>
      </c>
      <c r="B29" s="10" t="s">
        <v>42</v>
      </c>
      <c r="C29" s="12" t="s">
        <v>6</v>
      </c>
      <c r="D29" s="10"/>
      <c r="E29" s="10"/>
      <c r="F29" s="11"/>
    </row>
    <row r="30" spans="1:6" s="2" customFormat="1" ht="15" x14ac:dyDescent="0.25">
      <c r="A30" s="9">
        <v>42828</v>
      </c>
      <c r="B30" s="10" t="s">
        <v>43</v>
      </c>
      <c r="C30" s="12" t="s">
        <v>6</v>
      </c>
      <c r="D30" s="10"/>
      <c r="E30" s="10"/>
      <c r="F30" s="11"/>
    </row>
    <row r="31" spans="1:6" s="2" customFormat="1" ht="30" x14ac:dyDescent="0.25">
      <c r="A31" s="9">
        <v>42829</v>
      </c>
      <c r="B31" s="10" t="s">
        <v>29</v>
      </c>
      <c r="C31" s="12" t="s">
        <v>17</v>
      </c>
      <c r="D31" s="10"/>
      <c r="E31" s="10"/>
      <c r="F31" s="11"/>
    </row>
    <row r="32" spans="1:6" s="2" customFormat="1" ht="15" x14ac:dyDescent="0.25">
      <c r="A32" s="9">
        <v>42829</v>
      </c>
      <c r="B32" s="10" t="s">
        <v>44</v>
      </c>
      <c r="C32" s="12" t="s">
        <v>6</v>
      </c>
      <c r="D32" s="10"/>
      <c r="E32" s="10"/>
      <c r="F32" s="11"/>
    </row>
    <row r="33" spans="1:6" s="2" customFormat="1" ht="15" x14ac:dyDescent="0.25">
      <c r="A33" s="9">
        <v>42830</v>
      </c>
      <c r="B33" s="10" t="s">
        <v>45</v>
      </c>
      <c r="C33" s="12" t="s">
        <v>6</v>
      </c>
      <c r="D33" s="10"/>
      <c r="E33" s="10"/>
      <c r="F33" s="11"/>
    </row>
    <row r="34" spans="1:6" s="2" customFormat="1" ht="15" x14ac:dyDescent="0.25">
      <c r="A34" s="9">
        <v>42830</v>
      </c>
      <c r="B34" s="10" t="s">
        <v>46</v>
      </c>
      <c r="C34" s="12" t="s">
        <v>39</v>
      </c>
      <c r="D34" s="10"/>
      <c r="E34" s="10"/>
      <c r="F34" s="11"/>
    </row>
    <row r="35" spans="1:6" s="2" customFormat="1" ht="15" x14ac:dyDescent="0.25">
      <c r="A35" s="9">
        <v>42830</v>
      </c>
      <c r="B35" s="10" t="s">
        <v>47</v>
      </c>
      <c r="C35" s="12" t="s">
        <v>6</v>
      </c>
      <c r="D35" s="10"/>
      <c r="E35" s="10"/>
      <c r="F35" s="11"/>
    </row>
    <row r="36" spans="1:6" s="2" customFormat="1" ht="15" x14ac:dyDescent="0.25">
      <c r="A36" s="9">
        <v>42831</v>
      </c>
      <c r="B36" s="10" t="s">
        <v>48</v>
      </c>
      <c r="C36" s="10" t="s">
        <v>39</v>
      </c>
      <c r="D36" s="10"/>
      <c r="E36" s="10"/>
      <c r="F36" s="11"/>
    </row>
    <row r="37" spans="1:6" s="2" customFormat="1" ht="30" x14ac:dyDescent="0.25">
      <c r="A37" s="9">
        <v>42831</v>
      </c>
      <c r="B37" s="10" t="s">
        <v>49</v>
      </c>
      <c r="C37" s="12" t="s">
        <v>6</v>
      </c>
      <c r="D37" s="10"/>
      <c r="E37" s="10"/>
      <c r="F37" s="11"/>
    </row>
    <row r="38" spans="1:6" s="2" customFormat="1" ht="90" x14ac:dyDescent="0.25">
      <c r="A38" s="9">
        <v>42832</v>
      </c>
      <c r="B38" s="13" t="s">
        <v>56</v>
      </c>
      <c r="C38" s="13" t="s">
        <v>21</v>
      </c>
      <c r="D38" s="13" t="s">
        <v>57</v>
      </c>
      <c r="E38" s="13"/>
      <c r="F38" s="14"/>
    </row>
    <row r="39" spans="1:6" s="2" customFormat="1" ht="15" x14ac:dyDescent="0.25">
      <c r="A39" s="9">
        <v>42832</v>
      </c>
      <c r="B39" s="10" t="s">
        <v>50</v>
      </c>
      <c r="C39" s="12" t="s">
        <v>51</v>
      </c>
      <c r="D39" s="10"/>
      <c r="E39" s="10"/>
      <c r="F39" s="11"/>
    </row>
    <row r="40" spans="1:6" s="2" customFormat="1" ht="30" x14ac:dyDescent="0.25">
      <c r="A40" s="9">
        <v>42832</v>
      </c>
      <c r="B40" s="10" t="s">
        <v>52</v>
      </c>
      <c r="C40" s="12" t="s">
        <v>53</v>
      </c>
      <c r="D40" s="10"/>
      <c r="E40" s="10"/>
      <c r="F40" s="11"/>
    </row>
    <row r="41" spans="1:6" s="2" customFormat="1" ht="15" x14ac:dyDescent="0.25">
      <c r="A41" s="9">
        <v>42832</v>
      </c>
      <c r="B41" s="10" t="s">
        <v>54</v>
      </c>
      <c r="C41" s="12" t="s">
        <v>21</v>
      </c>
      <c r="D41" s="10"/>
      <c r="E41" s="10"/>
      <c r="F41" s="11"/>
    </row>
    <row r="42" spans="1:6" s="3" customFormat="1" ht="15" x14ac:dyDescent="0.25">
      <c r="A42" s="9">
        <v>42832</v>
      </c>
      <c r="B42" s="10" t="s">
        <v>55</v>
      </c>
      <c r="C42" s="12" t="s">
        <v>23</v>
      </c>
      <c r="D42" s="10"/>
      <c r="E42" s="10"/>
      <c r="F42" s="11"/>
    </row>
    <row r="43" spans="1:6" s="2" customFormat="1" ht="15" x14ac:dyDescent="0.25">
      <c r="A43" s="9">
        <v>42832</v>
      </c>
      <c r="B43" s="10" t="s">
        <v>58</v>
      </c>
      <c r="C43" s="12" t="s">
        <v>23</v>
      </c>
      <c r="D43" s="10"/>
      <c r="E43" s="10"/>
      <c r="F43" s="11"/>
    </row>
    <row r="44" spans="1:6" s="2" customFormat="1" ht="15" x14ac:dyDescent="0.25">
      <c r="A44" s="9">
        <v>42832</v>
      </c>
      <c r="B44" s="10" t="s">
        <v>59</v>
      </c>
      <c r="C44" s="12" t="s">
        <v>23</v>
      </c>
      <c r="D44" s="10"/>
      <c r="E44" s="10"/>
      <c r="F44" s="11"/>
    </row>
    <row r="45" spans="1:6" s="2" customFormat="1" ht="15" x14ac:dyDescent="0.25">
      <c r="A45" s="9">
        <v>42835</v>
      </c>
      <c r="B45" s="10" t="s">
        <v>60</v>
      </c>
      <c r="C45" s="12" t="s">
        <v>21</v>
      </c>
      <c r="D45" s="10"/>
      <c r="E45" s="10"/>
      <c r="F45" s="11"/>
    </row>
    <row r="46" spans="1:6" s="2" customFormat="1" ht="30" x14ac:dyDescent="0.25">
      <c r="A46" s="9">
        <v>42835</v>
      </c>
      <c r="B46" s="10" t="s">
        <v>61</v>
      </c>
      <c r="C46" s="12" t="s">
        <v>19</v>
      </c>
      <c r="D46" s="10"/>
      <c r="E46" s="10"/>
      <c r="F46" s="11"/>
    </row>
    <row r="47" spans="1:6" s="2" customFormat="1" ht="15" x14ac:dyDescent="0.25">
      <c r="A47" s="9">
        <v>42835</v>
      </c>
      <c r="B47" s="10" t="s">
        <v>62</v>
      </c>
      <c r="C47" s="12" t="s">
        <v>6</v>
      </c>
      <c r="D47" s="10"/>
      <c r="E47" s="10"/>
      <c r="F47" s="11"/>
    </row>
    <row r="48" spans="1:6" s="2" customFormat="1" ht="30" x14ac:dyDescent="0.25">
      <c r="A48" s="9">
        <v>42835</v>
      </c>
      <c r="B48" s="10" t="s">
        <v>63</v>
      </c>
      <c r="C48" s="12" t="s">
        <v>21</v>
      </c>
      <c r="D48" s="10"/>
      <c r="E48" s="10"/>
      <c r="F48" s="11"/>
    </row>
    <row r="49" spans="1:6" s="2" customFormat="1" ht="15" x14ac:dyDescent="0.25">
      <c r="A49" s="9">
        <v>42835</v>
      </c>
      <c r="B49" s="10" t="s">
        <v>64</v>
      </c>
      <c r="C49" s="12" t="s">
        <v>19</v>
      </c>
      <c r="D49" s="10"/>
      <c r="E49" s="10"/>
      <c r="F49" s="11"/>
    </row>
    <row r="50" spans="1:6" s="2" customFormat="1" ht="30" x14ac:dyDescent="0.25">
      <c r="A50" s="9">
        <v>42835</v>
      </c>
      <c r="B50" s="10" t="s">
        <v>65</v>
      </c>
      <c r="C50" s="12" t="s">
        <v>6</v>
      </c>
      <c r="D50" s="10"/>
      <c r="E50" s="10"/>
      <c r="F50" s="11"/>
    </row>
    <row r="51" spans="1:6" s="2" customFormat="1" ht="15" x14ac:dyDescent="0.25">
      <c r="A51" s="9">
        <v>42835</v>
      </c>
      <c r="B51" s="10" t="s">
        <v>66</v>
      </c>
      <c r="C51" s="12" t="s">
        <v>23</v>
      </c>
      <c r="D51" s="10"/>
      <c r="E51" s="10"/>
      <c r="F51" s="11"/>
    </row>
    <row r="52" spans="1:6" s="2" customFormat="1" ht="15" x14ac:dyDescent="0.25">
      <c r="A52" s="9">
        <v>42835</v>
      </c>
      <c r="B52" s="10" t="s">
        <v>67</v>
      </c>
      <c r="C52" s="12" t="s">
        <v>6</v>
      </c>
      <c r="D52" s="10"/>
      <c r="E52" s="10"/>
      <c r="F52" s="11"/>
    </row>
    <row r="53" spans="1:6" s="2" customFormat="1" ht="15" x14ac:dyDescent="0.25">
      <c r="A53" s="9">
        <v>42836</v>
      </c>
      <c r="B53" s="10" t="s">
        <v>68</v>
      </c>
      <c r="C53" s="10" t="s">
        <v>21</v>
      </c>
      <c r="D53" s="10"/>
      <c r="E53" s="10"/>
      <c r="F53" s="11"/>
    </row>
    <row r="54" spans="1:6" s="2" customFormat="1" ht="30" x14ac:dyDescent="0.25">
      <c r="A54" s="9">
        <v>42836</v>
      </c>
      <c r="B54" s="10" t="s">
        <v>69</v>
      </c>
      <c r="C54" s="12" t="s">
        <v>70</v>
      </c>
      <c r="D54" s="10"/>
      <c r="E54" s="10"/>
      <c r="F54" s="11"/>
    </row>
    <row r="55" spans="1:6" s="2" customFormat="1" ht="15" x14ac:dyDescent="0.25">
      <c r="A55" s="9">
        <v>42836</v>
      </c>
      <c r="B55" s="10" t="s">
        <v>20</v>
      </c>
      <c r="C55" s="12" t="s">
        <v>6</v>
      </c>
      <c r="D55" s="10"/>
      <c r="E55" s="10"/>
      <c r="F55" s="11"/>
    </row>
    <row r="56" spans="1:6" s="2" customFormat="1" ht="45" x14ac:dyDescent="0.25">
      <c r="A56" s="9">
        <v>42836</v>
      </c>
      <c r="B56" s="10" t="s">
        <v>71</v>
      </c>
      <c r="C56" s="12" t="s">
        <v>72</v>
      </c>
      <c r="D56" s="10"/>
      <c r="E56" s="10"/>
      <c r="F56" s="11"/>
    </row>
    <row r="57" spans="1:6" s="2" customFormat="1" ht="15" x14ac:dyDescent="0.25">
      <c r="A57" s="9">
        <v>42837</v>
      </c>
      <c r="B57" s="10" t="s">
        <v>73</v>
      </c>
      <c r="C57" s="10" t="s">
        <v>51</v>
      </c>
      <c r="D57" s="10"/>
      <c r="E57" s="10"/>
      <c r="F57" s="11"/>
    </row>
    <row r="58" spans="1:6" s="2" customFormat="1" ht="15" x14ac:dyDescent="0.25">
      <c r="A58" s="9">
        <v>42837</v>
      </c>
      <c r="B58" s="10" t="s">
        <v>74</v>
      </c>
      <c r="C58" s="10" t="s">
        <v>51</v>
      </c>
      <c r="D58" s="10"/>
      <c r="E58" s="10"/>
      <c r="F58" s="11"/>
    </row>
    <row r="59" spans="1:6" s="2" customFormat="1" ht="30" x14ac:dyDescent="0.25">
      <c r="A59" s="9">
        <v>42837</v>
      </c>
      <c r="B59" s="10" t="s">
        <v>75</v>
      </c>
      <c r="C59" s="10" t="s">
        <v>51</v>
      </c>
      <c r="D59" s="10"/>
      <c r="E59" s="10"/>
      <c r="F59" s="11"/>
    </row>
    <row r="60" spans="1:6" s="2" customFormat="1" ht="30" x14ac:dyDescent="0.25">
      <c r="A60" s="9">
        <v>42837</v>
      </c>
      <c r="B60" s="10" t="s">
        <v>76</v>
      </c>
      <c r="C60" s="10" t="s">
        <v>51</v>
      </c>
      <c r="D60" s="10"/>
      <c r="E60" s="10"/>
      <c r="F60" s="11"/>
    </row>
    <row r="61" spans="1:6" s="2" customFormat="1" ht="30" x14ac:dyDescent="0.25">
      <c r="A61" s="9">
        <v>42842</v>
      </c>
      <c r="B61" s="10" t="s">
        <v>77</v>
      </c>
      <c r="C61" s="10" t="s">
        <v>78</v>
      </c>
      <c r="D61" s="10"/>
      <c r="E61" s="10"/>
      <c r="F61" s="11"/>
    </row>
    <row r="62" spans="1:6" s="2" customFormat="1" ht="15" x14ac:dyDescent="0.25">
      <c r="A62" s="9">
        <v>42843</v>
      </c>
      <c r="B62" s="10" t="s">
        <v>33</v>
      </c>
      <c r="C62" s="12" t="s">
        <v>21</v>
      </c>
      <c r="D62" s="10"/>
      <c r="E62" s="10"/>
      <c r="F62" s="11"/>
    </row>
    <row r="63" spans="1:6" s="2" customFormat="1" ht="15" x14ac:dyDescent="0.25">
      <c r="A63" s="9">
        <v>42843</v>
      </c>
      <c r="B63" s="10" t="s">
        <v>79</v>
      </c>
      <c r="C63" s="12" t="s">
        <v>80</v>
      </c>
      <c r="D63" s="10"/>
      <c r="E63" s="10"/>
      <c r="F63" s="11"/>
    </row>
    <row r="64" spans="1:6" s="2" customFormat="1" ht="15" x14ac:dyDescent="0.25">
      <c r="A64" s="9">
        <v>42843</v>
      </c>
      <c r="B64" s="10" t="s">
        <v>81</v>
      </c>
      <c r="C64" s="12" t="s">
        <v>6</v>
      </c>
      <c r="D64" s="10"/>
      <c r="E64" s="10"/>
      <c r="F64" s="11"/>
    </row>
    <row r="65" spans="1:6" s="2" customFormat="1" ht="30" x14ac:dyDescent="0.25">
      <c r="A65" s="9">
        <v>42843</v>
      </c>
      <c r="B65" s="10" t="s">
        <v>82</v>
      </c>
      <c r="C65" s="12" t="s">
        <v>83</v>
      </c>
      <c r="D65" s="10"/>
      <c r="E65" s="10"/>
      <c r="F65" s="11"/>
    </row>
    <row r="66" spans="1:6" s="2" customFormat="1" ht="15" x14ac:dyDescent="0.25">
      <c r="A66" s="9">
        <v>42844</v>
      </c>
      <c r="B66" s="10" t="s">
        <v>84</v>
      </c>
      <c r="C66" s="12" t="s">
        <v>6</v>
      </c>
      <c r="D66" s="10"/>
      <c r="E66" s="10"/>
      <c r="F66" s="11"/>
    </row>
    <row r="67" spans="1:6" s="2" customFormat="1" ht="15" x14ac:dyDescent="0.25">
      <c r="A67" s="9">
        <v>42844</v>
      </c>
      <c r="B67" s="10" t="s">
        <v>85</v>
      </c>
      <c r="C67" s="12" t="s">
        <v>17</v>
      </c>
      <c r="D67" s="10"/>
      <c r="E67" s="10"/>
      <c r="F67" s="11"/>
    </row>
    <row r="68" spans="1:6" s="2" customFormat="1" ht="15" x14ac:dyDescent="0.25">
      <c r="A68" s="9">
        <v>42844</v>
      </c>
      <c r="B68" s="10" t="s">
        <v>86</v>
      </c>
      <c r="C68" s="12" t="s">
        <v>21</v>
      </c>
      <c r="D68" s="10"/>
      <c r="E68" s="10"/>
      <c r="F68" s="11"/>
    </row>
    <row r="69" spans="1:6" s="2" customFormat="1" ht="45" x14ac:dyDescent="0.25">
      <c r="A69" s="9">
        <v>42844</v>
      </c>
      <c r="B69" s="10" t="s">
        <v>87</v>
      </c>
      <c r="C69" s="12" t="s">
        <v>88</v>
      </c>
      <c r="D69" s="10"/>
      <c r="E69" s="10"/>
      <c r="F69" s="11"/>
    </row>
    <row r="70" spans="1:6" s="2" customFormat="1" ht="15" x14ac:dyDescent="0.25">
      <c r="A70" s="9">
        <v>42844</v>
      </c>
      <c r="B70" s="10" t="s">
        <v>89</v>
      </c>
      <c r="C70" s="12" t="s">
        <v>6</v>
      </c>
      <c r="D70" s="10"/>
      <c r="E70" s="10"/>
      <c r="F70" s="11"/>
    </row>
    <row r="71" spans="1:6" s="2" customFormat="1" ht="15" x14ac:dyDescent="0.25">
      <c r="A71" s="9">
        <v>42844</v>
      </c>
      <c r="B71" s="10" t="s">
        <v>90</v>
      </c>
      <c r="C71" s="12" t="s">
        <v>91</v>
      </c>
      <c r="D71" s="10"/>
      <c r="E71" s="10"/>
      <c r="F71" s="11"/>
    </row>
    <row r="72" spans="1:6" s="2" customFormat="1" ht="15" x14ac:dyDescent="0.25">
      <c r="A72" s="9">
        <v>42844</v>
      </c>
      <c r="B72" s="10" t="s">
        <v>92</v>
      </c>
      <c r="C72" s="12" t="s">
        <v>6</v>
      </c>
      <c r="D72" s="10"/>
      <c r="E72" s="10"/>
      <c r="F72" s="11"/>
    </row>
    <row r="73" spans="1:6" s="2" customFormat="1" ht="30" x14ac:dyDescent="0.25">
      <c r="A73" s="9">
        <v>42844</v>
      </c>
      <c r="B73" s="10" t="s">
        <v>93</v>
      </c>
      <c r="C73" s="12" t="s">
        <v>17</v>
      </c>
      <c r="D73" s="10"/>
      <c r="E73" s="10"/>
      <c r="F73" s="11"/>
    </row>
    <row r="74" spans="1:6" s="2" customFormat="1" ht="15" x14ac:dyDescent="0.25">
      <c r="A74" s="9">
        <v>42844</v>
      </c>
      <c r="B74" s="10" t="s">
        <v>94</v>
      </c>
      <c r="C74" s="12" t="s">
        <v>6</v>
      </c>
      <c r="D74" s="10"/>
      <c r="E74" s="10"/>
      <c r="F74" s="11"/>
    </row>
    <row r="75" spans="1:6" s="2" customFormat="1" ht="15" x14ac:dyDescent="0.25">
      <c r="A75" s="9">
        <v>42846</v>
      </c>
      <c r="B75" s="10" t="s">
        <v>95</v>
      </c>
      <c r="C75" s="12" t="s">
        <v>23</v>
      </c>
      <c r="D75" s="10"/>
      <c r="E75" s="10"/>
      <c r="F75" s="11"/>
    </row>
    <row r="76" spans="1:6" s="2" customFormat="1" ht="30" x14ac:dyDescent="0.25">
      <c r="A76" s="9">
        <v>42849</v>
      </c>
      <c r="B76" s="10" t="s">
        <v>96</v>
      </c>
      <c r="C76" s="10" t="s">
        <v>83</v>
      </c>
      <c r="D76" s="10"/>
      <c r="E76" s="10"/>
      <c r="F76" s="11"/>
    </row>
    <row r="77" spans="1:6" s="2" customFormat="1" ht="15" x14ac:dyDescent="0.25">
      <c r="A77" s="9">
        <v>42849</v>
      </c>
      <c r="B77" s="10" t="s">
        <v>97</v>
      </c>
      <c r="C77" s="10" t="s">
        <v>98</v>
      </c>
      <c r="D77" s="10"/>
      <c r="E77" s="10"/>
      <c r="F77" s="11"/>
    </row>
    <row r="78" spans="1:6" s="2" customFormat="1" ht="15" x14ac:dyDescent="0.25">
      <c r="A78" s="9">
        <v>42849</v>
      </c>
      <c r="B78" s="10" t="s">
        <v>99</v>
      </c>
      <c r="C78" s="10" t="s">
        <v>6</v>
      </c>
      <c r="D78" s="10"/>
      <c r="E78" s="10"/>
      <c r="F78" s="11"/>
    </row>
    <row r="79" spans="1:6" s="2" customFormat="1" ht="30" x14ac:dyDescent="0.25">
      <c r="A79" s="9">
        <v>42849</v>
      </c>
      <c r="B79" s="10" t="s">
        <v>100</v>
      </c>
      <c r="C79" s="10" t="s">
        <v>83</v>
      </c>
      <c r="D79" s="10"/>
      <c r="E79" s="10"/>
      <c r="F79" s="11"/>
    </row>
    <row r="80" spans="1:6" s="2" customFormat="1" ht="15" x14ac:dyDescent="0.25">
      <c r="A80" s="9">
        <v>42849</v>
      </c>
      <c r="B80" s="10" t="s">
        <v>101</v>
      </c>
      <c r="C80" s="10" t="s">
        <v>17</v>
      </c>
      <c r="D80" s="10"/>
      <c r="E80" s="10"/>
      <c r="F80" s="11"/>
    </row>
    <row r="81" spans="1:6" s="2" customFormat="1" ht="30" x14ac:dyDescent="0.25">
      <c r="A81" s="9">
        <v>42850</v>
      </c>
      <c r="B81" s="10" t="s">
        <v>102</v>
      </c>
      <c r="C81" s="10" t="s">
        <v>23</v>
      </c>
      <c r="D81" s="10"/>
      <c r="E81" s="10"/>
      <c r="F81" s="11"/>
    </row>
    <row r="82" spans="1:6" s="2" customFormat="1" ht="15" x14ac:dyDescent="0.25">
      <c r="A82" s="9">
        <v>42850</v>
      </c>
      <c r="B82" s="10" t="s">
        <v>103</v>
      </c>
      <c r="C82" s="10" t="s">
        <v>23</v>
      </c>
      <c r="D82" s="10"/>
      <c r="E82" s="10"/>
      <c r="F82" s="11"/>
    </row>
    <row r="83" spans="1:6" s="2" customFormat="1" ht="15" x14ac:dyDescent="0.25">
      <c r="A83" s="9">
        <v>42852</v>
      </c>
      <c r="B83" s="10" t="s">
        <v>104</v>
      </c>
      <c r="C83" s="10" t="s">
        <v>6</v>
      </c>
      <c r="D83" s="10"/>
      <c r="E83" s="10"/>
      <c r="F83" s="11"/>
    </row>
    <row r="84" spans="1:6" s="2" customFormat="1" ht="15" x14ac:dyDescent="0.25">
      <c r="A84" s="9">
        <v>42852</v>
      </c>
      <c r="B84" s="10" t="s">
        <v>105</v>
      </c>
      <c r="C84" s="10" t="s">
        <v>6</v>
      </c>
      <c r="D84" s="10"/>
      <c r="E84" s="10"/>
      <c r="F84" s="11"/>
    </row>
    <row r="85" spans="1:6" s="2" customFormat="1" ht="15" x14ac:dyDescent="0.25">
      <c r="A85" s="9">
        <v>42852</v>
      </c>
      <c r="B85" s="10" t="s">
        <v>106</v>
      </c>
      <c r="C85" s="10" t="s">
        <v>6</v>
      </c>
      <c r="D85" s="10"/>
      <c r="E85" s="10"/>
      <c r="F85" s="11"/>
    </row>
    <row r="86" spans="1:6" s="2" customFormat="1" ht="15" x14ac:dyDescent="0.25">
      <c r="A86" s="9">
        <v>42852</v>
      </c>
      <c r="B86" s="10" t="s">
        <v>107</v>
      </c>
      <c r="C86" s="10" t="s">
        <v>91</v>
      </c>
      <c r="D86" s="10"/>
      <c r="E86" s="10"/>
      <c r="F86" s="11"/>
    </row>
    <row r="87" spans="1:6" s="2" customFormat="1" ht="30" x14ac:dyDescent="0.25">
      <c r="A87" s="9">
        <v>42852</v>
      </c>
      <c r="B87" s="10" t="s">
        <v>108</v>
      </c>
      <c r="C87" s="10" t="s">
        <v>6</v>
      </c>
      <c r="D87" s="10"/>
      <c r="E87" s="10"/>
      <c r="F87" s="11"/>
    </row>
    <row r="88" spans="1:6" s="2" customFormat="1" ht="15" x14ac:dyDescent="0.25">
      <c r="A88" s="9">
        <v>42852</v>
      </c>
      <c r="B88" s="10" t="s">
        <v>109</v>
      </c>
      <c r="C88" s="10" t="s">
        <v>91</v>
      </c>
      <c r="D88" s="10"/>
      <c r="E88" s="10"/>
      <c r="F88" s="11"/>
    </row>
    <row r="89" spans="1:6" s="2" customFormat="1" ht="30" x14ac:dyDescent="0.25">
      <c r="A89" s="9">
        <v>42852</v>
      </c>
      <c r="B89" s="10" t="s">
        <v>110</v>
      </c>
      <c r="C89" s="10" t="s">
        <v>6</v>
      </c>
      <c r="D89" s="10"/>
      <c r="E89" s="10"/>
      <c r="F89" s="11"/>
    </row>
    <row r="90" spans="1:6" s="2" customFormat="1" ht="15" x14ac:dyDescent="0.25">
      <c r="A90" s="9">
        <v>42858</v>
      </c>
      <c r="B90" s="10" t="s">
        <v>111</v>
      </c>
      <c r="C90" s="10" t="s">
        <v>6</v>
      </c>
      <c r="D90" s="10"/>
      <c r="E90" s="10"/>
      <c r="F90" s="11"/>
    </row>
    <row r="91" spans="1:6" s="2" customFormat="1" ht="15" x14ac:dyDescent="0.25">
      <c r="A91" s="9">
        <v>42858</v>
      </c>
      <c r="B91" s="10" t="s">
        <v>112</v>
      </c>
      <c r="C91" s="10" t="s">
        <v>6</v>
      </c>
      <c r="D91" s="10"/>
      <c r="E91" s="10"/>
      <c r="F91" s="11"/>
    </row>
    <row r="92" spans="1:6" s="2" customFormat="1" ht="15" x14ac:dyDescent="0.25">
      <c r="A92" s="9">
        <v>42858</v>
      </c>
      <c r="B92" s="10" t="s">
        <v>113</v>
      </c>
      <c r="C92" s="10" t="s">
        <v>51</v>
      </c>
      <c r="D92" s="10"/>
      <c r="E92" s="10"/>
      <c r="F92" s="11"/>
    </row>
    <row r="93" spans="1:6" s="2" customFormat="1" ht="15" x14ac:dyDescent="0.25">
      <c r="A93" s="9">
        <v>42858</v>
      </c>
      <c r="B93" s="10" t="s">
        <v>114</v>
      </c>
      <c r="C93" s="10" t="s">
        <v>19</v>
      </c>
      <c r="D93" s="10"/>
      <c r="E93" s="10"/>
      <c r="F93" s="11"/>
    </row>
    <row r="94" spans="1:6" s="2" customFormat="1" ht="15" x14ac:dyDescent="0.25">
      <c r="A94" s="9">
        <v>42858</v>
      </c>
      <c r="B94" s="10" t="s">
        <v>115</v>
      </c>
      <c r="C94" s="10" t="s">
        <v>6</v>
      </c>
      <c r="D94" s="10"/>
      <c r="E94" s="10"/>
      <c r="F94" s="11"/>
    </row>
    <row r="95" spans="1:6" s="2" customFormat="1" ht="15" x14ac:dyDescent="0.25">
      <c r="A95" s="9">
        <v>42859</v>
      </c>
      <c r="B95" s="10" t="s">
        <v>60</v>
      </c>
      <c r="C95" s="10" t="s">
        <v>91</v>
      </c>
      <c r="D95" s="10"/>
      <c r="E95" s="10"/>
      <c r="F95" s="11"/>
    </row>
    <row r="96" spans="1:6" s="2" customFormat="1" ht="15" x14ac:dyDescent="0.25">
      <c r="A96" s="9">
        <v>42859</v>
      </c>
      <c r="B96" s="10" t="s">
        <v>116</v>
      </c>
      <c r="C96" s="10" t="s">
        <v>6</v>
      </c>
      <c r="D96" s="10"/>
      <c r="E96" s="10"/>
      <c r="F96" s="11"/>
    </row>
    <row r="97" spans="1:6" s="2" customFormat="1" ht="30" x14ac:dyDescent="0.25">
      <c r="A97" s="9">
        <v>42859</v>
      </c>
      <c r="B97" s="10" t="s">
        <v>117</v>
      </c>
      <c r="C97" s="10" t="s">
        <v>19</v>
      </c>
      <c r="D97" s="10"/>
      <c r="E97" s="10"/>
      <c r="F97" s="11"/>
    </row>
    <row r="98" spans="1:6" s="2" customFormat="1" ht="45" x14ac:dyDescent="0.25">
      <c r="A98" s="9">
        <v>42859</v>
      </c>
      <c r="B98" s="10" t="s">
        <v>118</v>
      </c>
      <c r="C98" s="10" t="s">
        <v>119</v>
      </c>
      <c r="D98" s="10"/>
      <c r="E98" s="10"/>
      <c r="F98" s="11"/>
    </row>
    <row r="99" spans="1:6" s="2" customFormat="1" ht="15" x14ac:dyDescent="0.25">
      <c r="A99" s="9">
        <v>42860</v>
      </c>
      <c r="B99" s="10" t="s">
        <v>120</v>
      </c>
      <c r="C99" s="10" t="s">
        <v>6</v>
      </c>
      <c r="D99" s="10"/>
      <c r="E99" s="10"/>
      <c r="F99" s="11"/>
    </row>
    <row r="100" spans="1:6" s="2" customFormat="1" ht="15" x14ac:dyDescent="0.25">
      <c r="A100" s="9">
        <v>42860</v>
      </c>
      <c r="B100" s="10" t="s">
        <v>121</v>
      </c>
      <c r="C100" s="10" t="s">
        <v>122</v>
      </c>
      <c r="D100" s="10"/>
      <c r="E100" s="10"/>
      <c r="F100" s="11"/>
    </row>
    <row r="101" spans="1:6" s="2" customFormat="1" ht="15" x14ac:dyDescent="0.25">
      <c r="A101" s="9">
        <v>42863</v>
      </c>
      <c r="B101" s="10" t="s">
        <v>107</v>
      </c>
      <c r="C101" s="10" t="s">
        <v>6</v>
      </c>
      <c r="D101" s="10"/>
      <c r="E101" s="10"/>
      <c r="F101" s="11"/>
    </row>
    <row r="102" spans="1:6" s="2" customFormat="1" ht="45" x14ac:dyDescent="0.25">
      <c r="A102" s="9">
        <v>42863</v>
      </c>
      <c r="B102" s="10" t="s">
        <v>123</v>
      </c>
      <c r="C102" s="10" t="s">
        <v>124</v>
      </c>
      <c r="D102" s="10"/>
      <c r="E102" s="10"/>
      <c r="F102" s="11"/>
    </row>
    <row r="103" spans="1:6" s="2" customFormat="1" ht="15" x14ac:dyDescent="0.25">
      <c r="A103" s="9">
        <v>42863</v>
      </c>
      <c r="B103" s="10" t="s">
        <v>125</v>
      </c>
      <c r="C103" s="10" t="s">
        <v>6</v>
      </c>
      <c r="D103" s="10"/>
      <c r="E103" s="10"/>
      <c r="F103" s="11"/>
    </row>
    <row r="104" spans="1:6" s="2" customFormat="1" ht="15" x14ac:dyDescent="0.25">
      <c r="A104" s="9">
        <v>42863</v>
      </c>
      <c r="B104" s="10" t="s">
        <v>109</v>
      </c>
      <c r="C104" s="10" t="s">
        <v>6</v>
      </c>
      <c r="D104" s="10"/>
      <c r="E104" s="10"/>
      <c r="F104" s="11"/>
    </row>
    <row r="105" spans="1:6" s="2" customFormat="1" ht="15" x14ac:dyDescent="0.25">
      <c r="A105" s="9">
        <v>42863</v>
      </c>
      <c r="B105" s="10" t="s">
        <v>126</v>
      </c>
      <c r="C105" s="10" t="s">
        <v>6</v>
      </c>
      <c r="D105" s="10"/>
      <c r="E105" s="10"/>
      <c r="F105" s="11"/>
    </row>
    <row r="106" spans="1:6" s="2" customFormat="1" ht="15" x14ac:dyDescent="0.25">
      <c r="A106" s="9">
        <v>42864</v>
      </c>
      <c r="B106" s="10" t="s">
        <v>127</v>
      </c>
      <c r="C106" s="10" t="s">
        <v>6</v>
      </c>
      <c r="D106" s="10"/>
      <c r="E106" s="10"/>
      <c r="F106" s="11"/>
    </row>
    <row r="107" spans="1:6" s="2" customFormat="1" ht="15" x14ac:dyDescent="0.25">
      <c r="A107" s="9">
        <v>42864</v>
      </c>
      <c r="B107" s="10" t="s">
        <v>128</v>
      </c>
      <c r="C107" s="10" t="s">
        <v>39</v>
      </c>
      <c r="D107" s="10"/>
      <c r="E107" s="10"/>
      <c r="F107" s="11"/>
    </row>
    <row r="108" spans="1:6" s="2" customFormat="1" ht="45" x14ac:dyDescent="0.25">
      <c r="A108" s="9">
        <v>42864</v>
      </c>
      <c r="B108" s="10" t="s">
        <v>129</v>
      </c>
      <c r="C108" s="10" t="s">
        <v>130</v>
      </c>
      <c r="D108" s="10"/>
      <c r="E108" s="10"/>
      <c r="F108" s="11"/>
    </row>
    <row r="109" spans="1:6" s="2" customFormat="1" ht="15" x14ac:dyDescent="0.25">
      <c r="A109" s="9">
        <v>42865</v>
      </c>
      <c r="B109" s="10" t="s">
        <v>131</v>
      </c>
      <c r="C109" s="10" t="s">
        <v>6</v>
      </c>
      <c r="D109" s="10"/>
      <c r="E109" s="10"/>
      <c r="F109" s="11"/>
    </row>
    <row r="110" spans="1:6" s="2" customFormat="1" ht="15" x14ac:dyDescent="0.25">
      <c r="A110" s="9">
        <v>42865</v>
      </c>
      <c r="B110" s="10" t="s">
        <v>132</v>
      </c>
      <c r="C110" s="10" t="s">
        <v>6</v>
      </c>
      <c r="D110" s="10"/>
      <c r="E110" s="10"/>
      <c r="F110" s="11"/>
    </row>
    <row r="111" spans="1:6" s="2" customFormat="1" ht="15" x14ac:dyDescent="0.25">
      <c r="A111" s="9">
        <v>42865</v>
      </c>
      <c r="B111" s="10" t="s">
        <v>133</v>
      </c>
      <c r="C111" s="10" t="s">
        <v>6</v>
      </c>
      <c r="D111" s="10"/>
      <c r="E111" s="10"/>
      <c r="F111" s="11"/>
    </row>
    <row r="112" spans="1:6" s="2" customFormat="1" ht="30" x14ac:dyDescent="0.25">
      <c r="A112" s="9">
        <v>42865</v>
      </c>
      <c r="B112" s="10" t="s">
        <v>63</v>
      </c>
      <c r="C112" s="10" t="s">
        <v>6</v>
      </c>
      <c r="D112" s="10"/>
      <c r="E112" s="10"/>
      <c r="F112" s="11"/>
    </row>
    <row r="113" spans="1:6" s="2" customFormat="1" ht="15" x14ac:dyDescent="0.25">
      <c r="A113" s="9">
        <v>42865</v>
      </c>
      <c r="B113" s="10" t="s">
        <v>134</v>
      </c>
      <c r="C113" s="10" t="s">
        <v>6</v>
      </c>
      <c r="D113" s="10"/>
      <c r="E113" s="10"/>
      <c r="F113" s="11"/>
    </row>
    <row r="114" spans="1:6" s="2" customFormat="1" ht="15" x14ac:dyDescent="0.25">
      <c r="A114" s="9">
        <v>42870</v>
      </c>
      <c r="B114" s="10" t="s">
        <v>132</v>
      </c>
      <c r="C114" s="10" t="s">
        <v>6</v>
      </c>
      <c r="D114" s="10"/>
      <c r="E114" s="10"/>
      <c r="F114" s="11"/>
    </row>
    <row r="115" spans="1:6" s="2" customFormat="1" ht="30" x14ac:dyDescent="0.25">
      <c r="A115" s="9">
        <v>42873</v>
      </c>
      <c r="B115" s="10" t="s">
        <v>135</v>
      </c>
      <c r="C115" s="10" t="s">
        <v>136</v>
      </c>
      <c r="D115" s="10"/>
      <c r="E115" s="10"/>
      <c r="F115" s="11"/>
    </row>
    <row r="116" spans="1:6" s="2" customFormat="1" ht="15" x14ac:dyDescent="0.25">
      <c r="A116" s="9">
        <v>42873</v>
      </c>
      <c r="B116" s="10" t="s">
        <v>137</v>
      </c>
      <c r="C116" s="10" t="s">
        <v>6</v>
      </c>
      <c r="D116" s="10"/>
      <c r="E116" s="10"/>
      <c r="F116" s="11"/>
    </row>
    <row r="117" spans="1:6" s="2" customFormat="1" ht="15" x14ac:dyDescent="0.25">
      <c r="A117" s="9">
        <v>42874</v>
      </c>
      <c r="B117" s="10" t="s">
        <v>138</v>
      </c>
      <c r="C117" s="10" t="s">
        <v>19</v>
      </c>
      <c r="D117" s="10"/>
      <c r="E117" s="10"/>
      <c r="F117" s="11"/>
    </row>
    <row r="118" spans="1:6" s="2" customFormat="1" ht="15" x14ac:dyDescent="0.25">
      <c r="A118" s="9">
        <v>42877</v>
      </c>
      <c r="B118" s="10" t="s">
        <v>139</v>
      </c>
      <c r="C118" s="10" t="s">
        <v>6</v>
      </c>
      <c r="D118" s="10"/>
      <c r="E118" s="10"/>
      <c r="F118" s="11"/>
    </row>
    <row r="119" spans="1:6" s="2" customFormat="1" ht="15" x14ac:dyDescent="0.25">
      <c r="A119" s="9">
        <v>42878</v>
      </c>
      <c r="B119" s="10" t="s">
        <v>140</v>
      </c>
      <c r="C119" s="10" t="s">
        <v>19</v>
      </c>
      <c r="D119" s="10"/>
      <c r="E119" s="10"/>
      <c r="F119" s="11"/>
    </row>
    <row r="120" spans="1:6" s="2" customFormat="1" ht="30" x14ac:dyDescent="0.25">
      <c r="A120" s="9">
        <v>42878</v>
      </c>
      <c r="B120" s="10" t="s">
        <v>141</v>
      </c>
      <c r="C120" s="10" t="s">
        <v>122</v>
      </c>
      <c r="D120" s="10"/>
      <c r="E120" s="10"/>
      <c r="F120" s="11"/>
    </row>
    <row r="121" spans="1:6" s="2" customFormat="1" ht="15" x14ac:dyDescent="0.25">
      <c r="A121" s="9">
        <v>42878</v>
      </c>
      <c r="B121" s="10" t="s">
        <v>142</v>
      </c>
      <c r="C121" s="10" t="s">
        <v>6</v>
      </c>
      <c r="D121" s="10"/>
      <c r="E121" s="10"/>
      <c r="F121" s="11"/>
    </row>
    <row r="122" spans="1:6" s="2" customFormat="1" ht="15" x14ac:dyDescent="0.25">
      <c r="A122" s="9">
        <v>42878</v>
      </c>
      <c r="B122" s="10" t="s">
        <v>143</v>
      </c>
      <c r="C122" s="10" t="s">
        <v>6</v>
      </c>
      <c r="D122" s="10"/>
      <c r="E122" s="10"/>
      <c r="F122" s="11"/>
    </row>
    <row r="123" spans="1:6" s="2" customFormat="1" ht="15" x14ac:dyDescent="0.25">
      <c r="A123" s="9">
        <v>42886</v>
      </c>
      <c r="B123" s="10" t="s">
        <v>144</v>
      </c>
      <c r="C123" s="10" t="s">
        <v>6</v>
      </c>
      <c r="D123" s="10"/>
      <c r="E123" s="10"/>
      <c r="F123" s="11"/>
    </row>
    <row r="124" spans="1:6" s="2" customFormat="1" ht="30" x14ac:dyDescent="0.25">
      <c r="A124" s="9">
        <v>42887</v>
      </c>
      <c r="B124" s="10" t="s">
        <v>145</v>
      </c>
      <c r="C124" s="10" t="s">
        <v>6</v>
      </c>
      <c r="D124" s="10"/>
      <c r="E124" s="10"/>
      <c r="F124" s="11"/>
    </row>
    <row r="125" spans="1:6" s="2" customFormat="1" ht="30" x14ac:dyDescent="0.25">
      <c r="A125" s="9">
        <v>42887</v>
      </c>
      <c r="B125" s="10" t="s">
        <v>146</v>
      </c>
      <c r="C125" s="10" t="s">
        <v>6</v>
      </c>
      <c r="D125" s="10"/>
      <c r="E125" s="10"/>
      <c r="F125" s="11"/>
    </row>
    <row r="126" spans="1:6" s="2" customFormat="1" ht="15" x14ac:dyDescent="0.25">
      <c r="A126" s="9">
        <v>42887</v>
      </c>
      <c r="B126" s="10" t="s">
        <v>147</v>
      </c>
      <c r="C126" s="10" t="s">
        <v>6</v>
      </c>
      <c r="D126" s="10"/>
      <c r="E126" s="10"/>
      <c r="F126" s="11"/>
    </row>
    <row r="127" spans="1:6" s="2" customFormat="1" ht="30" x14ac:dyDescent="0.25">
      <c r="A127" s="9">
        <v>42887</v>
      </c>
      <c r="B127" s="10" t="s">
        <v>148</v>
      </c>
      <c r="C127" s="10" t="s">
        <v>6</v>
      </c>
      <c r="D127" s="10"/>
      <c r="E127" s="10"/>
      <c r="F127" s="11"/>
    </row>
    <row r="128" spans="1:6" s="2" customFormat="1" ht="15" x14ac:dyDescent="0.25">
      <c r="A128" s="9">
        <v>42887</v>
      </c>
      <c r="B128" s="10" t="s">
        <v>149</v>
      </c>
      <c r="C128" s="10" t="s">
        <v>6</v>
      </c>
      <c r="D128" s="10"/>
      <c r="E128" s="10"/>
      <c r="F128" s="11"/>
    </row>
    <row r="129" spans="1:6" s="2" customFormat="1" ht="45" x14ac:dyDescent="0.25">
      <c r="A129" s="9">
        <v>42892</v>
      </c>
      <c r="B129" s="10" t="s">
        <v>150</v>
      </c>
      <c r="C129" s="10" t="s">
        <v>151</v>
      </c>
      <c r="D129" s="10"/>
      <c r="E129" s="10"/>
      <c r="F129" s="11"/>
    </row>
    <row r="130" spans="1:6" s="2" customFormat="1" ht="30" x14ac:dyDescent="0.25">
      <c r="A130" s="9">
        <v>42892</v>
      </c>
      <c r="B130" s="10" t="s">
        <v>152</v>
      </c>
      <c r="C130" s="10" t="s">
        <v>6</v>
      </c>
      <c r="D130" s="10"/>
      <c r="E130" s="10"/>
      <c r="F130" s="11"/>
    </row>
    <row r="131" spans="1:6" s="2" customFormat="1" ht="30" x14ac:dyDescent="0.25">
      <c r="A131" s="9">
        <v>42893</v>
      </c>
      <c r="B131" s="10" t="s">
        <v>153</v>
      </c>
      <c r="C131" s="10" t="s">
        <v>154</v>
      </c>
      <c r="D131" s="10"/>
      <c r="E131" s="10"/>
      <c r="F131" s="11"/>
    </row>
    <row r="132" spans="1:6" s="2" customFormat="1" ht="30" x14ac:dyDescent="0.25">
      <c r="A132" s="9">
        <v>42893</v>
      </c>
      <c r="B132" s="10" t="s">
        <v>155</v>
      </c>
      <c r="C132" s="10" t="s">
        <v>6</v>
      </c>
      <c r="D132" s="10"/>
      <c r="E132" s="10"/>
      <c r="F132" s="11"/>
    </row>
    <row r="133" spans="1:6" s="2" customFormat="1" ht="15" x14ac:dyDescent="0.25">
      <c r="A133" s="9">
        <v>42898</v>
      </c>
      <c r="B133" s="10" t="s">
        <v>156</v>
      </c>
      <c r="C133" s="10" t="s">
        <v>91</v>
      </c>
      <c r="D133" s="10"/>
      <c r="E133" s="10"/>
      <c r="F133" s="11"/>
    </row>
    <row r="134" spans="1:6" s="2" customFormat="1" ht="15" x14ac:dyDescent="0.25">
      <c r="A134" s="9">
        <v>42898</v>
      </c>
      <c r="B134" s="10" t="s">
        <v>157</v>
      </c>
      <c r="C134" s="10" t="s">
        <v>6</v>
      </c>
      <c r="D134" s="10"/>
      <c r="E134" s="10"/>
      <c r="F134" s="11"/>
    </row>
    <row r="135" spans="1:6" s="2" customFormat="1" ht="15" x14ac:dyDescent="0.25">
      <c r="A135" s="9">
        <v>42899</v>
      </c>
      <c r="B135" s="10" t="s">
        <v>158</v>
      </c>
      <c r="C135" s="10" t="s">
        <v>91</v>
      </c>
      <c r="D135" s="10"/>
      <c r="E135" s="10"/>
      <c r="F135" s="11"/>
    </row>
    <row r="136" spans="1:6" s="2" customFormat="1" ht="30" x14ac:dyDescent="0.25">
      <c r="A136" s="9">
        <v>42899</v>
      </c>
      <c r="B136" s="10" t="s">
        <v>159</v>
      </c>
      <c r="C136" s="10" t="s">
        <v>160</v>
      </c>
      <c r="D136" s="10"/>
      <c r="E136" s="10"/>
      <c r="F136" s="11"/>
    </row>
    <row r="137" spans="1:6" s="2" customFormat="1" ht="45" x14ac:dyDescent="0.25">
      <c r="A137" s="9">
        <v>42899</v>
      </c>
      <c r="B137" s="10" t="s">
        <v>161</v>
      </c>
      <c r="C137" s="10" t="s">
        <v>162</v>
      </c>
      <c r="D137" s="10"/>
      <c r="E137" s="10"/>
      <c r="F137" s="11"/>
    </row>
    <row r="138" spans="1:6" s="2" customFormat="1" ht="30" x14ac:dyDescent="0.25">
      <c r="A138" s="9">
        <v>42900</v>
      </c>
      <c r="B138" s="10" t="s">
        <v>163</v>
      </c>
      <c r="C138" s="10" t="s">
        <v>164</v>
      </c>
      <c r="D138" s="10"/>
      <c r="E138" s="10"/>
      <c r="F138" s="11"/>
    </row>
    <row r="139" spans="1:6" s="2" customFormat="1" ht="15" x14ac:dyDescent="0.25">
      <c r="A139" s="9">
        <v>42900</v>
      </c>
      <c r="B139" s="10" t="s">
        <v>165</v>
      </c>
      <c r="C139" s="10" t="s">
        <v>19</v>
      </c>
      <c r="D139" s="10"/>
      <c r="E139" s="10"/>
      <c r="F139" s="11"/>
    </row>
    <row r="140" spans="1:6" s="2" customFormat="1" ht="15" x14ac:dyDescent="0.25">
      <c r="A140" s="9">
        <v>42900</v>
      </c>
      <c r="B140" s="10" t="s">
        <v>166</v>
      </c>
      <c r="C140" s="10" t="s">
        <v>91</v>
      </c>
      <c r="D140" s="10"/>
      <c r="E140" s="10"/>
      <c r="F140" s="11"/>
    </row>
    <row r="141" spans="1:6" s="2" customFormat="1" ht="15" x14ac:dyDescent="0.25">
      <c r="A141" s="9">
        <v>42900</v>
      </c>
      <c r="B141" s="10" t="s">
        <v>167</v>
      </c>
      <c r="C141" s="10" t="s">
        <v>168</v>
      </c>
      <c r="D141" s="10"/>
      <c r="E141" s="10"/>
      <c r="F141" s="11"/>
    </row>
    <row r="142" spans="1:6" s="2" customFormat="1" ht="15" x14ac:dyDescent="0.25">
      <c r="A142" s="9">
        <v>42900</v>
      </c>
      <c r="B142" s="10" t="s">
        <v>169</v>
      </c>
      <c r="C142" s="10" t="s">
        <v>6</v>
      </c>
      <c r="D142" s="10"/>
      <c r="E142" s="10"/>
      <c r="F142" s="11"/>
    </row>
    <row r="143" spans="1:6" s="2" customFormat="1" ht="15" x14ac:dyDescent="0.25">
      <c r="A143" s="9">
        <v>42900</v>
      </c>
      <c r="B143" s="10" t="s">
        <v>170</v>
      </c>
      <c r="C143" s="10" t="s">
        <v>39</v>
      </c>
      <c r="D143" s="10"/>
      <c r="E143" s="10"/>
      <c r="F143" s="11"/>
    </row>
    <row r="144" spans="1:6" s="2" customFormat="1" ht="30" x14ac:dyDescent="0.25">
      <c r="A144" s="9">
        <v>42902</v>
      </c>
      <c r="B144" s="10" t="s">
        <v>171</v>
      </c>
      <c r="C144" s="10" t="s">
        <v>6</v>
      </c>
      <c r="D144" s="10"/>
      <c r="E144" s="10"/>
      <c r="F144" s="11"/>
    </row>
    <row r="145" spans="1:6" s="2" customFormat="1" ht="15" x14ac:dyDescent="0.25">
      <c r="A145" s="9">
        <v>42902</v>
      </c>
      <c r="B145" s="10" t="s">
        <v>172</v>
      </c>
      <c r="C145" s="10" t="s">
        <v>6</v>
      </c>
      <c r="D145" s="10"/>
      <c r="E145" s="10"/>
      <c r="F145" s="11"/>
    </row>
    <row r="146" spans="1:6" s="2" customFormat="1" ht="15" x14ac:dyDescent="0.25">
      <c r="A146" s="9">
        <v>42902</v>
      </c>
      <c r="B146" s="10" t="s">
        <v>173</v>
      </c>
      <c r="C146" s="10" t="s">
        <v>39</v>
      </c>
      <c r="D146" s="10"/>
      <c r="E146" s="10"/>
      <c r="F146" s="11"/>
    </row>
    <row r="147" spans="1:6" s="2" customFormat="1" ht="15" x14ac:dyDescent="0.25">
      <c r="A147" s="9">
        <v>42902</v>
      </c>
      <c r="B147" s="10" t="s">
        <v>174</v>
      </c>
      <c r="C147" s="10" t="s">
        <v>6</v>
      </c>
      <c r="D147" s="10"/>
      <c r="E147" s="10"/>
      <c r="F147" s="11"/>
    </row>
    <row r="148" spans="1:6" s="2" customFormat="1" ht="15" x14ac:dyDescent="0.25">
      <c r="A148" s="9">
        <v>42902</v>
      </c>
      <c r="B148" s="10" t="s">
        <v>175</v>
      </c>
      <c r="C148" s="10" t="s">
        <v>6</v>
      </c>
      <c r="D148" s="10"/>
      <c r="E148" s="10"/>
      <c r="F148" s="11"/>
    </row>
    <row r="149" spans="1:6" s="2" customFormat="1" ht="15" x14ac:dyDescent="0.25">
      <c r="A149" s="9">
        <v>42906</v>
      </c>
      <c r="B149" s="10" t="s">
        <v>176</v>
      </c>
      <c r="C149" s="10" t="s">
        <v>19</v>
      </c>
      <c r="D149" s="10"/>
      <c r="E149" s="10"/>
      <c r="F149" s="11"/>
    </row>
    <row r="150" spans="1:6" s="2" customFormat="1" ht="30" x14ac:dyDescent="0.25">
      <c r="A150" s="9">
        <v>42906</v>
      </c>
      <c r="B150" s="10" t="s">
        <v>177</v>
      </c>
      <c r="C150" s="10" t="s">
        <v>6</v>
      </c>
      <c r="D150" s="10"/>
      <c r="E150" s="10"/>
      <c r="F150" s="11"/>
    </row>
    <row r="151" spans="1:6" s="2" customFormat="1" ht="15" x14ac:dyDescent="0.25">
      <c r="A151" s="9">
        <v>42907</v>
      </c>
      <c r="B151" s="10" t="s">
        <v>178</v>
      </c>
      <c r="C151" s="10" t="s">
        <v>6</v>
      </c>
      <c r="D151" s="10"/>
      <c r="E151" s="10"/>
      <c r="F151" s="11"/>
    </row>
    <row r="152" spans="1:6" s="2" customFormat="1" ht="15" x14ac:dyDescent="0.25">
      <c r="A152" s="9">
        <v>42907</v>
      </c>
      <c r="B152" s="10" t="s">
        <v>179</v>
      </c>
      <c r="C152" s="10" t="s">
        <v>180</v>
      </c>
      <c r="D152" s="10"/>
      <c r="E152" s="10"/>
      <c r="F152" s="11"/>
    </row>
    <row r="153" spans="1:6" s="2" customFormat="1" ht="30" x14ac:dyDescent="0.25">
      <c r="A153" s="9">
        <v>42907</v>
      </c>
      <c r="B153" s="10" t="s">
        <v>181</v>
      </c>
      <c r="C153" s="10" t="s">
        <v>91</v>
      </c>
      <c r="D153" s="10"/>
      <c r="E153" s="10"/>
      <c r="F153" s="11"/>
    </row>
    <row r="154" spans="1:6" s="2" customFormat="1" ht="30" x14ac:dyDescent="0.25">
      <c r="A154" s="9">
        <v>42907</v>
      </c>
      <c r="B154" s="10" t="s">
        <v>182</v>
      </c>
      <c r="C154" s="10" t="s">
        <v>183</v>
      </c>
      <c r="D154" s="10"/>
      <c r="E154" s="10"/>
      <c r="F154" s="11"/>
    </row>
    <row r="155" spans="1:6" s="2" customFormat="1" ht="15" x14ac:dyDescent="0.25">
      <c r="A155" s="9">
        <v>42907</v>
      </c>
      <c r="B155" s="10" t="s">
        <v>184</v>
      </c>
      <c r="C155" s="10" t="s">
        <v>185</v>
      </c>
      <c r="D155" s="10"/>
      <c r="E155" s="10"/>
      <c r="F155" s="11"/>
    </row>
    <row r="156" spans="1:6" s="2" customFormat="1" ht="15" x14ac:dyDescent="0.25">
      <c r="A156" s="9">
        <v>42907</v>
      </c>
      <c r="B156" s="10" t="s">
        <v>186</v>
      </c>
      <c r="C156" s="10" t="s">
        <v>187</v>
      </c>
      <c r="D156" s="10"/>
      <c r="E156" s="10"/>
      <c r="F156" s="11"/>
    </row>
    <row r="157" spans="1:6" s="2" customFormat="1" ht="30" x14ac:dyDescent="0.25">
      <c r="A157" s="9">
        <v>42907</v>
      </c>
      <c r="B157" s="10" t="s">
        <v>188</v>
      </c>
      <c r="C157" s="10" t="s">
        <v>189</v>
      </c>
      <c r="D157" s="10"/>
      <c r="E157" s="10"/>
      <c r="F157" s="11"/>
    </row>
    <row r="158" spans="1:6" s="2" customFormat="1" ht="15" x14ac:dyDescent="0.25">
      <c r="A158" s="9">
        <v>42907</v>
      </c>
      <c r="B158" s="10" t="s">
        <v>190</v>
      </c>
      <c r="C158" s="10" t="s">
        <v>187</v>
      </c>
      <c r="D158" s="10"/>
      <c r="E158" s="10"/>
      <c r="F158" s="11"/>
    </row>
    <row r="159" spans="1:6" s="2" customFormat="1" ht="15" x14ac:dyDescent="0.25">
      <c r="A159" s="9">
        <v>42907</v>
      </c>
      <c r="B159" s="10" t="s">
        <v>196</v>
      </c>
      <c r="C159" s="10" t="s">
        <v>91</v>
      </c>
      <c r="D159" s="10"/>
      <c r="E159" s="10"/>
      <c r="F159" s="11"/>
    </row>
    <row r="160" spans="1:6" s="2" customFormat="1" ht="15" x14ac:dyDescent="0.25">
      <c r="A160" s="9">
        <v>42908</v>
      </c>
      <c r="B160" s="10" t="s">
        <v>191</v>
      </c>
      <c r="C160" s="10" t="s">
        <v>180</v>
      </c>
      <c r="D160" s="10"/>
      <c r="E160" s="10"/>
      <c r="F160" s="11"/>
    </row>
    <row r="161" spans="1:6" s="2" customFormat="1" ht="15" x14ac:dyDescent="0.25">
      <c r="A161" s="9">
        <v>42908</v>
      </c>
      <c r="B161" s="10" t="s">
        <v>158</v>
      </c>
      <c r="C161" s="10" t="s">
        <v>51</v>
      </c>
      <c r="D161" s="10"/>
      <c r="E161" s="10"/>
      <c r="F161" s="11"/>
    </row>
    <row r="162" spans="1:6" s="2" customFormat="1" ht="15" x14ac:dyDescent="0.25">
      <c r="A162" s="9">
        <v>42908</v>
      </c>
      <c r="B162" s="10" t="s">
        <v>192</v>
      </c>
      <c r="C162" s="10" t="s">
        <v>180</v>
      </c>
      <c r="D162" s="10"/>
      <c r="E162" s="10"/>
      <c r="F162" s="11"/>
    </row>
    <row r="163" spans="1:6" s="2" customFormat="1" ht="30" x14ac:dyDescent="0.25">
      <c r="A163" s="9">
        <v>42908</v>
      </c>
      <c r="B163" s="10" t="s">
        <v>193</v>
      </c>
      <c r="C163" s="10" t="s">
        <v>194</v>
      </c>
      <c r="D163" s="10"/>
      <c r="E163" s="10"/>
      <c r="F163" s="11"/>
    </row>
    <row r="164" spans="1:6" s="2" customFormat="1" ht="15" x14ac:dyDescent="0.25">
      <c r="A164" s="9">
        <v>42908</v>
      </c>
      <c r="B164" s="10" t="s">
        <v>195</v>
      </c>
      <c r="C164" s="10" t="s">
        <v>51</v>
      </c>
      <c r="D164" s="10"/>
      <c r="E164" s="10"/>
      <c r="F164" s="11"/>
    </row>
    <row r="165" spans="1:6" s="2" customFormat="1" ht="15" x14ac:dyDescent="0.25">
      <c r="A165" s="9">
        <v>42913</v>
      </c>
      <c r="B165" s="10" t="s">
        <v>197</v>
      </c>
      <c r="C165" s="10" t="s">
        <v>19</v>
      </c>
      <c r="D165" s="10"/>
      <c r="E165" s="10"/>
      <c r="F165" s="11"/>
    </row>
    <row r="166" spans="1:6" s="2" customFormat="1" ht="15" x14ac:dyDescent="0.25">
      <c r="A166" s="9">
        <v>42913</v>
      </c>
      <c r="B166" s="10" t="s">
        <v>188</v>
      </c>
      <c r="C166" s="10" t="s">
        <v>6</v>
      </c>
      <c r="D166" s="10"/>
      <c r="E166" s="10"/>
      <c r="F166" s="11"/>
    </row>
    <row r="167" spans="1:6" s="2" customFormat="1" ht="15" x14ac:dyDescent="0.25">
      <c r="A167" s="9">
        <v>42913</v>
      </c>
      <c r="B167" s="10" t="s">
        <v>198</v>
      </c>
      <c r="C167" s="10" t="s">
        <v>6</v>
      </c>
      <c r="D167" s="10"/>
      <c r="E167" s="10"/>
      <c r="F167" s="11"/>
    </row>
    <row r="168" spans="1:6" s="2" customFormat="1" ht="30" x14ac:dyDescent="0.25">
      <c r="A168" s="9">
        <v>42913</v>
      </c>
      <c r="B168" s="10" t="s">
        <v>199</v>
      </c>
      <c r="C168" s="10" t="s">
        <v>200</v>
      </c>
      <c r="D168" s="10"/>
      <c r="E168" s="10"/>
      <c r="F168" s="11"/>
    </row>
    <row r="169" spans="1:6" s="2" customFormat="1" ht="30" x14ac:dyDescent="0.25">
      <c r="A169" s="9">
        <v>42914</v>
      </c>
      <c r="B169" s="10" t="s">
        <v>201</v>
      </c>
      <c r="C169" s="10" t="s">
        <v>187</v>
      </c>
      <c r="D169" s="10"/>
      <c r="E169" s="10"/>
      <c r="F169" s="11"/>
    </row>
    <row r="170" spans="1:6" s="2" customFormat="1" ht="15" x14ac:dyDescent="0.25">
      <c r="A170" s="9">
        <v>42914</v>
      </c>
      <c r="B170" s="10" t="s">
        <v>202</v>
      </c>
      <c r="C170" s="10" t="s">
        <v>39</v>
      </c>
      <c r="D170" s="10"/>
      <c r="E170" s="10"/>
      <c r="F170" s="11"/>
    </row>
    <row r="171" spans="1:6" s="2" customFormat="1" ht="15" x14ac:dyDescent="0.25">
      <c r="A171" s="9">
        <v>42914</v>
      </c>
      <c r="B171" s="10" t="s">
        <v>159</v>
      </c>
      <c r="C171" s="10" t="s">
        <v>6</v>
      </c>
      <c r="D171" s="10"/>
      <c r="E171" s="10"/>
      <c r="F171" s="11"/>
    </row>
    <row r="172" spans="1:6" s="2" customFormat="1" ht="15" x14ac:dyDescent="0.25">
      <c r="A172" s="9">
        <v>42915</v>
      </c>
      <c r="B172" s="10" t="s">
        <v>203</v>
      </c>
      <c r="C172" s="10" t="s">
        <v>19</v>
      </c>
      <c r="D172" s="10"/>
      <c r="E172" s="10"/>
      <c r="F172" s="11"/>
    </row>
    <row r="173" spans="1:6" s="2" customFormat="1" ht="15" x14ac:dyDescent="0.25">
      <c r="A173" s="9">
        <v>42915</v>
      </c>
      <c r="B173" s="10" t="s">
        <v>204</v>
      </c>
      <c r="C173" s="10" t="s">
        <v>39</v>
      </c>
      <c r="D173" s="10"/>
      <c r="E173" s="10"/>
      <c r="F173" s="11"/>
    </row>
    <row r="174" spans="1:6" s="2" customFormat="1" ht="15" x14ac:dyDescent="0.25">
      <c r="A174" s="9">
        <v>42915</v>
      </c>
      <c r="B174" s="10" t="s">
        <v>205</v>
      </c>
      <c r="C174" s="10" t="s">
        <v>206</v>
      </c>
      <c r="D174" s="10"/>
      <c r="E174" s="10"/>
      <c r="F174" s="11"/>
    </row>
    <row r="175" spans="1:6" s="2" customFormat="1" ht="15" x14ac:dyDescent="0.25">
      <c r="A175" s="9">
        <v>42915</v>
      </c>
      <c r="B175" s="10" t="s">
        <v>207</v>
      </c>
      <c r="C175" s="10" t="s">
        <v>6</v>
      </c>
      <c r="D175" s="10"/>
      <c r="E175" s="10"/>
      <c r="F175" s="11"/>
    </row>
    <row r="176" spans="1:6" s="2" customFormat="1" ht="15" x14ac:dyDescent="0.25">
      <c r="A176" s="9">
        <v>42915</v>
      </c>
      <c r="B176" s="10" t="s">
        <v>208</v>
      </c>
      <c r="C176" s="10" t="s">
        <v>6</v>
      </c>
      <c r="D176" s="10"/>
      <c r="E176" s="10"/>
      <c r="F176" s="11"/>
    </row>
    <row r="177" spans="1:6" s="2" customFormat="1" ht="15" x14ac:dyDescent="0.25">
      <c r="A177" s="9">
        <v>42915</v>
      </c>
      <c r="B177" s="10" t="s">
        <v>209</v>
      </c>
      <c r="C177" s="10" t="s">
        <v>6</v>
      </c>
      <c r="D177" s="10"/>
      <c r="E177" s="10"/>
      <c r="F177" s="11"/>
    </row>
    <row r="178" spans="1:6" s="2" customFormat="1" ht="15" x14ac:dyDescent="0.25">
      <c r="A178" s="9">
        <v>42915</v>
      </c>
      <c r="B178" s="10" t="s">
        <v>210</v>
      </c>
      <c r="C178" s="10" t="s">
        <v>6</v>
      </c>
      <c r="D178" s="10"/>
      <c r="E178" s="10"/>
      <c r="F178" s="11"/>
    </row>
    <row r="179" spans="1:6" s="2" customFormat="1" ht="15" x14ac:dyDescent="0.25">
      <c r="A179" s="9">
        <v>42915</v>
      </c>
      <c r="B179" s="10" t="s">
        <v>211</v>
      </c>
      <c r="C179" s="10" t="s">
        <v>6</v>
      </c>
      <c r="D179" s="10"/>
      <c r="E179" s="10"/>
      <c r="F179" s="11"/>
    </row>
    <row r="180" spans="1:6" s="2" customFormat="1" ht="15" x14ac:dyDescent="0.25">
      <c r="A180" s="9">
        <v>42916</v>
      </c>
      <c r="B180" s="10" t="s">
        <v>212</v>
      </c>
      <c r="C180" s="10" t="s">
        <v>6</v>
      </c>
      <c r="D180" s="10"/>
      <c r="E180" s="10"/>
      <c r="F180" s="11"/>
    </row>
    <row r="181" spans="1:6" s="2" customFormat="1" ht="15" x14ac:dyDescent="0.25">
      <c r="A181" s="9">
        <v>42921</v>
      </c>
      <c r="B181" s="10" t="s">
        <v>213</v>
      </c>
      <c r="C181" s="10" t="s">
        <v>6</v>
      </c>
      <c r="D181" s="10"/>
      <c r="E181" s="10"/>
      <c r="F181" s="11"/>
    </row>
    <row r="182" spans="1:6" s="2" customFormat="1" ht="45" x14ac:dyDescent="0.25">
      <c r="A182" s="9">
        <v>42922</v>
      </c>
      <c r="B182" s="10" t="s">
        <v>214</v>
      </c>
      <c r="C182" s="10" t="s">
        <v>215</v>
      </c>
      <c r="D182" s="10"/>
      <c r="E182" s="10"/>
      <c r="F182" s="11"/>
    </row>
    <row r="183" spans="1:6" s="2" customFormat="1" ht="30" x14ac:dyDescent="0.25">
      <c r="A183" s="9">
        <v>42922</v>
      </c>
      <c r="B183" s="10" t="s">
        <v>216</v>
      </c>
      <c r="C183" s="10" t="s">
        <v>6</v>
      </c>
      <c r="D183" s="10"/>
      <c r="E183" s="10"/>
      <c r="F183" s="11"/>
    </row>
    <row r="184" spans="1:6" s="2" customFormat="1" ht="30" x14ac:dyDescent="0.25">
      <c r="A184" s="9">
        <v>42922</v>
      </c>
      <c r="B184" s="10" t="s">
        <v>217</v>
      </c>
      <c r="C184" s="10" t="s">
        <v>6</v>
      </c>
      <c r="D184" s="10"/>
      <c r="E184" s="10"/>
      <c r="F184" s="11"/>
    </row>
    <row r="185" spans="1:6" s="2" customFormat="1" ht="30" x14ac:dyDescent="0.25">
      <c r="A185" s="9">
        <v>42923</v>
      </c>
      <c r="B185" s="10" t="s">
        <v>218</v>
      </c>
      <c r="C185" s="10" t="s">
        <v>6</v>
      </c>
      <c r="D185" s="10"/>
      <c r="E185" s="10"/>
      <c r="F185" s="11"/>
    </row>
    <row r="186" spans="1:6" s="2" customFormat="1" ht="15" x14ac:dyDescent="0.25">
      <c r="A186" s="9">
        <v>42923</v>
      </c>
      <c r="B186" s="10" t="s">
        <v>219</v>
      </c>
      <c r="C186" s="10" t="s">
        <v>6</v>
      </c>
      <c r="D186" s="10"/>
      <c r="E186" s="10"/>
      <c r="F186" s="11"/>
    </row>
    <row r="187" spans="1:6" s="2" customFormat="1" ht="15" x14ac:dyDescent="0.25">
      <c r="A187" s="9">
        <v>42927</v>
      </c>
      <c r="B187" s="10" t="s">
        <v>220</v>
      </c>
      <c r="C187" s="10" t="s">
        <v>6</v>
      </c>
      <c r="D187" s="10"/>
      <c r="E187" s="10"/>
      <c r="F187" s="11"/>
    </row>
    <row r="188" spans="1:6" s="2" customFormat="1" ht="45" x14ac:dyDescent="0.25">
      <c r="A188" s="9">
        <v>42927</v>
      </c>
      <c r="B188" s="10" t="s">
        <v>221</v>
      </c>
      <c r="C188" s="10" t="s">
        <v>222</v>
      </c>
      <c r="D188" s="10"/>
      <c r="E188" s="10"/>
      <c r="F188" s="11"/>
    </row>
    <row r="189" spans="1:6" s="2" customFormat="1" ht="30" x14ac:dyDescent="0.25">
      <c r="A189" s="9">
        <v>42928</v>
      </c>
      <c r="B189" s="36" t="s">
        <v>223</v>
      </c>
      <c r="C189" s="10" t="s">
        <v>224</v>
      </c>
      <c r="D189" s="10"/>
      <c r="E189" s="10"/>
      <c r="F189" s="11"/>
    </row>
    <row r="190" spans="1:6" s="2" customFormat="1" ht="15" x14ac:dyDescent="0.25">
      <c r="A190" s="9">
        <v>42928</v>
      </c>
      <c r="B190" s="36" t="s">
        <v>225</v>
      </c>
      <c r="C190" s="10" t="s">
        <v>6</v>
      </c>
      <c r="D190" s="10"/>
      <c r="E190" s="10"/>
      <c r="F190" s="11"/>
    </row>
    <row r="191" spans="1:6" s="2" customFormat="1" ht="15" x14ac:dyDescent="0.25">
      <c r="A191" s="9">
        <v>42928</v>
      </c>
      <c r="B191" s="10" t="s">
        <v>226</v>
      </c>
      <c r="C191" s="10" t="s">
        <v>91</v>
      </c>
      <c r="D191" s="10"/>
      <c r="E191" s="10"/>
      <c r="F191" s="11"/>
    </row>
    <row r="192" spans="1:6" s="2" customFormat="1" ht="15" x14ac:dyDescent="0.25">
      <c r="A192" s="9">
        <v>42928</v>
      </c>
      <c r="B192" s="36" t="s">
        <v>227</v>
      </c>
      <c r="C192" s="10" t="s">
        <v>6</v>
      </c>
      <c r="D192" s="10"/>
      <c r="E192" s="10"/>
      <c r="F192" s="11"/>
    </row>
    <row r="193" spans="1:6" s="2" customFormat="1" ht="15" x14ac:dyDescent="0.25">
      <c r="A193" s="9">
        <v>42928</v>
      </c>
      <c r="B193" s="36" t="s">
        <v>228</v>
      </c>
      <c r="C193" s="10" t="s">
        <v>241</v>
      </c>
      <c r="D193" s="10"/>
      <c r="E193" s="10"/>
      <c r="F193" s="11"/>
    </row>
    <row r="194" spans="1:6" s="2" customFormat="1" ht="15" x14ac:dyDescent="0.25">
      <c r="A194" s="9">
        <v>42928</v>
      </c>
      <c r="B194" s="36" t="s">
        <v>229</v>
      </c>
      <c r="C194" s="10" t="s">
        <v>6</v>
      </c>
      <c r="D194" s="10"/>
      <c r="E194" s="10"/>
      <c r="F194" s="11"/>
    </row>
    <row r="195" spans="1:6" s="2" customFormat="1" ht="15" x14ac:dyDescent="0.25">
      <c r="A195" s="9">
        <v>42928</v>
      </c>
      <c r="B195" s="36" t="s">
        <v>230</v>
      </c>
      <c r="C195" s="10" t="s">
        <v>241</v>
      </c>
      <c r="D195" s="10"/>
      <c r="E195" s="10"/>
      <c r="F195" s="11"/>
    </row>
    <row r="196" spans="1:6" s="2" customFormat="1" ht="15" x14ac:dyDescent="0.25">
      <c r="A196" s="9">
        <v>42928</v>
      </c>
      <c r="B196" s="36" t="s">
        <v>231</v>
      </c>
      <c r="C196" s="10" t="s">
        <v>6</v>
      </c>
      <c r="D196" s="10"/>
      <c r="E196" s="10"/>
      <c r="F196" s="11"/>
    </row>
    <row r="197" spans="1:6" s="2" customFormat="1" ht="15" x14ac:dyDescent="0.25">
      <c r="A197" s="9">
        <v>42928</v>
      </c>
      <c r="B197" s="36" t="s">
        <v>232</v>
      </c>
      <c r="C197" s="10" t="s">
        <v>233</v>
      </c>
      <c r="D197" s="10"/>
      <c r="E197" s="10"/>
      <c r="F197" s="11"/>
    </row>
    <row r="198" spans="1:6" s="2" customFormat="1" ht="15" x14ac:dyDescent="0.25">
      <c r="A198" s="9">
        <v>42928</v>
      </c>
      <c r="B198" s="36" t="s">
        <v>234</v>
      </c>
      <c r="C198" s="10" t="s">
        <v>6</v>
      </c>
      <c r="D198" s="10"/>
      <c r="E198" s="10"/>
      <c r="F198" s="11"/>
    </row>
    <row r="199" spans="1:6" s="2" customFormat="1" ht="15" x14ac:dyDescent="0.25">
      <c r="A199" s="9">
        <v>42928</v>
      </c>
      <c r="B199" s="36" t="s">
        <v>235</v>
      </c>
      <c r="C199" s="10" t="s">
        <v>242</v>
      </c>
      <c r="D199" s="10"/>
      <c r="E199" s="10"/>
      <c r="F199" s="11"/>
    </row>
    <row r="200" spans="1:6" s="2" customFormat="1" ht="15" x14ac:dyDescent="0.25">
      <c r="A200" s="9">
        <v>42928</v>
      </c>
      <c r="B200" s="36" t="s">
        <v>236</v>
      </c>
      <c r="C200" s="10" t="s">
        <v>241</v>
      </c>
      <c r="D200" s="10"/>
      <c r="E200" s="10"/>
      <c r="F200" s="11"/>
    </row>
    <row r="201" spans="1:6" s="2" customFormat="1" ht="15" x14ac:dyDescent="0.25">
      <c r="A201" s="9">
        <v>42928</v>
      </c>
      <c r="B201" s="36" t="s">
        <v>237</v>
      </c>
      <c r="C201" s="10" t="s">
        <v>240</v>
      </c>
      <c r="D201" s="10"/>
      <c r="E201" s="10"/>
      <c r="F201" s="11"/>
    </row>
    <row r="202" spans="1:6" s="2" customFormat="1" ht="15" x14ac:dyDescent="0.25">
      <c r="A202" s="9">
        <v>42928</v>
      </c>
      <c r="B202" s="10" t="s">
        <v>238</v>
      </c>
      <c r="C202" s="10" t="s">
        <v>39</v>
      </c>
      <c r="D202" s="10"/>
      <c r="E202" s="10"/>
      <c r="F202" s="11"/>
    </row>
    <row r="203" spans="1:6" s="2" customFormat="1" ht="15" x14ac:dyDescent="0.25">
      <c r="A203" s="9">
        <v>42928</v>
      </c>
      <c r="B203" s="10" t="s">
        <v>239</v>
      </c>
      <c r="C203" s="10" t="s">
        <v>6</v>
      </c>
      <c r="D203" s="10"/>
      <c r="E203" s="10"/>
      <c r="F203" s="11"/>
    </row>
    <row r="204" spans="1:6" s="2" customFormat="1" ht="15" x14ac:dyDescent="0.25">
      <c r="A204" s="9">
        <v>42929</v>
      </c>
      <c r="B204" s="10" t="s">
        <v>243</v>
      </c>
      <c r="C204" s="10" t="s">
        <v>6</v>
      </c>
      <c r="D204" s="10"/>
      <c r="E204" s="10"/>
      <c r="F204" s="11"/>
    </row>
    <row r="205" spans="1:6" s="2" customFormat="1" ht="15" x14ac:dyDescent="0.25">
      <c r="A205" s="9">
        <v>42929</v>
      </c>
      <c r="B205" s="10" t="s">
        <v>244</v>
      </c>
      <c r="C205" s="10" t="s">
        <v>122</v>
      </c>
      <c r="D205" s="10"/>
      <c r="E205" s="10"/>
      <c r="F205" s="11"/>
    </row>
    <row r="206" spans="1:6" s="2" customFormat="1" x14ac:dyDescent="0.25">
      <c r="A206" s="9">
        <v>42929</v>
      </c>
      <c r="B206" s="37" t="s">
        <v>245</v>
      </c>
      <c r="C206" s="10" t="s">
        <v>6</v>
      </c>
      <c r="D206" s="10"/>
      <c r="E206" s="10"/>
      <c r="F206" s="11"/>
    </row>
    <row r="207" spans="1:6" s="2" customFormat="1" x14ac:dyDescent="0.25">
      <c r="A207" s="9">
        <v>42929</v>
      </c>
      <c r="B207" s="37" t="s">
        <v>246</v>
      </c>
      <c r="C207" s="10" t="s">
        <v>6</v>
      </c>
      <c r="D207" s="10"/>
      <c r="E207" s="10"/>
      <c r="F207" s="11"/>
    </row>
    <row r="208" spans="1:6" s="2" customFormat="1" ht="15" x14ac:dyDescent="0.25">
      <c r="A208" s="9">
        <v>42929</v>
      </c>
      <c r="B208" s="10" t="s">
        <v>247</v>
      </c>
      <c r="C208" s="10" t="s">
        <v>6</v>
      </c>
      <c r="D208" s="10"/>
      <c r="E208" s="10"/>
      <c r="F208" s="11"/>
    </row>
    <row r="209" spans="1:6" s="2" customFormat="1" ht="15" x14ac:dyDescent="0.25">
      <c r="A209" s="9">
        <v>42930</v>
      </c>
      <c r="B209" s="10" t="s">
        <v>248</v>
      </c>
      <c r="C209" s="10" t="s">
        <v>6</v>
      </c>
      <c r="D209" s="10"/>
      <c r="E209" s="10"/>
      <c r="F209" s="11"/>
    </row>
    <row r="210" spans="1:6" s="2" customFormat="1" ht="15" x14ac:dyDescent="0.25">
      <c r="A210" s="9">
        <v>42933</v>
      </c>
      <c r="B210" s="10" t="s">
        <v>249</v>
      </c>
      <c r="C210" s="10" t="s">
        <v>6</v>
      </c>
      <c r="D210" s="10"/>
      <c r="E210" s="10"/>
      <c r="F210" s="11"/>
    </row>
    <row r="211" spans="1:6" s="2" customFormat="1" ht="15" x14ac:dyDescent="0.25">
      <c r="A211" s="9">
        <v>42933</v>
      </c>
      <c r="B211" s="10" t="s">
        <v>250</v>
      </c>
      <c r="C211" s="10" t="s">
        <v>6</v>
      </c>
      <c r="D211" s="10"/>
      <c r="E211" s="10"/>
      <c r="F211" s="11"/>
    </row>
    <row r="212" spans="1:6" s="2" customFormat="1" ht="15" x14ac:dyDescent="0.25">
      <c r="A212" s="9">
        <v>42933</v>
      </c>
      <c r="B212" s="10" t="s">
        <v>251</v>
      </c>
      <c r="C212" s="10" t="s">
        <v>6</v>
      </c>
      <c r="D212" s="10"/>
      <c r="E212" s="10"/>
      <c r="F212" s="11"/>
    </row>
    <row r="213" spans="1:6" s="2" customFormat="1" ht="15" x14ac:dyDescent="0.25">
      <c r="A213" s="9">
        <v>42935</v>
      </c>
      <c r="B213" s="10" t="s">
        <v>252</v>
      </c>
      <c r="C213" s="10" t="s">
        <v>6</v>
      </c>
      <c r="D213" s="10"/>
      <c r="E213" s="10"/>
      <c r="F213" s="11"/>
    </row>
    <row r="214" spans="1:6" s="2" customFormat="1" ht="15" x14ac:dyDescent="0.25">
      <c r="A214" s="9">
        <v>42935</v>
      </c>
      <c r="B214" s="10" t="s">
        <v>253</v>
      </c>
      <c r="C214" s="10" t="s">
        <v>263</v>
      </c>
      <c r="D214" s="10"/>
      <c r="E214" s="10"/>
      <c r="F214" s="11"/>
    </row>
    <row r="215" spans="1:6" s="2" customFormat="1" ht="30" x14ac:dyDescent="0.25">
      <c r="A215" s="9">
        <v>42935</v>
      </c>
      <c r="B215" s="10" t="s">
        <v>254</v>
      </c>
      <c r="C215" s="10" t="s">
        <v>263</v>
      </c>
      <c r="D215" s="10"/>
      <c r="E215" s="10"/>
      <c r="F215" s="11"/>
    </row>
    <row r="216" spans="1:6" s="2" customFormat="1" ht="15" x14ac:dyDescent="0.25">
      <c r="A216" s="9">
        <v>42935</v>
      </c>
      <c r="B216" s="10" t="s">
        <v>255</v>
      </c>
      <c r="C216" s="10" t="s">
        <v>6</v>
      </c>
      <c r="D216" s="10"/>
      <c r="E216" s="10"/>
      <c r="F216" s="11"/>
    </row>
    <row r="217" spans="1:6" s="2" customFormat="1" ht="15" x14ac:dyDescent="0.25">
      <c r="A217" s="9">
        <v>42935</v>
      </c>
      <c r="B217" s="10" t="s">
        <v>256</v>
      </c>
      <c r="C217" s="10" t="s">
        <v>122</v>
      </c>
      <c r="D217" s="10"/>
      <c r="E217" s="10"/>
      <c r="F217" s="11"/>
    </row>
    <row r="218" spans="1:6" s="2" customFormat="1" ht="15" x14ac:dyDescent="0.25">
      <c r="A218" s="9">
        <v>42935</v>
      </c>
      <c r="B218" s="10" t="s">
        <v>257</v>
      </c>
      <c r="C218" s="10" t="s">
        <v>91</v>
      </c>
      <c r="D218" s="10"/>
      <c r="E218" s="10"/>
      <c r="F218" s="11"/>
    </row>
    <row r="219" spans="1:6" s="2" customFormat="1" ht="15" x14ac:dyDescent="0.25">
      <c r="A219" s="9">
        <v>42935</v>
      </c>
      <c r="B219" s="10" t="s">
        <v>258</v>
      </c>
      <c r="C219" s="10" t="s">
        <v>259</v>
      </c>
      <c r="D219" s="10"/>
      <c r="E219" s="10"/>
      <c r="F219" s="11"/>
    </row>
    <row r="220" spans="1:6" s="2" customFormat="1" ht="30" x14ac:dyDescent="0.25">
      <c r="A220" s="9">
        <v>42935</v>
      </c>
      <c r="B220" s="10" t="s">
        <v>260</v>
      </c>
      <c r="C220" s="10" t="s">
        <v>6</v>
      </c>
      <c r="D220" s="10"/>
      <c r="E220" s="10"/>
      <c r="F220" s="11"/>
    </row>
    <row r="221" spans="1:6" s="2" customFormat="1" ht="30" x14ac:dyDescent="0.25">
      <c r="A221" s="9">
        <v>42935</v>
      </c>
      <c r="B221" s="10" t="s">
        <v>261</v>
      </c>
      <c r="C221" s="10" t="s">
        <v>187</v>
      </c>
      <c r="D221" s="10"/>
      <c r="E221" s="10"/>
      <c r="F221" s="11"/>
    </row>
    <row r="222" spans="1:6" s="2" customFormat="1" ht="15" x14ac:dyDescent="0.25">
      <c r="A222" s="9">
        <v>42935</v>
      </c>
      <c r="B222" s="10" t="s">
        <v>262</v>
      </c>
      <c r="C222" s="10" t="s">
        <v>263</v>
      </c>
      <c r="D222" s="10"/>
      <c r="E222" s="10"/>
      <c r="F222" s="11"/>
    </row>
    <row r="223" spans="1:6" s="2" customFormat="1" ht="15" x14ac:dyDescent="0.25">
      <c r="A223" s="9">
        <v>42935</v>
      </c>
      <c r="B223" s="10" t="s">
        <v>264</v>
      </c>
      <c r="C223" s="10" t="s">
        <v>6</v>
      </c>
      <c r="D223" s="10"/>
      <c r="E223" s="10"/>
      <c r="F223" s="11"/>
    </row>
    <row r="224" spans="1:6" s="2" customFormat="1" ht="15" x14ac:dyDescent="0.25">
      <c r="A224" s="9">
        <v>42935</v>
      </c>
      <c r="B224" s="10" t="s">
        <v>265</v>
      </c>
      <c r="C224" s="10" t="s">
        <v>91</v>
      </c>
      <c r="D224" s="10"/>
      <c r="E224" s="10"/>
      <c r="F224" s="11"/>
    </row>
    <row r="225" spans="1:6" s="2" customFormat="1" ht="15" x14ac:dyDescent="0.25">
      <c r="A225" s="9">
        <v>42935</v>
      </c>
      <c r="B225" s="10" t="s">
        <v>266</v>
      </c>
      <c r="C225" s="10" t="s">
        <v>6</v>
      </c>
      <c r="D225" s="10"/>
      <c r="E225" s="10"/>
      <c r="F225" s="11"/>
    </row>
    <row r="226" spans="1:6" s="2" customFormat="1" ht="15" x14ac:dyDescent="0.25">
      <c r="A226" s="9">
        <v>42935</v>
      </c>
      <c r="B226" s="10" t="s">
        <v>267</v>
      </c>
      <c r="C226" s="10" t="s">
        <v>6</v>
      </c>
      <c r="D226" s="10"/>
      <c r="E226" s="10"/>
      <c r="F226" s="11"/>
    </row>
    <row r="227" spans="1:6" s="2" customFormat="1" ht="15" x14ac:dyDescent="0.25">
      <c r="A227" s="9">
        <v>42935</v>
      </c>
      <c r="B227" s="10" t="s">
        <v>268</v>
      </c>
      <c r="C227" s="10" t="s">
        <v>6</v>
      </c>
      <c r="D227" s="10"/>
      <c r="E227" s="10"/>
      <c r="F227" s="11"/>
    </row>
    <row r="228" spans="1:6" s="2" customFormat="1" ht="15" x14ac:dyDescent="0.25">
      <c r="A228" s="9">
        <v>42935</v>
      </c>
      <c r="B228" s="10" t="s">
        <v>269</v>
      </c>
      <c r="C228" s="10" t="s">
        <v>6</v>
      </c>
      <c r="D228" s="10"/>
      <c r="E228" s="10"/>
      <c r="F228" s="11"/>
    </row>
    <row r="229" spans="1:6" s="2" customFormat="1" ht="15" x14ac:dyDescent="0.25">
      <c r="A229" s="9">
        <v>42935</v>
      </c>
      <c r="B229" s="10" t="s">
        <v>226</v>
      </c>
      <c r="C229" s="10" t="s">
        <v>6</v>
      </c>
      <c r="D229" s="10"/>
      <c r="E229" s="10"/>
      <c r="F229" s="11"/>
    </row>
    <row r="230" spans="1:6" s="2" customFormat="1" ht="30" x14ac:dyDescent="0.25">
      <c r="A230" s="9">
        <v>42937</v>
      </c>
      <c r="B230" s="10" t="s">
        <v>270</v>
      </c>
      <c r="C230" s="10" t="s">
        <v>6</v>
      </c>
      <c r="D230" s="10"/>
      <c r="E230" s="10"/>
      <c r="F230" s="11"/>
    </row>
    <row r="231" spans="1:6" s="2" customFormat="1" ht="15" x14ac:dyDescent="0.25">
      <c r="A231" s="9">
        <v>42937</v>
      </c>
      <c r="B231" s="10" t="s">
        <v>271</v>
      </c>
      <c r="C231" s="10" t="s">
        <v>6</v>
      </c>
      <c r="D231" s="10"/>
      <c r="E231" s="10"/>
      <c r="F231" s="11"/>
    </row>
    <row r="232" spans="1:6" s="2" customFormat="1" ht="15" x14ac:dyDescent="0.25">
      <c r="A232" s="9">
        <v>42940</v>
      </c>
      <c r="B232" s="10" t="s">
        <v>257</v>
      </c>
      <c r="C232" s="10" t="s">
        <v>39</v>
      </c>
      <c r="D232" s="10"/>
      <c r="E232" s="10"/>
      <c r="F232" s="11"/>
    </row>
    <row r="233" spans="1:6" s="2" customFormat="1" ht="15" x14ac:dyDescent="0.25">
      <c r="A233" s="9">
        <v>42940</v>
      </c>
      <c r="B233" s="10" t="s">
        <v>272</v>
      </c>
      <c r="C233" s="10" t="s">
        <v>6</v>
      </c>
      <c r="D233" s="10"/>
      <c r="E233" s="10"/>
      <c r="F233" s="11"/>
    </row>
    <row r="234" spans="1:6" s="2" customFormat="1" ht="15" x14ac:dyDescent="0.25">
      <c r="A234" s="9">
        <v>42940</v>
      </c>
      <c r="B234" s="10" t="s">
        <v>273</v>
      </c>
      <c r="C234" s="10" t="s">
        <v>6</v>
      </c>
      <c r="D234" s="10"/>
      <c r="E234" s="10"/>
      <c r="F234" s="11"/>
    </row>
    <row r="235" spans="1:6" s="2" customFormat="1" ht="15" x14ac:dyDescent="0.25">
      <c r="A235" s="9">
        <v>42940</v>
      </c>
      <c r="B235" s="10" t="s">
        <v>274</v>
      </c>
      <c r="C235" s="10" t="s">
        <v>275</v>
      </c>
      <c r="D235" s="10"/>
      <c r="E235" s="10"/>
      <c r="F235" s="11"/>
    </row>
    <row r="236" spans="1:6" s="2" customFormat="1" ht="15" x14ac:dyDescent="0.25">
      <c r="A236" s="9">
        <v>42940</v>
      </c>
      <c r="B236" s="10" t="s">
        <v>276</v>
      </c>
      <c r="C236" s="10" t="s">
        <v>275</v>
      </c>
      <c r="D236" s="10"/>
      <c r="E236" s="10"/>
      <c r="F236" s="11"/>
    </row>
    <row r="237" spans="1:6" s="2" customFormat="1" ht="15" x14ac:dyDescent="0.25">
      <c r="A237" s="9">
        <v>42942</v>
      </c>
      <c r="B237" s="10" t="s">
        <v>277</v>
      </c>
      <c r="C237" s="10" t="s">
        <v>6</v>
      </c>
      <c r="D237" s="10"/>
      <c r="E237" s="10"/>
      <c r="F237" s="11"/>
    </row>
    <row r="238" spans="1:6" s="2" customFormat="1" ht="15" x14ac:dyDescent="0.25">
      <c r="A238" s="9">
        <v>42942</v>
      </c>
      <c r="B238" s="10" t="s">
        <v>278</v>
      </c>
      <c r="C238" s="10" t="s">
        <v>6</v>
      </c>
      <c r="D238" s="10"/>
      <c r="E238" s="10"/>
      <c r="F238" s="11"/>
    </row>
    <row r="239" spans="1:6" s="2" customFormat="1" ht="15" x14ac:dyDescent="0.25">
      <c r="A239" s="9">
        <v>42943</v>
      </c>
      <c r="B239" s="10" t="s">
        <v>279</v>
      </c>
      <c r="C239" s="10" t="s">
        <v>6</v>
      </c>
      <c r="D239" s="10"/>
      <c r="E239" s="10"/>
      <c r="F239" s="11"/>
    </row>
    <row r="240" spans="1:6" s="2" customFormat="1" ht="15" x14ac:dyDescent="0.25">
      <c r="A240" s="9">
        <v>42943</v>
      </c>
      <c r="B240" s="10" t="s">
        <v>280</v>
      </c>
      <c r="C240" s="10" t="s">
        <v>6</v>
      </c>
      <c r="D240" s="10"/>
      <c r="E240" s="10"/>
      <c r="F240" s="11"/>
    </row>
    <row r="241" spans="1:6" s="2" customFormat="1" ht="15" x14ac:dyDescent="0.25">
      <c r="A241" s="9">
        <v>42944</v>
      </c>
      <c r="B241" s="10" t="s">
        <v>281</v>
      </c>
      <c r="C241" s="10" t="s">
        <v>6</v>
      </c>
      <c r="D241" s="10"/>
      <c r="E241" s="10"/>
      <c r="F241" s="11"/>
    </row>
    <row r="242" spans="1:6" s="2" customFormat="1" ht="15" x14ac:dyDescent="0.25">
      <c r="A242" s="9">
        <v>42944</v>
      </c>
      <c r="B242" s="10" t="s">
        <v>265</v>
      </c>
      <c r="C242" s="10" t="s">
        <v>6</v>
      </c>
      <c r="D242" s="10"/>
      <c r="E242" s="10"/>
      <c r="F242" s="11"/>
    </row>
    <row r="243" spans="1:6" s="2" customFormat="1" ht="15" x14ac:dyDescent="0.25">
      <c r="A243" s="9">
        <v>42947</v>
      </c>
      <c r="B243" s="10" t="s">
        <v>282</v>
      </c>
      <c r="C243" s="10" t="s">
        <v>122</v>
      </c>
      <c r="D243" s="10"/>
      <c r="E243" s="10"/>
      <c r="F243" s="11"/>
    </row>
    <row r="244" spans="1:6" s="2" customFormat="1" ht="15" x14ac:dyDescent="0.25">
      <c r="A244" s="9">
        <v>42947</v>
      </c>
      <c r="B244" s="10" t="s">
        <v>283</v>
      </c>
      <c r="C244" s="10" t="s">
        <v>284</v>
      </c>
      <c r="D244" s="10"/>
      <c r="E244" s="10"/>
      <c r="F244" s="11"/>
    </row>
    <row r="245" spans="1:6" s="2" customFormat="1" ht="15" x14ac:dyDescent="0.25">
      <c r="A245" s="9">
        <v>42947</v>
      </c>
      <c r="B245" s="10" t="s">
        <v>285</v>
      </c>
      <c r="C245" s="10" t="s">
        <v>6</v>
      </c>
      <c r="D245" s="10"/>
      <c r="E245" s="10"/>
      <c r="F245" s="11"/>
    </row>
    <row r="246" spans="1:6" s="2" customFormat="1" ht="30" x14ac:dyDescent="0.25">
      <c r="A246" s="9">
        <v>42947</v>
      </c>
      <c r="B246" s="10" t="s">
        <v>286</v>
      </c>
      <c r="C246" s="10" t="s">
        <v>6</v>
      </c>
      <c r="D246" s="10"/>
      <c r="E246" s="10"/>
      <c r="F246" s="11"/>
    </row>
    <row r="247" spans="1:6" s="2" customFormat="1" ht="15" x14ac:dyDescent="0.25">
      <c r="A247" s="9">
        <v>42947</v>
      </c>
      <c r="B247" s="10" t="s">
        <v>287</v>
      </c>
      <c r="C247" s="10" t="s">
        <v>91</v>
      </c>
      <c r="D247" s="10"/>
      <c r="E247" s="10"/>
      <c r="F247" s="11"/>
    </row>
    <row r="248" spans="1:6" s="2" customFormat="1" ht="15" x14ac:dyDescent="0.25">
      <c r="A248" s="9">
        <v>42948</v>
      </c>
      <c r="B248" s="10" t="s">
        <v>288</v>
      </c>
      <c r="C248" s="10" t="s">
        <v>241</v>
      </c>
      <c r="D248" s="10"/>
      <c r="E248" s="10"/>
      <c r="F248" s="11"/>
    </row>
    <row r="249" spans="1:6" s="2" customFormat="1" ht="15" x14ac:dyDescent="0.25">
      <c r="A249" s="9">
        <v>42948</v>
      </c>
      <c r="B249" s="10" t="s">
        <v>289</v>
      </c>
      <c r="C249" s="10" t="s">
        <v>91</v>
      </c>
      <c r="D249" s="10"/>
      <c r="E249" s="10"/>
      <c r="F249" s="11"/>
    </row>
    <row r="250" spans="1:6" s="2" customFormat="1" ht="30" x14ac:dyDescent="0.25">
      <c r="A250" s="9">
        <v>42948</v>
      </c>
      <c r="B250" s="15" t="s">
        <v>290</v>
      </c>
      <c r="C250" s="15" t="s">
        <v>91</v>
      </c>
      <c r="D250" s="10"/>
      <c r="E250" s="10"/>
      <c r="F250" s="11"/>
    </row>
    <row r="251" spans="1:6" s="2" customFormat="1" ht="15" x14ac:dyDescent="0.25">
      <c r="A251" s="9">
        <v>42948</v>
      </c>
      <c r="B251" s="15" t="s">
        <v>291</v>
      </c>
      <c r="C251" s="15" t="s">
        <v>6</v>
      </c>
      <c r="D251" s="10"/>
      <c r="E251" s="10"/>
      <c r="F251" s="11"/>
    </row>
    <row r="252" spans="1:6" s="2" customFormat="1" ht="15" x14ac:dyDescent="0.25">
      <c r="A252" s="9">
        <v>42948</v>
      </c>
      <c r="B252" s="10" t="s">
        <v>292</v>
      </c>
      <c r="C252" s="10" t="s">
        <v>187</v>
      </c>
      <c r="D252" s="10"/>
      <c r="E252" s="10"/>
      <c r="F252" s="11"/>
    </row>
    <row r="253" spans="1:6" s="2" customFormat="1" ht="15" x14ac:dyDescent="0.25">
      <c r="A253" s="9">
        <v>42948</v>
      </c>
      <c r="B253" s="10" t="s">
        <v>293</v>
      </c>
      <c r="C253" s="10" t="s">
        <v>294</v>
      </c>
      <c r="D253" s="10"/>
      <c r="E253" s="10"/>
      <c r="F253" s="11"/>
    </row>
    <row r="254" spans="1:6" s="2" customFormat="1" ht="15" x14ac:dyDescent="0.25">
      <c r="A254" s="9">
        <v>42948</v>
      </c>
      <c r="B254" s="10" t="s">
        <v>295</v>
      </c>
      <c r="C254" s="10" t="s">
        <v>6</v>
      </c>
      <c r="D254" s="10"/>
      <c r="E254" s="10"/>
      <c r="F254" s="11"/>
    </row>
    <row r="255" spans="1:6" s="2" customFormat="1" ht="15" x14ac:dyDescent="0.25">
      <c r="A255" s="9">
        <v>42948</v>
      </c>
      <c r="B255" s="10" t="s">
        <v>296</v>
      </c>
      <c r="C255" s="10" t="s">
        <v>91</v>
      </c>
      <c r="D255" s="10"/>
      <c r="E255" s="10"/>
      <c r="F255" s="11"/>
    </row>
    <row r="256" spans="1:6" s="2" customFormat="1" ht="15" x14ac:dyDescent="0.25">
      <c r="A256" s="9">
        <v>42948</v>
      </c>
      <c r="B256" s="10" t="s">
        <v>297</v>
      </c>
      <c r="C256" s="10" t="s">
        <v>6</v>
      </c>
      <c r="D256" s="10"/>
      <c r="E256" s="10"/>
      <c r="F256" s="11"/>
    </row>
    <row r="257" spans="1:6" s="2" customFormat="1" ht="15" x14ac:dyDescent="0.25">
      <c r="A257" s="9">
        <v>42948</v>
      </c>
      <c r="B257" s="10" t="s">
        <v>298</v>
      </c>
      <c r="C257" s="10" t="s">
        <v>275</v>
      </c>
      <c r="D257" s="10"/>
      <c r="E257" s="10"/>
      <c r="F257" s="11"/>
    </row>
    <row r="258" spans="1:6" s="2" customFormat="1" ht="15" x14ac:dyDescent="0.25">
      <c r="A258" s="9">
        <v>42948</v>
      </c>
      <c r="B258" s="10" t="s">
        <v>299</v>
      </c>
      <c r="C258" s="10" t="s">
        <v>275</v>
      </c>
      <c r="D258" s="10"/>
      <c r="E258" s="10"/>
      <c r="F258" s="11"/>
    </row>
    <row r="259" spans="1:6" s="2" customFormat="1" ht="30" x14ac:dyDescent="0.25">
      <c r="A259" s="9">
        <v>42948</v>
      </c>
      <c r="B259" s="10" t="s">
        <v>300</v>
      </c>
      <c r="C259" s="10" t="s">
        <v>275</v>
      </c>
      <c r="D259" s="10"/>
      <c r="E259" s="10"/>
      <c r="F259" s="11"/>
    </row>
    <row r="260" spans="1:6" s="2" customFormat="1" ht="30" x14ac:dyDescent="0.25">
      <c r="A260" s="9">
        <v>42948</v>
      </c>
      <c r="B260" s="10" t="s">
        <v>301</v>
      </c>
      <c r="C260" s="10" t="s">
        <v>39</v>
      </c>
      <c r="D260" s="10"/>
      <c r="E260" s="10"/>
      <c r="F260" s="11"/>
    </row>
    <row r="261" spans="1:6" s="2" customFormat="1" ht="30" x14ac:dyDescent="0.25">
      <c r="A261" s="9">
        <v>42948</v>
      </c>
      <c r="B261" s="10" t="s">
        <v>302</v>
      </c>
      <c r="C261" s="10" t="s">
        <v>303</v>
      </c>
      <c r="D261" s="10"/>
      <c r="E261" s="10"/>
      <c r="F261" s="11"/>
    </row>
    <row r="262" spans="1:6" s="2" customFormat="1" ht="30" x14ac:dyDescent="0.25">
      <c r="A262" s="9">
        <v>42948</v>
      </c>
      <c r="B262" s="10" t="s">
        <v>304</v>
      </c>
      <c r="C262" s="10" t="s">
        <v>305</v>
      </c>
      <c r="D262" s="10"/>
      <c r="E262" s="10"/>
      <c r="F262" s="11"/>
    </row>
    <row r="263" spans="1:6" s="2" customFormat="1" ht="15" x14ac:dyDescent="0.25">
      <c r="A263" s="9">
        <v>42948</v>
      </c>
      <c r="B263" s="10" t="s">
        <v>306</v>
      </c>
      <c r="C263" s="10" t="s">
        <v>259</v>
      </c>
      <c r="D263" s="10"/>
      <c r="E263" s="10"/>
      <c r="F263" s="11"/>
    </row>
    <row r="264" spans="1:6" s="2" customFormat="1" ht="30" x14ac:dyDescent="0.25">
      <c r="A264" s="9">
        <v>42948</v>
      </c>
      <c r="B264" s="10" t="s">
        <v>307</v>
      </c>
      <c r="C264" s="10" t="s">
        <v>23</v>
      </c>
      <c r="D264" s="10"/>
      <c r="E264" s="10"/>
      <c r="F264" s="11"/>
    </row>
    <row r="265" spans="1:6" s="2" customFormat="1" ht="26.25" customHeight="1" x14ac:dyDescent="0.25">
      <c r="A265" s="9">
        <v>42948</v>
      </c>
      <c r="B265" s="15" t="s">
        <v>308</v>
      </c>
      <c r="C265" s="10" t="s">
        <v>6</v>
      </c>
      <c r="D265" s="10"/>
      <c r="E265" s="10"/>
      <c r="F265" s="11"/>
    </row>
    <row r="266" spans="1:6" s="2" customFormat="1" ht="15" x14ac:dyDescent="0.25">
      <c r="A266" s="9">
        <v>42948</v>
      </c>
      <c r="B266" s="10" t="s">
        <v>309</v>
      </c>
      <c r="C266" s="10" t="s">
        <v>39</v>
      </c>
      <c r="D266" s="10"/>
      <c r="E266" s="10"/>
      <c r="F266" s="11"/>
    </row>
    <row r="267" spans="1:6" s="2" customFormat="1" ht="30" x14ac:dyDescent="0.25">
      <c r="A267" s="9">
        <v>42948</v>
      </c>
      <c r="B267" s="15" t="s">
        <v>310</v>
      </c>
      <c r="C267" s="10" t="s">
        <v>39</v>
      </c>
      <c r="D267" s="10"/>
      <c r="E267" s="10"/>
      <c r="F267" s="11"/>
    </row>
    <row r="268" spans="1:6" s="2" customFormat="1" ht="15" x14ac:dyDescent="0.25">
      <c r="A268" s="9">
        <v>42948</v>
      </c>
      <c r="B268" s="10" t="s">
        <v>311</v>
      </c>
      <c r="C268" s="10" t="s">
        <v>275</v>
      </c>
      <c r="D268" s="10"/>
      <c r="E268" s="10"/>
      <c r="F268" s="11"/>
    </row>
    <row r="269" spans="1:6" s="2" customFormat="1" ht="15" x14ac:dyDescent="0.25">
      <c r="A269" s="9">
        <v>42948</v>
      </c>
      <c r="B269" s="10" t="s">
        <v>312</v>
      </c>
      <c r="C269" s="10" t="s">
        <v>6</v>
      </c>
      <c r="D269" s="10"/>
      <c r="E269" s="10"/>
      <c r="F269" s="11"/>
    </row>
    <row r="270" spans="1:6" s="2" customFormat="1" ht="15" x14ac:dyDescent="0.25">
      <c r="A270" s="9">
        <v>42948</v>
      </c>
      <c r="B270" s="10" t="s">
        <v>313</v>
      </c>
      <c r="C270" s="10" t="s">
        <v>275</v>
      </c>
      <c r="D270" s="10"/>
      <c r="E270" s="10"/>
      <c r="F270" s="11"/>
    </row>
    <row r="271" spans="1:6" s="2" customFormat="1" ht="15" x14ac:dyDescent="0.25">
      <c r="A271" s="9">
        <v>42948</v>
      </c>
      <c r="B271" s="10" t="s">
        <v>314</v>
      </c>
      <c r="C271" s="10" t="s">
        <v>180</v>
      </c>
      <c r="D271" s="10"/>
      <c r="E271" s="10"/>
      <c r="F271" s="11"/>
    </row>
    <row r="272" spans="1:6" s="2" customFormat="1" ht="15" x14ac:dyDescent="0.25">
      <c r="A272" s="9">
        <v>42948</v>
      </c>
      <c r="B272" s="10" t="s">
        <v>315</v>
      </c>
      <c r="C272" s="10" t="s">
        <v>122</v>
      </c>
      <c r="D272" s="10"/>
      <c r="E272" s="10"/>
      <c r="F272" s="11"/>
    </row>
    <row r="273" spans="1:6" s="2" customFormat="1" ht="15" x14ac:dyDescent="0.25">
      <c r="A273" s="9">
        <v>42948</v>
      </c>
      <c r="B273" s="10" t="s">
        <v>316</v>
      </c>
      <c r="C273" s="10" t="s">
        <v>39</v>
      </c>
      <c r="D273" s="10"/>
      <c r="E273" s="10"/>
      <c r="F273" s="11"/>
    </row>
    <row r="274" spans="1:6" s="2" customFormat="1" ht="15" x14ac:dyDescent="0.25">
      <c r="A274" s="9">
        <v>42948</v>
      </c>
      <c r="B274" s="10" t="s">
        <v>287</v>
      </c>
      <c r="C274" s="10" t="s">
        <v>91</v>
      </c>
      <c r="D274" s="10"/>
      <c r="E274" s="10"/>
      <c r="F274" s="11"/>
    </row>
    <row r="275" spans="1:6" s="2" customFormat="1" ht="15" x14ac:dyDescent="0.25">
      <c r="A275" s="9">
        <v>42949</v>
      </c>
      <c r="B275" s="10" t="s">
        <v>317</v>
      </c>
      <c r="C275" s="10" t="s">
        <v>180</v>
      </c>
      <c r="D275" s="10"/>
      <c r="E275" s="10"/>
      <c r="F275" s="11"/>
    </row>
    <row r="276" spans="1:6" s="2" customFormat="1" ht="15" x14ac:dyDescent="0.25">
      <c r="A276" s="9">
        <v>42949</v>
      </c>
      <c r="B276" s="10" t="s">
        <v>318</v>
      </c>
      <c r="C276" s="10" t="s">
        <v>39</v>
      </c>
      <c r="D276" s="10"/>
      <c r="E276" s="10"/>
      <c r="F276" s="11"/>
    </row>
    <row r="277" spans="1:6" s="2" customFormat="1" ht="15" x14ac:dyDescent="0.25">
      <c r="A277" s="9">
        <v>42949</v>
      </c>
      <c r="B277" s="10" t="s">
        <v>319</v>
      </c>
      <c r="C277" s="10" t="s">
        <v>39</v>
      </c>
      <c r="D277" s="10"/>
      <c r="E277" s="10"/>
      <c r="F277" s="11"/>
    </row>
    <row r="278" spans="1:6" s="2" customFormat="1" ht="15" x14ac:dyDescent="0.25">
      <c r="A278" s="9">
        <v>42949</v>
      </c>
      <c r="B278" s="10" t="s">
        <v>320</v>
      </c>
      <c r="C278" s="10" t="s">
        <v>6</v>
      </c>
      <c r="D278" s="10"/>
      <c r="E278" s="10"/>
      <c r="F278" s="11"/>
    </row>
    <row r="279" spans="1:6" s="2" customFormat="1" ht="15" x14ac:dyDescent="0.25">
      <c r="A279" s="9">
        <v>42949</v>
      </c>
      <c r="B279" s="10" t="s">
        <v>321</v>
      </c>
      <c r="C279" s="10" t="s">
        <v>6</v>
      </c>
      <c r="D279" s="10"/>
      <c r="E279" s="10"/>
      <c r="F279" s="11"/>
    </row>
    <row r="280" spans="1:6" s="2" customFormat="1" ht="15" x14ac:dyDescent="0.25">
      <c r="A280" s="9">
        <v>42949</v>
      </c>
      <c r="B280" s="10" t="s">
        <v>322</v>
      </c>
      <c r="C280" s="10" t="s">
        <v>39</v>
      </c>
      <c r="D280" s="10"/>
      <c r="E280" s="10"/>
      <c r="F280" s="11"/>
    </row>
    <row r="281" spans="1:6" s="2" customFormat="1" ht="15" x14ac:dyDescent="0.25">
      <c r="A281" s="9">
        <v>42949</v>
      </c>
      <c r="B281" s="10" t="s">
        <v>323</v>
      </c>
      <c r="C281" s="10" t="s">
        <v>122</v>
      </c>
      <c r="D281" s="10"/>
      <c r="E281" s="10"/>
      <c r="F281" s="11"/>
    </row>
    <row r="282" spans="1:6" s="3" customFormat="1" ht="15" x14ac:dyDescent="0.25">
      <c r="A282" s="16">
        <v>42949</v>
      </c>
      <c r="B282" s="13" t="s">
        <v>324</v>
      </c>
      <c r="C282" s="13" t="s">
        <v>6</v>
      </c>
      <c r="D282" s="13"/>
      <c r="E282" s="13"/>
      <c r="F282" s="14"/>
    </row>
    <row r="283" spans="1:6" s="2" customFormat="1" ht="30" x14ac:dyDescent="0.25">
      <c r="A283" s="9">
        <v>42950</v>
      </c>
      <c r="B283" s="10" t="s">
        <v>325</v>
      </c>
      <c r="C283" s="10" t="s">
        <v>6</v>
      </c>
      <c r="D283" s="10" t="s">
        <v>327</v>
      </c>
      <c r="E283" s="10" t="s">
        <v>328</v>
      </c>
      <c r="F283" s="11"/>
    </row>
    <row r="284" spans="1:6" s="2" customFormat="1" ht="15" x14ac:dyDescent="0.2">
      <c r="A284" s="9">
        <v>42951</v>
      </c>
      <c r="B284" s="10" t="s">
        <v>329</v>
      </c>
      <c r="C284" s="10" t="s">
        <v>6</v>
      </c>
      <c r="D284" s="10" t="s">
        <v>334</v>
      </c>
      <c r="E284" s="23" t="s">
        <v>333</v>
      </c>
      <c r="F284" s="25" t="s">
        <v>330</v>
      </c>
    </row>
    <row r="285" spans="1:6" s="2" customFormat="1" ht="15" x14ac:dyDescent="0.25">
      <c r="A285" s="9">
        <v>42955</v>
      </c>
      <c r="B285" s="10" t="s">
        <v>335</v>
      </c>
      <c r="C285" s="10" t="s">
        <v>39</v>
      </c>
      <c r="D285" s="10" t="s">
        <v>336</v>
      </c>
      <c r="E285" s="10" t="s">
        <v>333</v>
      </c>
      <c r="F285" s="11" t="s">
        <v>337</v>
      </c>
    </row>
    <row r="286" spans="1:6" s="2" customFormat="1" ht="15" x14ac:dyDescent="0.25">
      <c r="A286" s="9">
        <v>42955</v>
      </c>
      <c r="B286" s="10" t="s">
        <v>338</v>
      </c>
      <c r="C286" s="10" t="s">
        <v>6</v>
      </c>
      <c r="D286" s="10" t="s">
        <v>334</v>
      </c>
      <c r="E286" s="10" t="s">
        <v>333</v>
      </c>
      <c r="F286" s="11" t="s">
        <v>339</v>
      </c>
    </row>
    <row r="287" spans="1:6" s="2" customFormat="1" ht="15" x14ac:dyDescent="0.25">
      <c r="A287" s="9">
        <v>42956</v>
      </c>
      <c r="B287" s="10" t="s">
        <v>347</v>
      </c>
      <c r="C287" s="10" t="s">
        <v>39</v>
      </c>
      <c r="D287" s="10" t="s">
        <v>336</v>
      </c>
      <c r="E287" s="10" t="s">
        <v>333</v>
      </c>
      <c r="F287" s="11" t="s">
        <v>348</v>
      </c>
    </row>
    <row r="288" spans="1:6" s="2" customFormat="1" ht="15" x14ac:dyDescent="0.25">
      <c r="A288" s="9">
        <v>42956</v>
      </c>
      <c r="B288" s="10" t="s">
        <v>354</v>
      </c>
      <c r="C288" s="10" t="s">
        <v>241</v>
      </c>
      <c r="D288" s="10" t="s">
        <v>336</v>
      </c>
      <c r="E288" s="10" t="s">
        <v>333</v>
      </c>
      <c r="F288" s="11" t="s">
        <v>355</v>
      </c>
    </row>
    <row r="289" spans="1:6" s="2" customFormat="1" ht="30" x14ac:dyDescent="0.25">
      <c r="A289" s="9">
        <v>42956</v>
      </c>
      <c r="B289" s="10" t="s">
        <v>342</v>
      </c>
      <c r="C289" s="10" t="s">
        <v>122</v>
      </c>
      <c r="D289" s="10" t="s">
        <v>343</v>
      </c>
      <c r="E289" s="10" t="s">
        <v>333</v>
      </c>
      <c r="F289" s="11" t="s">
        <v>344</v>
      </c>
    </row>
    <row r="290" spans="1:6" s="2" customFormat="1" ht="15" x14ac:dyDescent="0.25">
      <c r="A290" s="9">
        <v>42956</v>
      </c>
      <c r="B290" s="10" t="s">
        <v>345</v>
      </c>
      <c r="C290" s="10" t="s">
        <v>122</v>
      </c>
      <c r="D290" s="10" t="s">
        <v>343</v>
      </c>
      <c r="E290" s="10" t="s">
        <v>333</v>
      </c>
      <c r="F290" s="11" t="s">
        <v>346</v>
      </c>
    </row>
    <row r="291" spans="1:6" s="2" customFormat="1" ht="15" x14ac:dyDescent="0.25">
      <c r="A291" s="9">
        <v>42956</v>
      </c>
      <c r="B291" s="10" t="s">
        <v>349</v>
      </c>
      <c r="C291" s="10" t="s">
        <v>122</v>
      </c>
      <c r="D291" s="10" t="s">
        <v>343</v>
      </c>
      <c r="E291" s="10" t="s">
        <v>333</v>
      </c>
      <c r="F291" s="11" t="s">
        <v>350</v>
      </c>
    </row>
    <row r="292" spans="1:6" s="5" customFormat="1" ht="30" x14ac:dyDescent="0.25">
      <c r="A292" s="9">
        <v>42956</v>
      </c>
      <c r="B292" s="17" t="s">
        <v>351</v>
      </c>
      <c r="C292" s="17" t="s">
        <v>241</v>
      </c>
      <c r="D292" s="17" t="s">
        <v>352</v>
      </c>
      <c r="E292" s="17" t="s">
        <v>333</v>
      </c>
      <c r="F292" s="18" t="s">
        <v>353</v>
      </c>
    </row>
    <row r="293" spans="1:6" s="2" customFormat="1" ht="15" x14ac:dyDescent="0.25">
      <c r="A293" s="9">
        <v>42956</v>
      </c>
      <c r="B293" s="10" t="s">
        <v>340</v>
      </c>
      <c r="C293" s="10" t="s">
        <v>6</v>
      </c>
      <c r="D293" s="10" t="s">
        <v>334</v>
      </c>
      <c r="E293" s="10" t="s">
        <v>341</v>
      </c>
      <c r="F293" s="11"/>
    </row>
    <row r="294" spans="1:6" s="2" customFormat="1" ht="15" x14ac:dyDescent="0.25">
      <c r="A294" s="9">
        <v>42957</v>
      </c>
      <c r="B294" s="10" t="s">
        <v>362</v>
      </c>
      <c r="C294" s="10" t="s">
        <v>39</v>
      </c>
      <c r="D294" s="10" t="s">
        <v>336</v>
      </c>
      <c r="E294" s="10" t="s">
        <v>333</v>
      </c>
      <c r="F294" s="11" t="s">
        <v>363</v>
      </c>
    </row>
    <row r="295" spans="1:6" s="2" customFormat="1" ht="30" x14ac:dyDescent="0.25">
      <c r="A295" s="9">
        <v>42957</v>
      </c>
      <c r="B295" s="10" t="s">
        <v>366</v>
      </c>
      <c r="C295" s="10" t="s">
        <v>6</v>
      </c>
      <c r="D295" s="10" t="s">
        <v>352</v>
      </c>
      <c r="E295" s="10" t="s">
        <v>333</v>
      </c>
      <c r="F295" s="11" t="s">
        <v>367</v>
      </c>
    </row>
    <row r="296" spans="1:6" s="2" customFormat="1" ht="15" x14ac:dyDescent="0.25">
      <c r="A296" s="9">
        <v>42957</v>
      </c>
      <c r="B296" s="10" t="s">
        <v>359</v>
      </c>
      <c r="C296" s="10" t="s">
        <v>241</v>
      </c>
      <c r="D296" s="10" t="s">
        <v>439</v>
      </c>
      <c r="E296" s="10" t="s">
        <v>333</v>
      </c>
      <c r="F296" s="11" t="s">
        <v>337</v>
      </c>
    </row>
    <row r="297" spans="1:6" s="2" customFormat="1" ht="30" x14ac:dyDescent="0.25">
      <c r="A297" s="9">
        <v>42957</v>
      </c>
      <c r="B297" s="10" t="s">
        <v>356</v>
      </c>
      <c r="C297" s="10" t="s">
        <v>241</v>
      </c>
      <c r="D297" s="10" t="s">
        <v>357</v>
      </c>
      <c r="E297" s="10" t="s">
        <v>333</v>
      </c>
      <c r="F297" s="11" t="s">
        <v>358</v>
      </c>
    </row>
    <row r="298" spans="1:6" s="2" customFormat="1" ht="30" x14ac:dyDescent="0.25">
      <c r="A298" s="9">
        <v>42957</v>
      </c>
      <c r="B298" s="10" t="s">
        <v>360</v>
      </c>
      <c r="C298" s="10" t="s">
        <v>91</v>
      </c>
      <c r="D298" s="10" t="s">
        <v>357</v>
      </c>
      <c r="E298" s="10" t="s">
        <v>333</v>
      </c>
      <c r="F298" s="11" t="s">
        <v>361</v>
      </c>
    </row>
    <row r="299" spans="1:6" s="2" customFormat="1" ht="30" x14ac:dyDescent="0.25">
      <c r="A299" s="9">
        <v>42957</v>
      </c>
      <c r="B299" s="10" t="s">
        <v>365</v>
      </c>
      <c r="C299" s="10" t="s">
        <v>6</v>
      </c>
      <c r="D299" s="10" t="s">
        <v>357</v>
      </c>
      <c r="E299" s="10" t="s">
        <v>333</v>
      </c>
      <c r="F299" s="11" t="s">
        <v>364</v>
      </c>
    </row>
    <row r="300" spans="1:6" s="2" customFormat="1" ht="30" x14ac:dyDescent="0.25">
      <c r="A300" s="9">
        <v>42957</v>
      </c>
      <c r="B300" s="10" t="s">
        <v>368</v>
      </c>
      <c r="C300" s="10" t="s">
        <v>6</v>
      </c>
      <c r="D300" s="10" t="s">
        <v>357</v>
      </c>
      <c r="E300" s="10" t="s">
        <v>333</v>
      </c>
      <c r="F300" s="11" t="s">
        <v>369</v>
      </c>
    </row>
    <row r="301" spans="1:6" s="2" customFormat="1" ht="30" x14ac:dyDescent="0.25">
      <c r="A301" s="9">
        <v>42957</v>
      </c>
      <c r="B301" s="10" t="s">
        <v>370</v>
      </c>
      <c r="C301" s="10" t="s">
        <v>91</v>
      </c>
      <c r="D301" s="10" t="s">
        <v>357</v>
      </c>
      <c r="E301" s="10" t="s">
        <v>333</v>
      </c>
      <c r="F301" s="11" t="s">
        <v>369</v>
      </c>
    </row>
    <row r="302" spans="1:6" s="2" customFormat="1" ht="15" x14ac:dyDescent="0.25">
      <c r="A302" s="9">
        <v>42957</v>
      </c>
      <c r="B302" s="10" t="s">
        <v>371</v>
      </c>
      <c r="C302" s="10" t="s">
        <v>6</v>
      </c>
      <c r="D302" s="10"/>
      <c r="E302" s="10" t="s">
        <v>341</v>
      </c>
      <c r="F302" s="11"/>
    </row>
    <row r="303" spans="1:6" s="2" customFormat="1" ht="15" x14ac:dyDescent="0.25">
      <c r="A303" s="9">
        <v>42958</v>
      </c>
      <c r="B303" s="10" t="s">
        <v>372</v>
      </c>
      <c r="C303" s="10" t="s">
        <v>39</v>
      </c>
      <c r="D303" s="10" t="s">
        <v>438</v>
      </c>
      <c r="E303" s="10" t="s">
        <v>333</v>
      </c>
      <c r="F303" s="11" t="s">
        <v>373</v>
      </c>
    </row>
    <row r="304" spans="1:6" s="2" customFormat="1" ht="15" x14ac:dyDescent="0.25">
      <c r="A304" s="9">
        <v>42961</v>
      </c>
      <c r="B304" s="10" t="s">
        <v>379</v>
      </c>
      <c r="C304" s="10" t="s">
        <v>6</v>
      </c>
      <c r="D304" s="10" t="s">
        <v>380</v>
      </c>
      <c r="E304" s="10" t="s">
        <v>333</v>
      </c>
      <c r="F304" s="11" t="s">
        <v>381</v>
      </c>
    </row>
    <row r="305" spans="1:6" s="2" customFormat="1" ht="15" x14ac:dyDescent="0.25">
      <c r="A305" s="9">
        <v>42961</v>
      </c>
      <c r="B305" s="10" t="s">
        <v>382</v>
      </c>
      <c r="C305" s="10" t="s">
        <v>122</v>
      </c>
      <c r="D305" s="10" t="s">
        <v>380</v>
      </c>
      <c r="E305" s="10" t="s">
        <v>333</v>
      </c>
      <c r="F305" s="11" t="s">
        <v>381</v>
      </c>
    </row>
    <row r="306" spans="1:6" s="2" customFormat="1" ht="15" x14ac:dyDescent="0.25">
      <c r="A306" s="9">
        <v>42961</v>
      </c>
      <c r="B306" s="10" t="s">
        <v>374</v>
      </c>
      <c r="C306" s="10" t="s">
        <v>6</v>
      </c>
      <c r="D306" s="10" t="s">
        <v>343</v>
      </c>
      <c r="E306" s="10" t="s">
        <v>333</v>
      </c>
      <c r="F306" s="11" t="s">
        <v>375</v>
      </c>
    </row>
    <row r="307" spans="1:6" s="2" customFormat="1" ht="15" x14ac:dyDescent="0.25">
      <c r="A307" s="9">
        <v>42961</v>
      </c>
      <c r="B307" s="10" t="s">
        <v>378</v>
      </c>
      <c r="C307" s="10" t="s">
        <v>91</v>
      </c>
      <c r="D307" s="10" t="s">
        <v>343</v>
      </c>
      <c r="E307" s="10" t="s">
        <v>333</v>
      </c>
      <c r="F307" s="11" t="s">
        <v>350</v>
      </c>
    </row>
    <row r="308" spans="1:6" s="2" customFormat="1" ht="15" x14ac:dyDescent="0.25">
      <c r="A308" s="9">
        <v>42961</v>
      </c>
      <c r="B308" s="10" t="s">
        <v>376</v>
      </c>
      <c r="C308" s="10" t="s">
        <v>6</v>
      </c>
      <c r="D308" s="10" t="s">
        <v>334</v>
      </c>
      <c r="E308" s="10" t="s">
        <v>333</v>
      </c>
      <c r="F308" s="11" t="s">
        <v>377</v>
      </c>
    </row>
    <row r="309" spans="1:6" s="2" customFormat="1" ht="15" x14ac:dyDescent="0.25">
      <c r="A309" s="9">
        <v>42961</v>
      </c>
      <c r="B309" s="10" t="s">
        <v>383</v>
      </c>
      <c r="C309" s="10" t="s">
        <v>91</v>
      </c>
      <c r="D309" s="10"/>
      <c r="E309" s="10"/>
      <c r="F309" s="11"/>
    </row>
    <row r="310" spans="1:6" s="2" customFormat="1" ht="30" x14ac:dyDescent="0.25">
      <c r="A310" s="9">
        <v>42962</v>
      </c>
      <c r="B310" s="10" t="s">
        <v>392</v>
      </c>
      <c r="C310" s="10" t="s">
        <v>393</v>
      </c>
      <c r="D310" s="10" t="s">
        <v>438</v>
      </c>
      <c r="E310" s="10" t="s">
        <v>333</v>
      </c>
      <c r="F310" s="11" t="s">
        <v>394</v>
      </c>
    </row>
    <row r="311" spans="1:6" s="2" customFormat="1" ht="15" x14ac:dyDescent="0.25">
      <c r="A311" s="9">
        <v>42962</v>
      </c>
      <c r="B311" s="10" t="s">
        <v>422</v>
      </c>
      <c r="C311" s="10" t="s">
        <v>6</v>
      </c>
      <c r="D311" s="10" t="s">
        <v>438</v>
      </c>
      <c r="E311" s="10" t="s">
        <v>333</v>
      </c>
      <c r="F311" s="11" t="s">
        <v>423</v>
      </c>
    </row>
    <row r="312" spans="1:6" s="2" customFormat="1" ht="15" x14ac:dyDescent="0.25">
      <c r="A312" s="9">
        <v>42962</v>
      </c>
      <c r="B312" s="10" t="s">
        <v>424</v>
      </c>
      <c r="C312" s="10" t="s">
        <v>17</v>
      </c>
      <c r="D312" s="10" t="s">
        <v>438</v>
      </c>
      <c r="E312" s="10" t="s">
        <v>333</v>
      </c>
      <c r="F312" s="11" t="s">
        <v>425</v>
      </c>
    </row>
    <row r="313" spans="1:6" s="2" customFormat="1" ht="15" x14ac:dyDescent="0.25">
      <c r="A313" s="9">
        <v>42962</v>
      </c>
      <c r="B313" s="10" t="s">
        <v>389</v>
      </c>
      <c r="C313" s="10" t="s">
        <v>391</v>
      </c>
      <c r="D313" s="10" t="s">
        <v>380</v>
      </c>
      <c r="E313" s="10" t="s">
        <v>333</v>
      </c>
      <c r="F313" s="11" t="s">
        <v>390</v>
      </c>
    </row>
    <row r="314" spans="1:6" s="2" customFormat="1" ht="30" x14ac:dyDescent="0.25">
      <c r="A314" s="9">
        <v>42962</v>
      </c>
      <c r="B314" s="10" t="s">
        <v>400</v>
      </c>
      <c r="C314" s="10" t="s">
        <v>6</v>
      </c>
      <c r="D314" s="10" t="s">
        <v>343</v>
      </c>
      <c r="E314" s="10" t="s">
        <v>333</v>
      </c>
      <c r="F314" s="11" t="s">
        <v>350</v>
      </c>
    </row>
    <row r="315" spans="1:6" s="2" customFormat="1" ht="30" x14ac:dyDescent="0.25">
      <c r="A315" s="9">
        <v>42962</v>
      </c>
      <c r="B315" s="10" t="s">
        <v>408</v>
      </c>
      <c r="C315" s="10" t="s">
        <v>409</v>
      </c>
      <c r="D315" s="10" t="s">
        <v>343</v>
      </c>
      <c r="E315" s="10" t="s">
        <v>410</v>
      </c>
      <c r="F315" s="11" t="s">
        <v>410</v>
      </c>
    </row>
    <row r="316" spans="1:6" s="2" customFormat="1" ht="30" x14ac:dyDescent="0.25">
      <c r="A316" s="9">
        <v>42962</v>
      </c>
      <c r="B316" s="10" t="s">
        <v>405</v>
      </c>
      <c r="C316" s="10" t="s">
        <v>91</v>
      </c>
      <c r="D316" s="10" t="s">
        <v>406</v>
      </c>
      <c r="E316" s="10" t="s">
        <v>333</v>
      </c>
      <c r="F316" s="11" t="s">
        <v>407</v>
      </c>
    </row>
    <row r="317" spans="1:6" s="2" customFormat="1" ht="30" x14ac:dyDescent="0.25">
      <c r="A317" s="9">
        <v>42962</v>
      </c>
      <c r="B317" s="10" t="s">
        <v>435</v>
      </c>
      <c r="C317" s="10" t="s">
        <v>122</v>
      </c>
      <c r="D317" s="10" t="s">
        <v>406</v>
      </c>
      <c r="E317" s="10" t="s">
        <v>333</v>
      </c>
      <c r="F317" s="11" t="s">
        <v>436</v>
      </c>
    </row>
    <row r="318" spans="1:6" s="2" customFormat="1" ht="30" x14ac:dyDescent="0.25">
      <c r="A318" s="9">
        <v>42962</v>
      </c>
      <c r="B318" s="10" t="s">
        <v>351</v>
      </c>
      <c r="C318" s="10" t="s">
        <v>91</v>
      </c>
      <c r="D318" s="10" t="s">
        <v>352</v>
      </c>
      <c r="E318" s="10" t="s">
        <v>333</v>
      </c>
      <c r="F318" s="11" t="s">
        <v>437</v>
      </c>
    </row>
    <row r="319" spans="1:6" s="2" customFormat="1" ht="15" x14ac:dyDescent="0.25">
      <c r="A319" s="9">
        <v>42962</v>
      </c>
      <c r="B319" s="10" t="s">
        <v>386</v>
      </c>
      <c r="C319" s="10" t="s">
        <v>23</v>
      </c>
      <c r="D319" s="10" t="s">
        <v>388</v>
      </c>
      <c r="E319" s="10" t="s">
        <v>333</v>
      </c>
      <c r="F319" s="11" t="s">
        <v>350</v>
      </c>
    </row>
    <row r="320" spans="1:6" s="2" customFormat="1" ht="30" x14ac:dyDescent="0.25">
      <c r="A320" s="9">
        <v>42962</v>
      </c>
      <c r="B320" s="10" t="s">
        <v>398</v>
      </c>
      <c r="C320" s="10" t="s">
        <v>23</v>
      </c>
      <c r="D320" s="10" t="s">
        <v>388</v>
      </c>
      <c r="E320" s="10" t="s">
        <v>333</v>
      </c>
      <c r="F320" s="11" t="s">
        <v>399</v>
      </c>
    </row>
    <row r="321" spans="1:6" s="2" customFormat="1" ht="15" x14ac:dyDescent="0.25">
      <c r="A321" s="9">
        <v>42962</v>
      </c>
      <c r="B321" s="10" t="s">
        <v>404</v>
      </c>
      <c r="C321" s="10" t="s">
        <v>39</v>
      </c>
      <c r="D321" s="10" t="s">
        <v>388</v>
      </c>
      <c r="E321" s="10" t="s">
        <v>333</v>
      </c>
      <c r="F321" s="11" t="s">
        <v>399</v>
      </c>
    </row>
    <row r="322" spans="1:6" s="2" customFormat="1" ht="30" x14ac:dyDescent="0.25">
      <c r="A322" s="9">
        <v>42962</v>
      </c>
      <c r="B322" s="10" t="s">
        <v>384</v>
      </c>
      <c r="C322" s="10" t="s">
        <v>385</v>
      </c>
      <c r="D322" s="10" t="s">
        <v>387</v>
      </c>
      <c r="E322" s="10" t="s">
        <v>341</v>
      </c>
      <c r="F322" s="11"/>
    </row>
    <row r="323" spans="1:6" s="2" customFormat="1" ht="15" x14ac:dyDescent="0.25">
      <c r="A323" s="9">
        <v>42962</v>
      </c>
      <c r="B323" s="10" t="s">
        <v>401</v>
      </c>
      <c r="C323" s="17" t="s">
        <v>402</v>
      </c>
      <c r="D323" s="10" t="s">
        <v>439</v>
      </c>
      <c r="E323" s="10" t="s">
        <v>333</v>
      </c>
      <c r="F323" s="11" t="s">
        <v>403</v>
      </c>
    </row>
    <row r="324" spans="1:6" s="2" customFormat="1" ht="15" x14ac:dyDescent="0.25">
      <c r="A324" s="9">
        <v>42962</v>
      </c>
      <c r="B324" s="10" t="s">
        <v>429</v>
      </c>
      <c r="C324" s="10" t="s">
        <v>6</v>
      </c>
      <c r="D324" s="10" t="s">
        <v>334</v>
      </c>
      <c r="E324" s="10" t="s">
        <v>333</v>
      </c>
      <c r="F324" s="11" t="s">
        <v>430</v>
      </c>
    </row>
    <row r="325" spans="1:6" s="2" customFormat="1" ht="30" x14ac:dyDescent="0.25">
      <c r="A325" s="9">
        <v>42962</v>
      </c>
      <c r="B325" s="10" t="s">
        <v>395</v>
      </c>
      <c r="C325" s="10" t="s">
        <v>6</v>
      </c>
      <c r="D325" s="10" t="s">
        <v>357</v>
      </c>
      <c r="E325" s="10" t="s">
        <v>333</v>
      </c>
      <c r="F325" s="11" t="s">
        <v>396</v>
      </c>
    </row>
    <row r="326" spans="1:6" s="2" customFormat="1" ht="30" x14ac:dyDescent="0.25">
      <c r="A326" s="9">
        <v>42962</v>
      </c>
      <c r="B326" s="10" t="s">
        <v>397</v>
      </c>
      <c r="C326" s="10" t="s">
        <v>6</v>
      </c>
      <c r="D326" s="10" t="s">
        <v>357</v>
      </c>
      <c r="E326" s="10" t="s">
        <v>333</v>
      </c>
      <c r="F326" s="11" t="s">
        <v>350</v>
      </c>
    </row>
    <row r="327" spans="1:6" s="2" customFormat="1" ht="30" x14ac:dyDescent="0.25">
      <c r="A327" s="9">
        <v>42962</v>
      </c>
      <c r="B327" s="10" t="s">
        <v>415</v>
      </c>
      <c r="C327" s="10" t="s">
        <v>91</v>
      </c>
      <c r="D327" s="10" t="s">
        <v>357</v>
      </c>
      <c r="E327" s="10" t="s">
        <v>333</v>
      </c>
      <c r="F327" s="11" t="s">
        <v>416</v>
      </c>
    </row>
    <row r="328" spans="1:6" s="2" customFormat="1" ht="30" x14ac:dyDescent="0.25">
      <c r="A328" s="9">
        <v>42962</v>
      </c>
      <c r="B328" s="10" t="s">
        <v>417</v>
      </c>
      <c r="C328" s="10" t="s">
        <v>418</v>
      </c>
      <c r="D328" s="10" t="s">
        <v>357</v>
      </c>
      <c r="E328" s="10" t="s">
        <v>333</v>
      </c>
      <c r="F328" s="11" t="s">
        <v>419</v>
      </c>
    </row>
    <row r="329" spans="1:6" s="2" customFormat="1" ht="30" x14ac:dyDescent="0.25">
      <c r="A329" s="9">
        <v>42962</v>
      </c>
      <c r="B329" s="10" t="s">
        <v>420</v>
      </c>
      <c r="C329" s="10" t="s">
        <v>122</v>
      </c>
      <c r="D329" s="10" t="s">
        <v>357</v>
      </c>
      <c r="E329" s="10" t="s">
        <v>333</v>
      </c>
      <c r="F329" s="11" t="s">
        <v>421</v>
      </c>
    </row>
    <row r="330" spans="1:6" s="2" customFormat="1" ht="30" x14ac:dyDescent="0.25">
      <c r="A330" s="9">
        <v>42962</v>
      </c>
      <c r="B330" s="10" t="s">
        <v>426</v>
      </c>
      <c r="C330" s="10" t="s">
        <v>427</v>
      </c>
      <c r="D330" s="10" t="s">
        <v>357</v>
      </c>
      <c r="E330" s="10" t="s">
        <v>333</v>
      </c>
      <c r="F330" s="11" t="s">
        <v>428</v>
      </c>
    </row>
    <row r="331" spans="1:6" s="2" customFormat="1" ht="30" x14ac:dyDescent="0.25">
      <c r="A331" s="9">
        <v>42962</v>
      </c>
      <c r="B331" s="10" t="s">
        <v>433</v>
      </c>
      <c r="C331" s="10" t="s">
        <v>122</v>
      </c>
      <c r="D331" s="10" t="s">
        <v>357</v>
      </c>
      <c r="E331" s="10" t="s">
        <v>333</v>
      </c>
      <c r="F331" s="11" t="s">
        <v>434</v>
      </c>
    </row>
    <row r="332" spans="1:6" s="2" customFormat="1" ht="15" x14ac:dyDescent="0.25">
      <c r="A332" s="9">
        <v>42962</v>
      </c>
      <c r="B332" s="10" t="s">
        <v>411</v>
      </c>
      <c r="C332" s="10" t="s">
        <v>412</v>
      </c>
      <c r="D332" s="10" t="s">
        <v>413</v>
      </c>
      <c r="E332" s="10" t="s">
        <v>333</v>
      </c>
      <c r="F332" s="11" t="s">
        <v>414</v>
      </c>
    </row>
    <row r="333" spans="1:6" s="2" customFormat="1" ht="15" x14ac:dyDescent="0.25">
      <c r="A333" s="9">
        <v>42962</v>
      </c>
      <c r="B333" s="10" t="s">
        <v>431</v>
      </c>
      <c r="C333" s="10" t="s">
        <v>432</v>
      </c>
      <c r="D333" s="10" t="s">
        <v>413</v>
      </c>
      <c r="E333" s="10" t="s">
        <v>333</v>
      </c>
      <c r="F333" s="11" t="s">
        <v>414</v>
      </c>
    </row>
    <row r="334" spans="1:6" s="2" customFormat="1" ht="15" x14ac:dyDescent="0.25">
      <c r="A334" s="9">
        <v>42963</v>
      </c>
      <c r="B334" s="10" t="s">
        <v>440</v>
      </c>
      <c r="C334" s="10" t="s">
        <v>23</v>
      </c>
      <c r="D334" s="10" t="s">
        <v>441</v>
      </c>
      <c r="E334" s="10" t="s">
        <v>333</v>
      </c>
      <c r="F334" s="11" t="s">
        <v>442</v>
      </c>
    </row>
    <row r="335" spans="1:6" s="2" customFormat="1" ht="30" x14ac:dyDescent="0.25">
      <c r="A335" s="9">
        <v>42963</v>
      </c>
      <c r="B335" s="10" t="s">
        <v>443</v>
      </c>
      <c r="C335" s="10" t="s">
        <v>444</v>
      </c>
      <c r="D335" s="10" t="s">
        <v>441</v>
      </c>
      <c r="E335" s="10" t="s">
        <v>333</v>
      </c>
      <c r="F335" s="11" t="s">
        <v>442</v>
      </c>
    </row>
    <row r="336" spans="1:6" s="2" customFormat="1" ht="30" x14ac:dyDescent="0.25">
      <c r="A336" s="9">
        <v>42963</v>
      </c>
      <c r="B336" s="10" t="s">
        <v>445</v>
      </c>
      <c r="C336" s="10" t="s">
        <v>6</v>
      </c>
      <c r="D336" s="10" t="s">
        <v>387</v>
      </c>
      <c r="E336" s="10" t="s">
        <v>341</v>
      </c>
      <c r="F336" s="11"/>
    </row>
    <row r="337" spans="1:6" s="2" customFormat="1" ht="30" x14ac:dyDescent="0.25">
      <c r="A337" s="9">
        <v>42963</v>
      </c>
      <c r="B337" s="10" t="s">
        <v>446</v>
      </c>
      <c r="C337" s="10" t="s">
        <v>448</v>
      </c>
      <c r="D337" s="10" t="s">
        <v>438</v>
      </c>
      <c r="E337" s="10" t="s">
        <v>333</v>
      </c>
      <c r="F337" s="11" t="s">
        <v>447</v>
      </c>
    </row>
    <row r="338" spans="1:6" s="2" customFormat="1" ht="15" x14ac:dyDescent="0.25">
      <c r="A338" s="9">
        <v>42964</v>
      </c>
      <c r="B338" s="10" t="s">
        <v>449</v>
      </c>
      <c r="C338" s="10" t="s">
        <v>23</v>
      </c>
      <c r="D338" s="10" t="s">
        <v>441</v>
      </c>
      <c r="E338" s="10" t="s">
        <v>333</v>
      </c>
      <c r="F338" s="11" t="s">
        <v>442</v>
      </c>
    </row>
    <row r="339" spans="1:6" s="2" customFormat="1" ht="15" x14ac:dyDescent="0.25">
      <c r="A339" s="9">
        <v>42964</v>
      </c>
      <c r="B339" s="10" t="s">
        <v>450</v>
      </c>
      <c r="C339" s="10" t="s">
        <v>91</v>
      </c>
      <c r="D339" s="10" t="s">
        <v>343</v>
      </c>
      <c r="E339" s="10" t="s">
        <v>333</v>
      </c>
      <c r="F339" s="11" t="s">
        <v>451</v>
      </c>
    </row>
    <row r="340" spans="1:6" s="2" customFormat="1" ht="30" x14ac:dyDescent="0.25">
      <c r="A340" s="9">
        <v>42964</v>
      </c>
      <c r="B340" s="10" t="s">
        <v>452</v>
      </c>
      <c r="C340" s="10" t="s">
        <v>23</v>
      </c>
      <c r="D340" s="10" t="s">
        <v>343</v>
      </c>
      <c r="E340" s="10" t="s">
        <v>333</v>
      </c>
      <c r="F340" s="11" t="s">
        <v>453</v>
      </c>
    </row>
    <row r="341" spans="1:6" s="2" customFormat="1" ht="30" x14ac:dyDescent="0.25">
      <c r="A341" s="9">
        <v>42964</v>
      </c>
      <c r="B341" s="10" t="s">
        <v>454</v>
      </c>
      <c r="C341" s="10" t="s">
        <v>23</v>
      </c>
      <c r="D341" s="10" t="s">
        <v>352</v>
      </c>
      <c r="E341" s="10" t="s">
        <v>333</v>
      </c>
      <c r="F341" s="11" t="s">
        <v>455</v>
      </c>
    </row>
    <row r="342" spans="1:6" s="2" customFormat="1" ht="15" x14ac:dyDescent="0.25">
      <c r="A342" s="9">
        <v>42964</v>
      </c>
      <c r="B342" s="10" t="s">
        <v>456</v>
      </c>
      <c r="C342" s="10" t="s">
        <v>457</v>
      </c>
      <c r="D342" s="10" t="s">
        <v>438</v>
      </c>
      <c r="E342" s="10" t="s">
        <v>333</v>
      </c>
      <c r="F342" s="11" t="s">
        <v>458</v>
      </c>
    </row>
    <row r="343" spans="1:6" s="2" customFormat="1" ht="15" x14ac:dyDescent="0.25">
      <c r="A343" s="9">
        <v>42964</v>
      </c>
      <c r="B343" s="10" t="s">
        <v>459</v>
      </c>
      <c r="C343" s="10" t="s">
        <v>91</v>
      </c>
      <c r="D343" s="10" t="s">
        <v>438</v>
      </c>
      <c r="E343" s="10" t="s">
        <v>333</v>
      </c>
      <c r="F343" s="11" t="s">
        <v>458</v>
      </c>
    </row>
    <row r="344" spans="1:6" s="2" customFormat="1" ht="15" x14ac:dyDescent="0.25">
      <c r="A344" s="9">
        <v>42964</v>
      </c>
      <c r="B344" s="10" t="s">
        <v>460</v>
      </c>
      <c r="C344" s="10" t="s">
        <v>23</v>
      </c>
      <c r="D344" s="10" t="s">
        <v>438</v>
      </c>
      <c r="E344" s="10" t="s">
        <v>333</v>
      </c>
      <c r="F344" s="11" t="s">
        <v>461</v>
      </c>
    </row>
    <row r="345" spans="1:6" s="2" customFormat="1" ht="30" x14ac:dyDescent="0.25">
      <c r="A345" s="9">
        <v>42964</v>
      </c>
      <c r="B345" s="10" t="s">
        <v>462</v>
      </c>
      <c r="C345" s="10" t="s">
        <v>122</v>
      </c>
      <c r="D345" s="10" t="s">
        <v>438</v>
      </c>
      <c r="E345" s="10" t="s">
        <v>333</v>
      </c>
      <c r="F345" s="11" t="s">
        <v>390</v>
      </c>
    </row>
    <row r="346" spans="1:6" s="2" customFormat="1" ht="15" x14ac:dyDescent="0.25">
      <c r="A346" s="9">
        <v>42964</v>
      </c>
      <c r="B346" s="10" t="s">
        <v>463</v>
      </c>
      <c r="C346" s="10" t="s">
        <v>263</v>
      </c>
      <c r="D346" s="10" t="s">
        <v>380</v>
      </c>
      <c r="E346" s="10" t="s">
        <v>333</v>
      </c>
      <c r="F346" s="11" t="s">
        <v>381</v>
      </c>
    </row>
    <row r="347" spans="1:6" s="2" customFormat="1" ht="30" x14ac:dyDescent="0.25">
      <c r="A347" s="9">
        <v>42964</v>
      </c>
      <c r="B347" s="10" t="s">
        <v>464</v>
      </c>
      <c r="C347" s="10" t="s">
        <v>465</v>
      </c>
      <c r="D347" s="10" t="s">
        <v>438</v>
      </c>
      <c r="E347" s="10" t="s">
        <v>333</v>
      </c>
      <c r="F347" s="11" t="s">
        <v>369</v>
      </c>
    </row>
    <row r="348" spans="1:6" s="2" customFormat="1" ht="30" x14ac:dyDescent="0.25">
      <c r="A348" s="9">
        <v>42964</v>
      </c>
      <c r="B348" s="10" t="s">
        <v>370</v>
      </c>
      <c r="C348" s="10" t="s">
        <v>39</v>
      </c>
      <c r="D348" s="10" t="s">
        <v>357</v>
      </c>
      <c r="E348" s="10" t="s">
        <v>333</v>
      </c>
      <c r="F348" s="11" t="s">
        <v>369</v>
      </c>
    </row>
    <row r="349" spans="1:6" s="2" customFormat="1" ht="30" x14ac:dyDescent="0.25">
      <c r="A349" s="9">
        <v>42964</v>
      </c>
      <c r="B349" s="10" t="s">
        <v>360</v>
      </c>
      <c r="C349" s="10" t="s">
        <v>39</v>
      </c>
      <c r="D349" s="10" t="s">
        <v>357</v>
      </c>
      <c r="E349" s="10" t="s">
        <v>333</v>
      </c>
      <c r="F349" s="11" t="s">
        <v>361</v>
      </c>
    </row>
    <row r="350" spans="1:6" s="2" customFormat="1" ht="30" x14ac:dyDescent="0.25">
      <c r="A350" s="9">
        <v>42964</v>
      </c>
      <c r="B350" s="10" t="s">
        <v>466</v>
      </c>
      <c r="C350" s="10" t="s">
        <v>6</v>
      </c>
      <c r="D350" s="10" t="s">
        <v>413</v>
      </c>
      <c r="E350" s="10" t="s">
        <v>333</v>
      </c>
      <c r="F350" s="11" t="s">
        <v>467</v>
      </c>
    </row>
    <row r="351" spans="1:6" s="2" customFormat="1" ht="30" x14ac:dyDescent="0.25">
      <c r="A351" s="9">
        <v>42964</v>
      </c>
      <c r="B351" s="10" t="s">
        <v>468</v>
      </c>
      <c r="C351" s="10" t="s">
        <v>469</v>
      </c>
      <c r="D351" s="10" t="s">
        <v>470</v>
      </c>
      <c r="E351" s="10" t="s">
        <v>333</v>
      </c>
      <c r="F351" s="11" t="s">
        <v>471</v>
      </c>
    </row>
    <row r="352" spans="1:6" s="2" customFormat="1" ht="30" x14ac:dyDescent="0.25">
      <c r="A352" s="9">
        <v>42964</v>
      </c>
      <c r="B352" s="10" t="s">
        <v>472</v>
      </c>
      <c r="C352" s="10" t="s">
        <v>39</v>
      </c>
      <c r="D352" s="10" t="s">
        <v>470</v>
      </c>
      <c r="E352" s="10" t="s">
        <v>333</v>
      </c>
      <c r="F352" s="11" t="s">
        <v>473</v>
      </c>
    </row>
    <row r="353" spans="1:6" s="2" customFormat="1" ht="30" x14ac:dyDescent="0.25">
      <c r="A353" s="9">
        <v>42964</v>
      </c>
      <c r="B353" s="10" t="s">
        <v>474</v>
      </c>
      <c r="C353" s="10" t="s">
        <v>122</v>
      </c>
      <c r="D353" s="10" t="s">
        <v>352</v>
      </c>
      <c r="E353" s="10" t="s">
        <v>333</v>
      </c>
      <c r="F353" s="11" t="s">
        <v>475</v>
      </c>
    </row>
    <row r="354" spans="1:6" s="2" customFormat="1" ht="30" x14ac:dyDescent="0.25">
      <c r="A354" s="9">
        <v>42964</v>
      </c>
      <c r="B354" s="10" t="s">
        <v>476</v>
      </c>
      <c r="C354" s="10" t="s">
        <v>122</v>
      </c>
      <c r="D354" s="10" t="s">
        <v>352</v>
      </c>
      <c r="E354" s="10" t="s">
        <v>333</v>
      </c>
      <c r="F354" s="11" t="s">
        <v>367</v>
      </c>
    </row>
    <row r="355" spans="1:6" s="2" customFormat="1" ht="30" x14ac:dyDescent="0.25">
      <c r="A355" s="9">
        <v>42964</v>
      </c>
      <c r="B355" s="10" t="s">
        <v>477</v>
      </c>
      <c r="C355" s="10" t="s">
        <v>122</v>
      </c>
      <c r="D355" s="10" t="s">
        <v>352</v>
      </c>
      <c r="E355" s="10" t="s">
        <v>333</v>
      </c>
      <c r="F355" s="11" t="s">
        <v>478</v>
      </c>
    </row>
    <row r="356" spans="1:6" s="2" customFormat="1" ht="15" x14ac:dyDescent="0.25">
      <c r="A356" s="9">
        <v>42964</v>
      </c>
      <c r="B356" s="10" t="s">
        <v>479</v>
      </c>
      <c r="C356" s="10" t="s">
        <v>6</v>
      </c>
      <c r="D356" s="10" t="s">
        <v>327</v>
      </c>
      <c r="E356" s="10" t="s">
        <v>341</v>
      </c>
      <c r="F356" s="11"/>
    </row>
    <row r="357" spans="1:6" s="2" customFormat="1" ht="30" x14ac:dyDescent="0.25">
      <c r="A357" s="9">
        <v>42964</v>
      </c>
      <c r="B357" s="10" t="s">
        <v>480</v>
      </c>
      <c r="C357" s="10" t="s">
        <v>122</v>
      </c>
      <c r="D357" s="10" t="s">
        <v>387</v>
      </c>
      <c r="E357" s="10" t="s">
        <v>341</v>
      </c>
      <c r="F357" s="11"/>
    </row>
    <row r="358" spans="1:6" s="2" customFormat="1" ht="15" x14ac:dyDescent="0.25">
      <c r="A358" s="9">
        <v>42964</v>
      </c>
      <c r="B358" s="10" t="s">
        <v>481</v>
      </c>
      <c r="C358" s="10" t="s">
        <v>6</v>
      </c>
      <c r="D358" s="10" t="s">
        <v>441</v>
      </c>
      <c r="E358" s="10" t="s">
        <v>333</v>
      </c>
      <c r="F358" s="11" t="s">
        <v>442</v>
      </c>
    </row>
    <row r="359" spans="1:6" s="2" customFormat="1" ht="15" x14ac:dyDescent="0.25">
      <c r="A359" s="9">
        <v>42965</v>
      </c>
      <c r="B359" s="10" t="s">
        <v>482</v>
      </c>
      <c r="C359" s="10" t="s">
        <v>51</v>
      </c>
      <c r="D359" s="10" t="s">
        <v>438</v>
      </c>
      <c r="E359" s="10" t="s">
        <v>341</v>
      </c>
      <c r="F359" s="11"/>
    </row>
    <row r="360" spans="1:6" s="2" customFormat="1" ht="15" x14ac:dyDescent="0.25">
      <c r="A360" s="9">
        <v>42965</v>
      </c>
      <c r="B360" s="10" t="s">
        <v>483</v>
      </c>
      <c r="C360" s="10" t="s">
        <v>51</v>
      </c>
      <c r="D360" s="10" t="s">
        <v>484</v>
      </c>
      <c r="E360" s="10" t="s">
        <v>341</v>
      </c>
      <c r="F360" s="11"/>
    </row>
    <row r="361" spans="1:6" s="2" customFormat="1" ht="30" x14ac:dyDescent="0.25">
      <c r="A361" s="9">
        <v>42965</v>
      </c>
      <c r="B361" s="10" t="s">
        <v>485</v>
      </c>
      <c r="C361" s="10" t="s">
        <v>6</v>
      </c>
      <c r="D361" s="10" t="s">
        <v>486</v>
      </c>
      <c r="E361" s="10" t="s">
        <v>341</v>
      </c>
      <c r="F361" s="11"/>
    </row>
    <row r="362" spans="1:6" s="2" customFormat="1" ht="15" x14ac:dyDescent="0.25">
      <c r="A362" s="9">
        <v>42965</v>
      </c>
      <c r="B362" s="10" t="s">
        <v>487</v>
      </c>
      <c r="C362" s="10" t="s">
        <v>6</v>
      </c>
      <c r="D362" s="10" t="s">
        <v>438</v>
      </c>
      <c r="E362" s="10" t="s">
        <v>333</v>
      </c>
      <c r="F362" s="11" t="s">
        <v>458</v>
      </c>
    </row>
    <row r="363" spans="1:6" s="2" customFormat="1" ht="15" x14ac:dyDescent="0.25">
      <c r="A363" s="9">
        <v>42965</v>
      </c>
      <c r="B363" s="10" t="s">
        <v>488</v>
      </c>
      <c r="C363" s="10" t="s">
        <v>427</v>
      </c>
      <c r="D363" s="10" t="s">
        <v>380</v>
      </c>
      <c r="E363" s="10" t="s">
        <v>333</v>
      </c>
      <c r="F363" s="11" t="s">
        <v>344</v>
      </c>
    </row>
    <row r="364" spans="1:6" s="2" customFormat="1" ht="15" x14ac:dyDescent="0.25">
      <c r="A364" s="9">
        <v>42965</v>
      </c>
      <c r="B364" s="10" t="s">
        <v>489</v>
      </c>
      <c r="C364" s="10" t="s">
        <v>6</v>
      </c>
      <c r="D364" s="10" t="s">
        <v>438</v>
      </c>
      <c r="E364" s="10" t="s">
        <v>333</v>
      </c>
      <c r="F364" s="11" t="s">
        <v>490</v>
      </c>
    </row>
    <row r="365" spans="1:6" s="2" customFormat="1" ht="15" x14ac:dyDescent="0.25">
      <c r="A365" s="9">
        <v>42965</v>
      </c>
      <c r="B365" s="10" t="s">
        <v>491</v>
      </c>
      <c r="C365" s="10" t="s">
        <v>39</v>
      </c>
      <c r="D365" s="10" t="s">
        <v>413</v>
      </c>
      <c r="E365" s="10" t="s">
        <v>333</v>
      </c>
      <c r="F365" s="11" t="s">
        <v>492</v>
      </c>
    </row>
    <row r="366" spans="1:6" s="2" customFormat="1" ht="15" x14ac:dyDescent="0.25">
      <c r="A366" s="9">
        <v>42965</v>
      </c>
      <c r="B366" s="10" t="s">
        <v>493</v>
      </c>
      <c r="C366" s="10" t="s">
        <v>19</v>
      </c>
      <c r="D366" s="10" t="s">
        <v>413</v>
      </c>
      <c r="E366" s="10" t="s">
        <v>333</v>
      </c>
      <c r="F366" s="11" t="s">
        <v>494</v>
      </c>
    </row>
    <row r="367" spans="1:6" s="2" customFormat="1" ht="30" x14ac:dyDescent="0.25">
      <c r="A367" s="9">
        <v>42965</v>
      </c>
      <c r="B367" s="10" t="s">
        <v>495</v>
      </c>
      <c r="C367" s="10" t="s">
        <v>19</v>
      </c>
      <c r="D367" s="10" t="s">
        <v>387</v>
      </c>
      <c r="E367" s="10" t="s">
        <v>496</v>
      </c>
      <c r="F367" s="11"/>
    </row>
    <row r="368" spans="1:6" s="2" customFormat="1" ht="30" x14ac:dyDescent="0.25">
      <c r="A368" s="9">
        <v>42965</v>
      </c>
      <c r="B368" s="10" t="s">
        <v>405</v>
      </c>
      <c r="C368" s="10" t="s">
        <v>39</v>
      </c>
      <c r="D368" s="10" t="s">
        <v>406</v>
      </c>
      <c r="E368" s="10" t="s">
        <v>333</v>
      </c>
      <c r="F368" s="11" t="s">
        <v>497</v>
      </c>
    </row>
    <row r="369" spans="1:6" s="2" customFormat="1" ht="15" x14ac:dyDescent="0.25">
      <c r="A369" s="9">
        <v>42970</v>
      </c>
      <c r="B369" s="10" t="s">
        <v>498</v>
      </c>
      <c r="C369" s="10" t="s">
        <v>180</v>
      </c>
      <c r="D369" s="10" t="s">
        <v>438</v>
      </c>
      <c r="E369" s="10" t="s">
        <v>333</v>
      </c>
      <c r="F369" s="11" t="s">
        <v>497</v>
      </c>
    </row>
    <row r="370" spans="1:6" s="2" customFormat="1" ht="30" x14ac:dyDescent="0.25">
      <c r="A370" s="9">
        <v>42970</v>
      </c>
      <c r="B370" s="10" t="s">
        <v>499</v>
      </c>
      <c r="C370" s="10" t="s">
        <v>23</v>
      </c>
      <c r="D370" s="10" t="s">
        <v>438</v>
      </c>
      <c r="E370" s="10" t="s">
        <v>369</v>
      </c>
      <c r="F370" s="11"/>
    </row>
    <row r="371" spans="1:6" s="2" customFormat="1" ht="30" x14ac:dyDescent="0.25">
      <c r="A371" s="9">
        <v>42970</v>
      </c>
      <c r="B371" s="10" t="s">
        <v>500</v>
      </c>
      <c r="C371" s="10" t="s">
        <v>6</v>
      </c>
      <c r="D371" s="10" t="s">
        <v>380</v>
      </c>
      <c r="E371" s="10" t="s">
        <v>333</v>
      </c>
      <c r="F371" s="11" t="s">
        <v>394</v>
      </c>
    </row>
    <row r="372" spans="1:6" s="2" customFormat="1" ht="45" x14ac:dyDescent="0.25">
      <c r="A372" s="9">
        <v>42970</v>
      </c>
      <c r="B372" s="10" t="s">
        <v>501</v>
      </c>
      <c r="C372" s="10" t="s">
        <v>502</v>
      </c>
      <c r="D372" s="10" t="s">
        <v>438</v>
      </c>
      <c r="E372" s="10" t="s">
        <v>333</v>
      </c>
      <c r="F372" s="11" t="s">
        <v>503</v>
      </c>
    </row>
    <row r="373" spans="1:6" s="2" customFormat="1" ht="15" x14ac:dyDescent="0.25">
      <c r="A373" s="9">
        <v>42970</v>
      </c>
      <c r="B373" s="10" t="s">
        <v>504</v>
      </c>
      <c r="C373" s="10" t="s">
        <v>505</v>
      </c>
      <c r="D373" s="10" t="s">
        <v>438</v>
      </c>
      <c r="E373" s="10" t="s">
        <v>333</v>
      </c>
      <c r="F373" s="11" t="s">
        <v>394</v>
      </c>
    </row>
    <row r="374" spans="1:6" s="2" customFormat="1" ht="30" x14ac:dyDescent="0.25">
      <c r="A374" s="9">
        <v>42970</v>
      </c>
      <c r="B374" s="10" t="s">
        <v>506</v>
      </c>
      <c r="C374" s="10" t="s">
        <v>6</v>
      </c>
      <c r="D374" s="10" t="s">
        <v>438</v>
      </c>
      <c r="E374" s="10" t="s">
        <v>333</v>
      </c>
      <c r="F374" s="11" t="s">
        <v>394</v>
      </c>
    </row>
    <row r="375" spans="1:6" s="2" customFormat="1" ht="15" x14ac:dyDescent="0.25">
      <c r="A375" s="9">
        <v>42970</v>
      </c>
      <c r="B375" s="10" t="s">
        <v>507</v>
      </c>
      <c r="C375" s="10" t="s">
        <v>17</v>
      </c>
      <c r="D375" s="10" t="s">
        <v>438</v>
      </c>
      <c r="E375" s="10" t="s">
        <v>333</v>
      </c>
      <c r="F375" s="11" t="s">
        <v>508</v>
      </c>
    </row>
    <row r="376" spans="1:6" s="2" customFormat="1" ht="30" x14ac:dyDescent="0.25">
      <c r="A376" s="9">
        <v>42970</v>
      </c>
      <c r="B376" s="10" t="s">
        <v>509</v>
      </c>
      <c r="C376" s="10" t="s">
        <v>23</v>
      </c>
      <c r="D376" s="10" t="s">
        <v>438</v>
      </c>
      <c r="E376" s="10" t="s">
        <v>333</v>
      </c>
      <c r="F376" s="11" t="s">
        <v>510</v>
      </c>
    </row>
    <row r="377" spans="1:6" s="2" customFormat="1" ht="15" x14ac:dyDescent="0.25">
      <c r="A377" s="9">
        <v>42970</v>
      </c>
      <c r="B377" s="10" t="s">
        <v>511</v>
      </c>
      <c r="C377" s="10" t="s">
        <v>91</v>
      </c>
      <c r="D377" s="10" t="s">
        <v>413</v>
      </c>
      <c r="E377" s="10" t="s">
        <v>333</v>
      </c>
      <c r="F377" s="11" t="s">
        <v>414</v>
      </c>
    </row>
    <row r="378" spans="1:6" s="2" customFormat="1" ht="15" x14ac:dyDescent="0.25">
      <c r="A378" s="9">
        <v>42970</v>
      </c>
      <c r="B378" s="10" t="s">
        <v>512</v>
      </c>
      <c r="C378" s="10" t="s">
        <v>505</v>
      </c>
      <c r="D378" s="10" t="s">
        <v>413</v>
      </c>
      <c r="E378" s="10" t="s">
        <v>333</v>
      </c>
      <c r="F378" s="11" t="s">
        <v>513</v>
      </c>
    </row>
    <row r="379" spans="1:6" s="2" customFormat="1" ht="15" x14ac:dyDescent="0.25">
      <c r="A379" s="9">
        <v>42970</v>
      </c>
      <c r="B379" s="10" t="s">
        <v>514</v>
      </c>
      <c r="C379" s="10" t="s">
        <v>39</v>
      </c>
      <c r="D379" s="10" t="s">
        <v>438</v>
      </c>
      <c r="E379" s="10" t="s">
        <v>333</v>
      </c>
      <c r="F379" s="11" t="s">
        <v>414</v>
      </c>
    </row>
    <row r="380" spans="1:6" s="2" customFormat="1" ht="15" x14ac:dyDescent="0.25">
      <c r="A380" s="9">
        <v>42970</v>
      </c>
      <c r="B380" s="10" t="s">
        <v>515</v>
      </c>
      <c r="C380" s="10" t="s">
        <v>23</v>
      </c>
      <c r="D380" s="10" t="s">
        <v>516</v>
      </c>
      <c r="E380" s="10" t="s">
        <v>333</v>
      </c>
      <c r="F380" s="11" t="s">
        <v>375</v>
      </c>
    </row>
    <row r="381" spans="1:6" s="2" customFormat="1" ht="15" x14ac:dyDescent="0.25">
      <c r="A381" s="9">
        <v>42970</v>
      </c>
      <c r="B381" s="10" t="s">
        <v>517</v>
      </c>
      <c r="C381" s="10" t="s">
        <v>518</v>
      </c>
      <c r="D381" s="10" t="s">
        <v>336</v>
      </c>
      <c r="E381" s="10" t="s">
        <v>333</v>
      </c>
      <c r="F381" s="11" t="s">
        <v>519</v>
      </c>
    </row>
    <row r="382" spans="1:6" s="2" customFormat="1" ht="15" x14ac:dyDescent="0.25">
      <c r="A382" s="9">
        <v>42970</v>
      </c>
      <c r="B382" s="10" t="s">
        <v>520</v>
      </c>
      <c r="C382" s="10" t="s">
        <v>518</v>
      </c>
      <c r="D382" s="10" t="s">
        <v>343</v>
      </c>
      <c r="E382" s="10" t="s">
        <v>333</v>
      </c>
      <c r="F382" s="11" t="s">
        <v>350</v>
      </c>
    </row>
    <row r="383" spans="1:6" s="2" customFormat="1" ht="15" x14ac:dyDescent="0.25">
      <c r="A383" s="9">
        <v>42970</v>
      </c>
      <c r="B383" s="10" t="s">
        <v>521</v>
      </c>
      <c r="C383" s="10" t="s">
        <v>6</v>
      </c>
      <c r="D383" s="10" t="s">
        <v>336</v>
      </c>
      <c r="E383" s="10" t="s">
        <v>333</v>
      </c>
      <c r="F383" s="11" t="s">
        <v>337</v>
      </c>
    </row>
    <row r="384" spans="1:6" s="2" customFormat="1" ht="15" x14ac:dyDescent="0.25">
      <c r="A384" s="9">
        <v>42970</v>
      </c>
      <c r="B384" s="10" t="s">
        <v>522</v>
      </c>
      <c r="C384" s="10" t="s">
        <v>23</v>
      </c>
      <c r="D384" s="10" t="s">
        <v>388</v>
      </c>
      <c r="E384" s="10" t="s">
        <v>333</v>
      </c>
      <c r="F384" s="11" t="s">
        <v>350</v>
      </c>
    </row>
    <row r="385" spans="1:6" s="2" customFormat="1" ht="45" x14ac:dyDescent="0.25">
      <c r="A385" s="9">
        <v>42970</v>
      </c>
      <c r="B385" s="10" t="s">
        <v>523</v>
      </c>
      <c r="C385" s="10" t="s">
        <v>6</v>
      </c>
      <c r="D385" s="10" t="s">
        <v>524</v>
      </c>
      <c r="E385" s="10" t="s">
        <v>333</v>
      </c>
      <c r="F385" s="11" t="s">
        <v>525</v>
      </c>
    </row>
    <row r="386" spans="1:6" s="2" customFormat="1" ht="30" x14ac:dyDescent="0.25">
      <c r="A386" s="9">
        <v>42970</v>
      </c>
      <c r="B386" s="10" t="s">
        <v>526</v>
      </c>
      <c r="C386" s="10" t="s">
        <v>527</v>
      </c>
      <c r="D386" s="10" t="s">
        <v>528</v>
      </c>
      <c r="E386" s="10" t="s">
        <v>333</v>
      </c>
      <c r="F386" s="11" t="s">
        <v>497</v>
      </c>
    </row>
    <row r="387" spans="1:6" s="2" customFormat="1" ht="15" x14ac:dyDescent="0.25">
      <c r="A387" s="9">
        <v>42970</v>
      </c>
      <c r="B387" s="10" t="s">
        <v>529</v>
      </c>
      <c r="C387" s="10" t="s">
        <v>6</v>
      </c>
      <c r="D387" s="10" t="s">
        <v>441</v>
      </c>
      <c r="E387" s="10" t="s">
        <v>333</v>
      </c>
      <c r="F387" s="11" t="s">
        <v>530</v>
      </c>
    </row>
    <row r="388" spans="1:6" s="2" customFormat="1" ht="15" x14ac:dyDescent="0.25">
      <c r="A388" s="9">
        <v>42970</v>
      </c>
      <c r="B388" s="10" t="s">
        <v>531</v>
      </c>
      <c r="C388" s="10" t="s">
        <v>505</v>
      </c>
      <c r="D388" s="10" t="s">
        <v>441</v>
      </c>
      <c r="E388" s="10" t="s">
        <v>333</v>
      </c>
      <c r="F388" s="11" t="s">
        <v>530</v>
      </c>
    </row>
    <row r="389" spans="1:6" s="2" customFormat="1" ht="15" x14ac:dyDescent="0.25">
      <c r="A389" s="9">
        <v>42970</v>
      </c>
      <c r="B389" s="10" t="s">
        <v>532</v>
      </c>
      <c r="C389" s="10" t="s">
        <v>91</v>
      </c>
      <c r="D389" s="10" t="s">
        <v>441</v>
      </c>
      <c r="E389" s="10" t="s">
        <v>333</v>
      </c>
      <c r="F389" s="11" t="s">
        <v>533</v>
      </c>
    </row>
    <row r="390" spans="1:6" s="2" customFormat="1" ht="15" x14ac:dyDescent="0.25">
      <c r="A390" s="19">
        <v>42970</v>
      </c>
      <c r="B390" s="20" t="s">
        <v>534</v>
      </c>
      <c r="C390" s="20" t="s">
        <v>505</v>
      </c>
      <c r="D390" s="20" t="s">
        <v>438</v>
      </c>
      <c r="E390" s="20" t="s">
        <v>333</v>
      </c>
      <c r="F390" s="21" t="s">
        <v>540</v>
      </c>
    </row>
    <row r="391" spans="1:6" s="2" customFormat="1" ht="15" x14ac:dyDescent="0.25">
      <c r="A391" s="19">
        <v>42970</v>
      </c>
      <c r="B391" s="20" t="s">
        <v>535</v>
      </c>
      <c r="C391" s="20" t="s">
        <v>505</v>
      </c>
      <c r="D391" s="20" t="s">
        <v>438</v>
      </c>
      <c r="E391" s="20" t="s">
        <v>333</v>
      </c>
      <c r="F391" s="21" t="s">
        <v>540</v>
      </c>
    </row>
    <row r="392" spans="1:6" s="2" customFormat="1" ht="15" x14ac:dyDescent="0.25">
      <c r="A392" s="9">
        <v>42970</v>
      </c>
      <c r="B392" s="10" t="s">
        <v>536</v>
      </c>
      <c r="C392" s="10" t="s">
        <v>91</v>
      </c>
      <c r="D392" s="10" t="s">
        <v>438</v>
      </c>
      <c r="E392" s="10" t="s">
        <v>333</v>
      </c>
      <c r="F392" s="11" t="s">
        <v>537</v>
      </c>
    </row>
    <row r="393" spans="1:6" s="2" customFormat="1" ht="15" x14ac:dyDescent="0.25">
      <c r="A393" s="9">
        <v>42970</v>
      </c>
      <c r="B393" s="10" t="s">
        <v>538</v>
      </c>
      <c r="C393" s="10" t="s">
        <v>6</v>
      </c>
      <c r="D393" s="10" t="s">
        <v>336</v>
      </c>
      <c r="E393" s="10" t="s">
        <v>333</v>
      </c>
      <c r="F393" s="11" t="s">
        <v>539</v>
      </c>
    </row>
    <row r="394" spans="1:6" s="5" customFormat="1" ht="15" x14ac:dyDescent="0.25">
      <c r="A394" s="9">
        <v>42970</v>
      </c>
      <c r="B394" s="17" t="s">
        <v>459</v>
      </c>
      <c r="C394" s="17" t="s">
        <v>39</v>
      </c>
      <c r="D394" s="17" t="s">
        <v>438</v>
      </c>
      <c r="E394" s="17" t="s">
        <v>333</v>
      </c>
      <c r="F394" s="18" t="s">
        <v>458</v>
      </c>
    </row>
    <row r="395" spans="1:6" s="2" customFormat="1" ht="30" x14ac:dyDescent="0.25">
      <c r="A395" s="9">
        <v>42970</v>
      </c>
      <c r="B395" s="17" t="s">
        <v>415</v>
      </c>
      <c r="C395" s="17" t="s">
        <v>39</v>
      </c>
      <c r="D395" s="17" t="s">
        <v>357</v>
      </c>
      <c r="E395" s="17" t="s">
        <v>333</v>
      </c>
      <c r="F395" s="18" t="s">
        <v>416</v>
      </c>
    </row>
    <row r="396" spans="1:6" s="2" customFormat="1" ht="15" x14ac:dyDescent="0.25">
      <c r="A396" s="9">
        <v>42971</v>
      </c>
      <c r="B396" s="10" t="s">
        <v>541</v>
      </c>
      <c r="C396" s="10" t="s">
        <v>91</v>
      </c>
      <c r="D396" s="10" t="s">
        <v>542</v>
      </c>
      <c r="E396" s="10" t="s">
        <v>341</v>
      </c>
      <c r="F396" s="11"/>
    </row>
    <row r="397" spans="1:6" s="2" customFormat="1" ht="30" x14ac:dyDescent="0.25">
      <c r="A397" s="9">
        <v>42971</v>
      </c>
      <c r="B397" s="10" t="s">
        <v>543</v>
      </c>
      <c r="C397" s="10" t="s">
        <v>545</v>
      </c>
      <c r="D397" s="10" t="s">
        <v>343</v>
      </c>
      <c r="E397" s="10" t="s">
        <v>333</v>
      </c>
      <c r="F397" s="11" t="s">
        <v>544</v>
      </c>
    </row>
    <row r="398" spans="1:6" s="2" customFormat="1" ht="30" x14ac:dyDescent="0.25">
      <c r="A398" s="9">
        <v>42971</v>
      </c>
      <c r="B398" s="10" t="s">
        <v>546</v>
      </c>
      <c r="C398" s="10" t="s">
        <v>91</v>
      </c>
      <c r="D398" s="10" t="s">
        <v>387</v>
      </c>
      <c r="E398" s="10" t="s">
        <v>333</v>
      </c>
      <c r="F398" s="11" t="s">
        <v>547</v>
      </c>
    </row>
    <row r="399" spans="1:6" s="2" customFormat="1" ht="15" x14ac:dyDescent="0.25">
      <c r="A399" s="9">
        <v>42971</v>
      </c>
      <c r="B399" s="10" t="s">
        <v>450</v>
      </c>
      <c r="C399" s="10" t="s">
        <v>39</v>
      </c>
      <c r="D399" s="10" t="s">
        <v>343</v>
      </c>
      <c r="E399" s="10" t="s">
        <v>333</v>
      </c>
      <c r="F399" s="11" t="s">
        <v>548</v>
      </c>
    </row>
    <row r="400" spans="1:6" s="2" customFormat="1" ht="15" x14ac:dyDescent="0.25">
      <c r="A400" s="9">
        <v>42971</v>
      </c>
      <c r="B400" s="10" t="s">
        <v>549</v>
      </c>
      <c r="C400" s="10" t="s">
        <v>91</v>
      </c>
      <c r="D400" s="10" t="s">
        <v>550</v>
      </c>
      <c r="E400" s="10" t="s">
        <v>333</v>
      </c>
      <c r="F400" s="11" t="s">
        <v>442</v>
      </c>
    </row>
    <row r="401" spans="1:6" s="2" customFormat="1" ht="30" x14ac:dyDescent="0.25">
      <c r="A401" s="9">
        <v>42971</v>
      </c>
      <c r="B401" s="10" t="s">
        <v>551</v>
      </c>
      <c r="C401" s="10" t="s">
        <v>505</v>
      </c>
      <c r="D401" s="10" t="s">
        <v>352</v>
      </c>
      <c r="E401" s="10" t="s">
        <v>333</v>
      </c>
      <c r="F401" s="11" t="s">
        <v>455</v>
      </c>
    </row>
    <row r="402" spans="1:6" s="2" customFormat="1" ht="30" x14ac:dyDescent="0.25">
      <c r="A402" s="9">
        <v>42971</v>
      </c>
      <c r="B402" s="10" t="s">
        <v>552</v>
      </c>
      <c r="C402" s="10" t="s">
        <v>91</v>
      </c>
      <c r="D402" s="10" t="s">
        <v>352</v>
      </c>
      <c r="E402" s="10" t="s">
        <v>333</v>
      </c>
      <c r="F402" s="11" t="s">
        <v>344</v>
      </c>
    </row>
    <row r="403" spans="1:6" s="2" customFormat="1" ht="30" x14ac:dyDescent="0.25">
      <c r="A403" s="9">
        <v>42971</v>
      </c>
      <c r="B403" s="10" t="s">
        <v>553</v>
      </c>
      <c r="C403" s="10" t="s">
        <v>554</v>
      </c>
      <c r="D403" s="10" t="s">
        <v>334</v>
      </c>
      <c r="E403" s="10" t="s">
        <v>333</v>
      </c>
      <c r="F403" s="11" t="s">
        <v>555</v>
      </c>
    </row>
    <row r="404" spans="1:6" s="2" customFormat="1" ht="30" x14ac:dyDescent="0.25">
      <c r="A404" s="9">
        <v>42971</v>
      </c>
      <c r="B404" s="10" t="s">
        <v>556</v>
      </c>
      <c r="C404" s="10" t="s">
        <v>557</v>
      </c>
      <c r="D404" s="10" t="s">
        <v>387</v>
      </c>
      <c r="E404" s="10" t="s">
        <v>341</v>
      </c>
      <c r="F404" s="11"/>
    </row>
    <row r="405" spans="1:6" s="2" customFormat="1" ht="30" x14ac:dyDescent="0.25">
      <c r="A405" s="9">
        <v>42971</v>
      </c>
      <c r="B405" s="10" t="s">
        <v>558</v>
      </c>
      <c r="C405" s="10" t="s">
        <v>6</v>
      </c>
      <c r="D405" s="10" t="s">
        <v>387</v>
      </c>
      <c r="E405" s="10" t="s">
        <v>341</v>
      </c>
      <c r="F405" s="11"/>
    </row>
    <row r="406" spans="1:6" s="2" customFormat="1" ht="15" x14ac:dyDescent="0.25">
      <c r="A406" s="9">
        <v>42972</v>
      </c>
      <c r="B406" s="10" t="s">
        <v>559</v>
      </c>
      <c r="C406" s="10" t="s">
        <v>51</v>
      </c>
      <c r="D406" s="10" t="s">
        <v>441</v>
      </c>
      <c r="E406" s="10" t="s">
        <v>333</v>
      </c>
      <c r="F406" s="11" t="s">
        <v>436</v>
      </c>
    </row>
    <row r="407" spans="1:6" s="2" customFormat="1" ht="15" x14ac:dyDescent="0.25">
      <c r="A407" s="9">
        <v>42973</v>
      </c>
      <c r="B407" s="10" t="s">
        <v>560</v>
      </c>
      <c r="C407" s="10" t="s">
        <v>39</v>
      </c>
      <c r="D407" s="10" t="s">
        <v>343</v>
      </c>
      <c r="E407" s="10" t="s">
        <v>333</v>
      </c>
      <c r="F407" s="11" t="s">
        <v>561</v>
      </c>
    </row>
    <row r="408" spans="1:6" s="2" customFormat="1" ht="15" x14ac:dyDescent="0.25">
      <c r="A408" s="9">
        <v>42975</v>
      </c>
      <c r="B408" s="10" t="s">
        <v>562</v>
      </c>
      <c r="C408" s="10" t="s">
        <v>563</v>
      </c>
      <c r="D408" s="10" t="s">
        <v>438</v>
      </c>
      <c r="E408" s="10" t="s">
        <v>333</v>
      </c>
      <c r="F408" s="11" t="s">
        <v>564</v>
      </c>
    </row>
    <row r="409" spans="1:6" s="2" customFormat="1" ht="15" x14ac:dyDescent="0.25">
      <c r="A409" s="9">
        <v>42975</v>
      </c>
      <c r="B409" s="10" t="s">
        <v>401</v>
      </c>
      <c r="C409" s="10" t="s">
        <v>23</v>
      </c>
      <c r="D409" s="10" t="s">
        <v>439</v>
      </c>
      <c r="E409" s="10" t="s">
        <v>333</v>
      </c>
      <c r="F409" s="11" t="s">
        <v>565</v>
      </c>
    </row>
    <row r="410" spans="1:6" s="2" customFormat="1" ht="15" x14ac:dyDescent="0.25">
      <c r="A410" s="22">
        <v>42975</v>
      </c>
      <c r="B410" s="17" t="s">
        <v>383</v>
      </c>
      <c r="C410" s="17" t="s">
        <v>39</v>
      </c>
      <c r="D410" s="17"/>
      <c r="E410" s="17"/>
      <c r="F410" s="18"/>
    </row>
    <row r="411" spans="1:6" s="2" customFormat="1" ht="15" x14ac:dyDescent="0.25">
      <c r="A411" s="9">
        <v>42976</v>
      </c>
      <c r="B411" s="10" t="s">
        <v>566</v>
      </c>
      <c r="C411" s="10" t="s">
        <v>19</v>
      </c>
      <c r="D411" s="10" t="s">
        <v>484</v>
      </c>
      <c r="E411" s="10" t="s">
        <v>333</v>
      </c>
      <c r="F411" s="11" t="s">
        <v>567</v>
      </c>
    </row>
    <row r="412" spans="1:6" s="2" customFormat="1" ht="30" x14ac:dyDescent="0.25">
      <c r="A412" s="9">
        <v>42976</v>
      </c>
      <c r="B412" s="10" t="s">
        <v>568</v>
      </c>
      <c r="C412" s="10" t="s">
        <v>412</v>
      </c>
      <c r="D412" s="10" t="s">
        <v>438</v>
      </c>
      <c r="E412" s="10" t="s">
        <v>333</v>
      </c>
      <c r="F412" s="11" t="s">
        <v>569</v>
      </c>
    </row>
    <row r="413" spans="1:6" s="2" customFormat="1" ht="15" x14ac:dyDescent="0.25">
      <c r="A413" s="9">
        <v>42976</v>
      </c>
      <c r="B413" s="10" t="s">
        <v>570</v>
      </c>
      <c r="C413" s="10" t="s">
        <v>122</v>
      </c>
      <c r="D413" s="10" t="s">
        <v>438</v>
      </c>
      <c r="E413" s="10" t="s">
        <v>333</v>
      </c>
      <c r="F413" s="11" t="s">
        <v>571</v>
      </c>
    </row>
    <row r="414" spans="1:6" s="2" customFormat="1" ht="15" x14ac:dyDescent="0.25">
      <c r="A414" s="9">
        <v>42976</v>
      </c>
      <c r="B414" s="10" t="s">
        <v>572</v>
      </c>
      <c r="C414" s="10" t="s">
        <v>122</v>
      </c>
      <c r="D414" s="10" t="s">
        <v>516</v>
      </c>
      <c r="E414" s="10" t="s">
        <v>333</v>
      </c>
      <c r="F414" s="11" t="s">
        <v>573</v>
      </c>
    </row>
    <row r="415" spans="1:6" s="2" customFormat="1" ht="30" x14ac:dyDescent="0.25">
      <c r="A415" s="9">
        <v>42976</v>
      </c>
      <c r="B415" s="10" t="s">
        <v>574</v>
      </c>
      <c r="C415" s="10" t="s">
        <v>575</v>
      </c>
      <c r="D415" s="10" t="s">
        <v>357</v>
      </c>
      <c r="E415" s="10" t="s">
        <v>576</v>
      </c>
      <c r="F415" s="11" t="s">
        <v>577</v>
      </c>
    </row>
    <row r="416" spans="1:6" s="2" customFormat="1" ht="15" x14ac:dyDescent="0.25">
      <c r="A416" s="9">
        <v>42976</v>
      </c>
      <c r="B416" s="10" t="s">
        <v>578</v>
      </c>
      <c r="C416" s="10" t="s">
        <v>6</v>
      </c>
      <c r="D416" s="10" t="s">
        <v>438</v>
      </c>
      <c r="E416" s="10" t="s">
        <v>333</v>
      </c>
      <c r="F416" s="11" t="s">
        <v>579</v>
      </c>
    </row>
    <row r="417" spans="1:6" s="2" customFormat="1" ht="15" x14ac:dyDescent="0.25">
      <c r="A417" s="9">
        <v>42976</v>
      </c>
      <c r="B417" s="10" t="s">
        <v>580</v>
      </c>
      <c r="C417" s="10" t="s">
        <v>80</v>
      </c>
      <c r="D417" s="10" t="s">
        <v>413</v>
      </c>
      <c r="E417" s="10" t="s">
        <v>333</v>
      </c>
      <c r="F417" s="11" t="s">
        <v>581</v>
      </c>
    </row>
    <row r="418" spans="1:6" s="2" customFormat="1" ht="15" x14ac:dyDescent="0.25">
      <c r="A418" s="9">
        <v>42976</v>
      </c>
      <c r="B418" s="10" t="s">
        <v>582</v>
      </c>
      <c r="C418" s="10" t="s">
        <v>583</v>
      </c>
      <c r="D418" s="10" t="s">
        <v>413</v>
      </c>
      <c r="E418" s="10" t="s">
        <v>576</v>
      </c>
      <c r="F418" s="11" t="s">
        <v>584</v>
      </c>
    </row>
    <row r="419" spans="1:6" s="2" customFormat="1" ht="30" x14ac:dyDescent="0.25">
      <c r="A419" s="9">
        <v>42976</v>
      </c>
      <c r="B419" s="10" t="s">
        <v>585</v>
      </c>
      <c r="C419" s="10" t="s">
        <v>6</v>
      </c>
      <c r="D419" s="10" t="s">
        <v>438</v>
      </c>
      <c r="E419" s="10" t="s">
        <v>333</v>
      </c>
      <c r="F419" s="11" t="s">
        <v>586</v>
      </c>
    </row>
    <row r="420" spans="1:6" s="2" customFormat="1" ht="15" x14ac:dyDescent="0.25">
      <c r="A420" s="9">
        <v>42976</v>
      </c>
      <c r="B420" s="10" t="s">
        <v>587</v>
      </c>
      <c r="C420" s="10" t="s">
        <v>39</v>
      </c>
      <c r="D420" s="10" t="s">
        <v>438</v>
      </c>
      <c r="E420" s="10" t="s">
        <v>333</v>
      </c>
      <c r="F420" s="11" t="s">
        <v>588</v>
      </c>
    </row>
    <row r="421" spans="1:6" s="2" customFormat="1" ht="30" x14ac:dyDescent="0.25">
      <c r="A421" s="9">
        <v>42976</v>
      </c>
      <c r="B421" s="10" t="s">
        <v>589</v>
      </c>
      <c r="C421" s="10" t="s">
        <v>590</v>
      </c>
      <c r="D421" s="10" t="s">
        <v>528</v>
      </c>
      <c r="E421" s="10" t="s">
        <v>333</v>
      </c>
      <c r="F421" s="11" t="s">
        <v>591</v>
      </c>
    </row>
    <row r="422" spans="1:6" s="2" customFormat="1" ht="15" x14ac:dyDescent="0.25">
      <c r="A422" s="9">
        <v>42976</v>
      </c>
      <c r="B422" s="10" t="s">
        <v>593</v>
      </c>
      <c r="C422" s="10" t="s">
        <v>39</v>
      </c>
      <c r="D422" s="10" t="s">
        <v>336</v>
      </c>
      <c r="E422" s="10" t="s">
        <v>333</v>
      </c>
      <c r="F422" s="11" t="s">
        <v>519</v>
      </c>
    </row>
    <row r="423" spans="1:6" s="2" customFormat="1" ht="15" x14ac:dyDescent="0.25">
      <c r="A423" s="9">
        <v>42976</v>
      </c>
      <c r="B423" s="10" t="s">
        <v>612</v>
      </c>
      <c r="C423" s="10" t="s">
        <v>39</v>
      </c>
      <c r="D423" s="10" t="s">
        <v>439</v>
      </c>
      <c r="E423" s="10" t="s">
        <v>333</v>
      </c>
      <c r="F423" s="11" t="s">
        <v>613</v>
      </c>
    </row>
    <row r="424" spans="1:6" s="2" customFormat="1" ht="30" x14ac:dyDescent="0.25">
      <c r="A424" s="9">
        <v>42976</v>
      </c>
      <c r="B424" s="10" t="s">
        <v>592</v>
      </c>
      <c r="C424" s="10" t="s">
        <v>39</v>
      </c>
      <c r="D424" s="10" t="s">
        <v>486</v>
      </c>
      <c r="E424" s="10" t="s">
        <v>333</v>
      </c>
      <c r="F424" s="11" t="s">
        <v>478</v>
      </c>
    </row>
    <row r="425" spans="1:6" s="2" customFormat="1" ht="15" x14ac:dyDescent="0.25">
      <c r="A425" s="9">
        <v>42976</v>
      </c>
      <c r="B425" s="10" t="s">
        <v>597</v>
      </c>
      <c r="C425" s="10" t="s">
        <v>39</v>
      </c>
      <c r="D425" s="10" t="s">
        <v>542</v>
      </c>
      <c r="E425" s="10" t="s">
        <v>333</v>
      </c>
      <c r="F425" s="11" t="s">
        <v>399</v>
      </c>
    </row>
    <row r="426" spans="1:6" s="2" customFormat="1" ht="30" x14ac:dyDescent="0.25">
      <c r="A426" s="9">
        <v>42976</v>
      </c>
      <c r="B426" s="10" t="s">
        <v>614</v>
      </c>
      <c r="C426" s="10" t="s">
        <v>615</v>
      </c>
      <c r="D426" s="10" t="s">
        <v>486</v>
      </c>
      <c r="E426" s="10" t="s">
        <v>333</v>
      </c>
      <c r="F426" s="11" t="s">
        <v>591</v>
      </c>
    </row>
    <row r="427" spans="1:6" s="2" customFormat="1" ht="30" x14ac:dyDescent="0.25">
      <c r="A427" s="9">
        <v>42976</v>
      </c>
      <c r="B427" s="10" t="s">
        <v>610</v>
      </c>
      <c r="C427" s="10" t="s">
        <v>91</v>
      </c>
      <c r="D427" s="10" t="s">
        <v>352</v>
      </c>
      <c r="E427" s="10" t="s">
        <v>333</v>
      </c>
      <c r="F427" s="11" t="s">
        <v>609</v>
      </c>
    </row>
    <row r="428" spans="1:6" s="2" customFormat="1" ht="15" x14ac:dyDescent="0.25">
      <c r="A428" s="9">
        <v>42976</v>
      </c>
      <c r="B428" s="10" t="s">
        <v>619</v>
      </c>
      <c r="C428" s="10" t="s">
        <v>91</v>
      </c>
      <c r="D428" s="10" t="s">
        <v>439</v>
      </c>
      <c r="E428" s="10" t="s">
        <v>333</v>
      </c>
      <c r="F428" s="11" t="s">
        <v>620</v>
      </c>
    </row>
    <row r="429" spans="1:6" s="2" customFormat="1" ht="30" x14ac:dyDescent="0.25">
      <c r="A429" s="9">
        <v>42976</v>
      </c>
      <c r="B429" s="10" t="s">
        <v>596</v>
      </c>
      <c r="C429" s="10" t="s">
        <v>91</v>
      </c>
      <c r="D429" s="10" t="s">
        <v>486</v>
      </c>
      <c r="E429" s="10" t="s">
        <v>333</v>
      </c>
      <c r="F429" s="11" t="s">
        <v>595</v>
      </c>
    </row>
    <row r="430" spans="1:6" s="2" customFormat="1" ht="30" x14ac:dyDescent="0.25">
      <c r="A430" s="9">
        <v>42976</v>
      </c>
      <c r="B430" s="10" t="s">
        <v>621</v>
      </c>
      <c r="C430" s="10" t="s">
        <v>6</v>
      </c>
      <c r="D430" s="10" t="s">
        <v>486</v>
      </c>
      <c r="E430" s="10" t="s">
        <v>333</v>
      </c>
      <c r="F430" s="11" t="s">
        <v>622</v>
      </c>
    </row>
    <row r="431" spans="1:6" s="2" customFormat="1" ht="30" x14ac:dyDescent="0.25">
      <c r="A431" s="9">
        <v>42976</v>
      </c>
      <c r="B431" s="10" t="s">
        <v>594</v>
      </c>
      <c r="C431" s="10" t="s">
        <v>505</v>
      </c>
      <c r="D431" s="10" t="s">
        <v>486</v>
      </c>
      <c r="E431" s="10" t="s">
        <v>333</v>
      </c>
      <c r="F431" s="11" t="s">
        <v>595</v>
      </c>
    </row>
    <row r="432" spans="1:6" s="2" customFormat="1" ht="30" x14ac:dyDescent="0.25">
      <c r="A432" s="9">
        <v>42976</v>
      </c>
      <c r="B432" s="10" t="s">
        <v>598</v>
      </c>
      <c r="C432" s="10" t="s">
        <v>599</v>
      </c>
      <c r="D432" s="10" t="s">
        <v>470</v>
      </c>
      <c r="E432" s="10" t="s">
        <v>333</v>
      </c>
      <c r="F432" s="11" t="s">
        <v>600</v>
      </c>
    </row>
    <row r="433" spans="1:6" s="2" customFormat="1" ht="30" x14ac:dyDescent="0.25">
      <c r="A433" s="9">
        <v>42976</v>
      </c>
      <c r="B433" s="10" t="s">
        <v>601</v>
      </c>
      <c r="C433" s="10" t="s">
        <v>602</v>
      </c>
      <c r="D433" s="10" t="s">
        <v>470</v>
      </c>
      <c r="E433" s="10" t="s">
        <v>333</v>
      </c>
      <c r="F433" s="11" t="s">
        <v>603</v>
      </c>
    </row>
    <row r="434" spans="1:6" s="2" customFormat="1" ht="30" x14ac:dyDescent="0.25">
      <c r="A434" s="9">
        <v>42976</v>
      </c>
      <c r="B434" s="10" t="s">
        <v>604</v>
      </c>
      <c r="C434" s="10" t="s">
        <v>602</v>
      </c>
      <c r="D434" s="10" t="s">
        <v>352</v>
      </c>
      <c r="E434" s="10" t="s">
        <v>333</v>
      </c>
      <c r="F434" s="11" t="s">
        <v>367</v>
      </c>
    </row>
    <row r="435" spans="1:6" s="2" customFormat="1" ht="30" x14ac:dyDescent="0.25">
      <c r="A435" s="9">
        <v>42976</v>
      </c>
      <c r="B435" s="10" t="s">
        <v>608</v>
      </c>
      <c r="C435" s="10" t="s">
        <v>602</v>
      </c>
      <c r="D435" s="10" t="s">
        <v>352</v>
      </c>
      <c r="E435" s="10" t="s">
        <v>333</v>
      </c>
      <c r="F435" s="11" t="s">
        <v>609</v>
      </c>
    </row>
    <row r="436" spans="1:6" s="2" customFormat="1" ht="15" x14ac:dyDescent="0.25">
      <c r="A436" s="9">
        <v>42976</v>
      </c>
      <c r="B436" s="10" t="s">
        <v>611</v>
      </c>
      <c r="C436" s="10" t="s">
        <v>17</v>
      </c>
      <c r="D436" s="10" t="s">
        <v>439</v>
      </c>
      <c r="E436" s="10" t="s">
        <v>333</v>
      </c>
      <c r="F436" s="11" t="s">
        <v>369</v>
      </c>
    </row>
    <row r="437" spans="1:6" s="2" customFormat="1" ht="15" x14ac:dyDescent="0.25">
      <c r="A437" s="9">
        <v>42976</v>
      </c>
      <c r="B437" s="10" t="s">
        <v>616</v>
      </c>
      <c r="C437" s="10" t="s">
        <v>617</v>
      </c>
      <c r="D437" s="10" t="s">
        <v>439</v>
      </c>
      <c r="E437" s="10" t="s">
        <v>333</v>
      </c>
      <c r="F437" s="11" t="s">
        <v>618</v>
      </c>
    </row>
    <row r="438" spans="1:6" s="2" customFormat="1" ht="30" x14ac:dyDescent="0.25">
      <c r="A438" s="9">
        <v>42976</v>
      </c>
      <c r="B438" s="10" t="s">
        <v>605</v>
      </c>
      <c r="C438" s="10" t="s">
        <v>606</v>
      </c>
      <c r="D438" s="10" t="s">
        <v>336</v>
      </c>
      <c r="E438" s="10" t="s">
        <v>333</v>
      </c>
      <c r="F438" s="11" t="s">
        <v>607</v>
      </c>
    </row>
    <row r="439" spans="1:6" s="2" customFormat="1" ht="30" x14ac:dyDescent="0.25">
      <c r="A439" s="9">
        <v>42976</v>
      </c>
      <c r="B439" s="10" t="s">
        <v>623</v>
      </c>
      <c r="C439" s="10" t="s">
        <v>80</v>
      </c>
      <c r="D439" s="10" t="s">
        <v>470</v>
      </c>
      <c r="E439" s="10" t="s">
        <v>333</v>
      </c>
      <c r="F439" s="11" t="s">
        <v>624</v>
      </c>
    </row>
    <row r="440" spans="1:6" s="2" customFormat="1" ht="15" x14ac:dyDescent="0.25">
      <c r="A440" s="9">
        <v>42976</v>
      </c>
      <c r="B440" s="10" t="s">
        <v>625</v>
      </c>
      <c r="C440" s="10" t="s">
        <v>23</v>
      </c>
      <c r="D440" s="10" t="s">
        <v>441</v>
      </c>
      <c r="E440" s="10" t="s">
        <v>333</v>
      </c>
      <c r="F440" s="11" t="s">
        <v>626</v>
      </c>
    </row>
    <row r="441" spans="1:6" s="2" customFormat="1" ht="30" x14ac:dyDescent="0.25">
      <c r="A441" s="9">
        <v>42976</v>
      </c>
      <c r="B441" s="10" t="s">
        <v>627</v>
      </c>
      <c r="C441" s="10" t="s">
        <v>39</v>
      </c>
      <c r="D441" s="10" t="s">
        <v>628</v>
      </c>
      <c r="E441" s="10" t="s">
        <v>333</v>
      </c>
      <c r="F441" s="11" t="s">
        <v>591</v>
      </c>
    </row>
    <row r="442" spans="1:6" s="2" customFormat="1" ht="30" x14ac:dyDescent="0.25">
      <c r="A442" s="9">
        <v>42976</v>
      </c>
      <c r="B442" s="10" t="s">
        <v>629</v>
      </c>
      <c r="C442" s="10" t="s">
        <v>23</v>
      </c>
      <c r="D442" s="10" t="s">
        <v>387</v>
      </c>
      <c r="E442" s="10" t="s">
        <v>333</v>
      </c>
      <c r="F442" s="11" t="s">
        <v>591</v>
      </c>
    </row>
    <row r="443" spans="1:6" s="2" customFormat="1" ht="30" x14ac:dyDescent="0.25">
      <c r="A443" s="9">
        <v>42976</v>
      </c>
      <c r="B443" s="10" t="s">
        <v>630</v>
      </c>
      <c r="C443" s="10" t="s">
        <v>635</v>
      </c>
      <c r="D443" s="10" t="s">
        <v>628</v>
      </c>
      <c r="E443" s="10" t="s">
        <v>333</v>
      </c>
      <c r="F443" s="11" t="s">
        <v>375</v>
      </c>
    </row>
    <row r="444" spans="1:6" s="2" customFormat="1" ht="30" x14ac:dyDescent="0.25">
      <c r="A444" s="9">
        <v>42976</v>
      </c>
      <c r="B444" s="10" t="s">
        <v>631</v>
      </c>
      <c r="C444" s="10" t="s">
        <v>505</v>
      </c>
      <c r="D444" s="10" t="s">
        <v>387</v>
      </c>
      <c r="E444" s="10" t="s">
        <v>333</v>
      </c>
      <c r="F444" s="11" t="s">
        <v>344</v>
      </c>
    </row>
    <row r="445" spans="1:6" s="2" customFormat="1" ht="30" x14ac:dyDescent="0.25">
      <c r="A445" s="9">
        <v>42976</v>
      </c>
      <c r="B445" s="10" t="s">
        <v>632</v>
      </c>
      <c r="C445" s="10" t="s">
        <v>23</v>
      </c>
      <c r="D445" s="10" t="s">
        <v>387</v>
      </c>
      <c r="E445" s="10" t="s">
        <v>333</v>
      </c>
      <c r="F445" s="11" t="s">
        <v>633</v>
      </c>
    </row>
    <row r="446" spans="1:6" s="2" customFormat="1" ht="30" x14ac:dyDescent="0.25">
      <c r="A446" s="9">
        <v>42976</v>
      </c>
      <c r="B446" s="10" t="s">
        <v>634</v>
      </c>
      <c r="C446" s="10" t="s">
        <v>23</v>
      </c>
      <c r="D446" s="10" t="s">
        <v>387</v>
      </c>
      <c r="E446" s="10" t="s">
        <v>333</v>
      </c>
      <c r="F446" s="11" t="s">
        <v>591</v>
      </c>
    </row>
    <row r="447" spans="1:6" s="2" customFormat="1" ht="30" x14ac:dyDescent="0.25">
      <c r="A447" s="9">
        <v>42977</v>
      </c>
      <c r="B447" s="10" t="s">
        <v>636</v>
      </c>
      <c r="C447" s="10" t="s">
        <v>6</v>
      </c>
      <c r="D447" s="10" t="s">
        <v>352</v>
      </c>
      <c r="E447" s="10" t="s">
        <v>333</v>
      </c>
      <c r="F447" s="11" t="s">
        <v>367</v>
      </c>
    </row>
    <row r="448" spans="1:6" s="2" customFormat="1" ht="15" x14ac:dyDescent="0.25">
      <c r="A448" s="9">
        <v>42979</v>
      </c>
      <c r="B448" s="10" t="s">
        <v>511</v>
      </c>
      <c r="C448" s="10" t="s">
        <v>17</v>
      </c>
      <c r="D448" s="10" t="s">
        <v>413</v>
      </c>
      <c r="E448" s="10" t="s">
        <v>333</v>
      </c>
      <c r="F448" s="11" t="s">
        <v>414</v>
      </c>
    </row>
    <row r="449" spans="1:6" s="2" customFormat="1" ht="15" x14ac:dyDescent="0.25">
      <c r="A449" s="9">
        <v>42979</v>
      </c>
      <c r="B449" s="10" t="s">
        <v>637</v>
      </c>
      <c r="C449" s="10" t="s">
        <v>6</v>
      </c>
      <c r="D449" s="10" t="s">
        <v>380</v>
      </c>
      <c r="E449" s="10" t="s">
        <v>333</v>
      </c>
      <c r="F449" s="11" t="s">
        <v>377</v>
      </c>
    </row>
    <row r="450" spans="1:6" s="2" customFormat="1" ht="30" x14ac:dyDescent="0.25">
      <c r="A450" s="9">
        <v>42979</v>
      </c>
      <c r="B450" s="10" t="s">
        <v>638</v>
      </c>
      <c r="C450" s="10" t="s">
        <v>39</v>
      </c>
      <c r="D450" s="10" t="s">
        <v>484</v>
      </c>
      <c r="E450" s="10" t="s">
        <v>333</v>
      </c>
      <c r="F450" s="11" t="s">
        <v>503</v>
      </c>
    </row>
    <row r="451" spans="1:6" s="2" customFormat="1" ht="15" x14ac:dyDescent="0.25">
      <c r="A451" s="9">
        <v>42979</v>
      </c>
      <c r="B451" s="10" t="s">
        <v>639</v>
      </c>
      <c r="C451" s="10" t="s">
        <v>91</v>
      </c>
      <c r="D451" s="10" t="s">
        <v>380</v>
      </c>
      <c r="E451" s="10" t="s">
        <v>333</v>
      </c>
      <c r="F451" s="11" t="s">
        <v>503</v>
      </c>
    </row>
    <row r="452" spans="1:6" s="2" customFormat="1" ht="15" x14ac:dyDescent="0.25">
      <c r="A452" s="9">
        <v>42979</v>
      </c>
      <c r="B452" s="10" t="s">
        <v>640</v>
      </c>
      <c r="C452" s="10" t="s">
        <v>617</v>
      </c>
      <c r="D452" s="10" t="s">
        <v>484</v>
      </c>
      <c r="E452" s="10" t="s">
        <v>333</v>
      </c>
      <c r="F452" s="11" t="s">
        <v>641</v>
      </c>
    </row>
    <row r="453" spans="1:6" s="2" customFormat="1" ht="15" x14ac:dyDescent="0.25">
      <c r="A453" s="9">
        <v>42979</v>
      </c>
      <c r="B453" s="10" t="s">
        <v>642</v>
      </c>
      <c r="C453" s="10" t="s">
        <v>412</v>
      </c>
      <c r="D453" s="10" t="s">
        <v>380</v>
      </c>
      <c r="E453" s="10" t="s">
        <v>333</v>
      </c>
      <c r="F453" s="11" t="s">
        <v>442</v>
      </c>
    </row>
    <row r="454" spans="1:6" s="2" customFormat="1" ht="15" x14ac:dyDescent="0.25">
      <c r="A454" s="9">
        <v>42979</v>
      </c>
      <c r="B454" s="10" t="s">
        <v>643</v>
      </c>
      <c r="C454" s="10" t="s">
        <v>412</v>
      </c>
      <c r="D454" s="10" t="s">
        <v>327</v>
      </c>
      <c r="E454" s="10" t="s">
        <v>333</v>
      </c>
      <c r="F454" s="11" t="s">
        <v>644</v>
      </c>
    </row>
    <row r="455" spans="1:6" s="2" customFormat="1" ht="30" x14ac:dyDescent="0.25">
      <c r="A455" s="9">
        <v>42982</v>
      </c>
      <c r="B455" s="10" t="s">
        <v>645</v>
      </c>
      <c r="C455" s="10" t="s">
        <v>6</v>
      </c>
      <c r="D455" s="10" t="s">
        <v>352</v>
      </c>
      <c r="E455" s="10" t="s">
        <v>333</v>
      </c>
      <c r="F455" s="11" t="s">
        <v>573</v>
      </c>
    </row>
    <row r="456" spans="1:6" s="2" customFormat="1" ht="30" x14ac:dyDescent="0.25">
      <c r="A456" s="9">
        <v>42982</v>
      </c>
      <c r="B456" s="10" t="s">
        <v>646</v>
      </c>
      <c r="C456" s="10" t="s">
        <v>23</v>
      </c>
      <c r="D456" s="10" t="s">
        <v>352</v>
      </c>
      <c r="E456" s="10" t="s">
        <v>333</v>
      </c>
      <c r="F456" s="35" t="s">
        <v>367</v>
      </c>
    </row>
    <row r="457" spans="1:6" s="2" customFormat="1" ht="30" x14ac:dyDescent="0.25">
      <c r="A457" s="9">
        <v>42982</v>
      </c>
      <c r="B457" s="10" t="s">
        <v>647</v>
      </c>
      <c r="C457" s="10" t="s">
        <v>6</v>
      </c>
      <c r="D457" s="10" t="s">
        <v>352</v>
      </c>
      <c r="E457" s="10" t="s">
        <v>333</v>
      </c>
      <c r="F457" s="11" t="s">
        <v>367</v>
      </c>
    </row>
    <row r="458" spans="1:6" s="2" customFormat="1" ht="30" x14ac:dyDescent="0.25">
      <c r="A458" s="9">
        <v>42982</v>
      </c>
      <c r="B458" s="10" t="s">
        <v>648</v>
      </c>
      <c r="C458" s="10" t="s">
        <v>649</v>
      </c>
      <c r="D458" s="10" t="s">
        <v>352</v>
      </c>
      <c r="E458" s="10" t="s">
        <v>333</v>
      </c>
      <c r="F458" s="11" t="s">
        <v>367</v>
      </c>
    </row>
    <row r="459" spans="1:6" s="2" customFormat="1" ht="30" x14ac:dyDescent="0.25">
      <c r="A459" s="9">
        <v>42982</v>
      </c>
      <c r="B459" s="10" t="s">
        <v>650</v>
      </c>
      <c r="C459" s="10" t="s">
        <v>602</v>
      </c>
      <c r="D459" s="10" t="s">
        <v>470</v>
      </c>
      <c r="E459" s="10" t="s">
        <v>333</v>
      </c>
      <c r="F459" s="11" t="s">
        <v>651</v>
      </c>
    </row>
    <row r="460" spans="1:6" s="2" customFormat="1" ht="15" x14ac:dyDescent="0.25">
      <c r="A460" s="9">
        <v>42982</v>
      </c>
      <c r="B460" s="10" t="s">
        <v>652</v>
      </c>
      <c r="C460" s="10" t="s">
        <v>39</v>
      </c>
      <c r="D460" s="10" t="s">
        <v>542</v>
      </c>
      <c r="E460" s="10" t="s">
        <v>333</v>
      </c>
      <c r="F460" s="11" t="s">
        <v>653</v>
      </c>
    </row>
    <row r="461" spans="1:6" s="2" customFormat="1" ht="30" x14ac:dyDescent="0.25">
      <c r="A461" s="9">
        <v>42982</v>
      </c>
      <c r="B461" s="10" t="s">
        <v>654</v>
      </c>
      <c r="C461" s="10" t="s">
        <v>656</v>
      </c>
      <c r="D461" s="10" t="s">
        <v>352</v>
      </c>
      <c r="E461" s="10" t="s">
        <v>333</v>
      </c>
      <c r="F461" s="11" t="s">
        <v>655</v>
      </c>
    </row>
    <row r="462" spans="1:6" s="2" customFormat="1" ht="15" x14ac:dyDescent="0.25">
      <c r="A462" s="9">
        <v>42982</v>
      </c>
      <c r="B462" s="10" t="s">
        <v>541</v>
      </c>
      <c r="C462" s="10" t="s">
        <v>122</v>
      </c>
      <c r="D462" s="10" t="s">
        <v>542</v>
      </c>
      <c r="E462" s="10" t="s">
        <v>341</v>
      </c>
      <c r="F462" s="11"/>
    </row>
    <row r="463" spans="1:6" s="2" customFormat="1" ht="30" x14ac:dyDescent="0.25">
      <c r="A463" s="9">
        <v>42982</v>
      </c>
      <c r="B463" s="10" t="s">
        <v>657</v>
      </c>
      <c r="C463" s="10" t="s">
        <v>658</v>
      </c>
      <c r="D463" s="10" t="s">
        <v>486</v>
      </c>
      <c r="E463" s="10" t="s">
        <v>333</v>
      </c>
      <c r="F463" s="11" t="s">
        <v>659</v>
      </c>
    </row>
    <row r="464" spans="1:6" s="2" customFormat="1" ht="15" x14ac:dyDescent="0.25">
      <c r="A464" s="9">
        <v>42982</v>
      </c>
      <c r="B464" s="10" t="s">
        <v>660</v>
      </c>
      <c r="C464" s="10" t="s">
        <v>91</v>
      </c>
      <c r="D464" s="10" t="s">
        <v>550</v>
      </c>
      <c r="E464" s="10" t="s">
        <v>333</v>
      </c>
      <c r="F464" s="11" t="s">
        <v>661</v>
      </c>
    </row>
    <row r="465" spans="1:6" s="2" customFormat="1" ht="30" x14ac:dyDescent="0.25">
      <c r="A465" s="19">
        <v>42983</v>
      </c>
      <c r="B465" s="20" t="s">
        <v>597</v>
      </c>
      <c r="C465" s="20" t="s">
        <v>662</v>
      </c>
      <c r="D465" s="20" t="s">
        <v>352</v>
      </c>
      <c r="E465" s="20" t="s">
        <v>333</v>
      </c>
      <c r="F465" s="21" t="s">
        <v>655</v>
      </c>
    </row>
    <row r="466" spans="1:6" s="2" customFormat="1" ht="15" x14ac:dyDescent="0.25">
      <c r="A466" s="9">
        <v>42983</v>
      </c>
      <c r="B466" s="10" t="s">
        <v>663</v>
      </c>
      <c r="C466" s="10" t="s">
        <v>6</v>
      </c>
      <c r="D466" s="10" t="s">
        <v>343</v>
      </c>
      <c r="E466" s="10" t="s">
        <v>333</v>
      </c>
      <c r="F466" s="11" t="s">
        <v>664</v>
      </c>
    </row>
    <row r="467" spans="1:6" s="2" customFormat="1" ht="15" x14ac:dyDescent="0.25">
      <c r="A467" s="9">
        <v>42983</v>
      </c>
      <c r="B467" s="10" t="s">
        <v>665</v>
      </c>
      <c r="C467" s="10" t="s">
        <v>23</v>
      </c>
      <c r="D467" s="10" t="s">
        <v>343</v>
      </c>
      <c r="E467" s="10" t="s">
        <v>333</v>
      </c>
      <c r="F467" s="11" t="s">
        <v>350</v>
      </c>
    </row>
    <row r="468" spans="1:6" s="2" customFormat="1" ht="15" x14ac:dyDescent="0.25">
      <c r="A468" s="9">
        <v>42983</v>
      </c>
      <c r="B468" s="10" t="s">
        <v>666</v>
      </c>
      <c r="C468" s="10" t="s">
        <v>667</v>
      </c>
      <c r="D468" s="10" t="s">
        <v>343</v>
      </c>
      <c r="E468" s="10" t="s">
        <v>333</v>
      </c>
      <c r="F468" s="11" t="s">
        <v>350</v>
      </c>
    </row>
    <row r="469" spans="1:6" s="2" customFormat="1" ht="15" x14ac:dyDescent="0.25">
      <c r="A469" s="9">
        <v>42983</v>
      </c>
      <c r="B469" s="10" t="s">
        <v>668</v>
      </c>
      <c r="C469" s="10" t="s">
        <v>667</v>
      </c>
      <c r="D469" s="10" t="s">
        <v>343</v>
      </c>
      <c r="E469" s="10" t="s">
        <v>333</v>
      </c>
      <c r="F469" s="11" t="s">
        <v>350</v>
      </c>
    </row>
    <row r="470" spans="1:6" s="2" customFormat="1" ht="15" x14ac:dyDescent="0.25">
      <c r="A470" s="9">
        <v>42983</v>
      </c>
      <c r="B470" s="10" t="s">
        <v>669</v>
      </c>
      <c r="C470" s="10" t="s">
        <v>91</v>
      </c>
      <c r="D470" s="10" t="s">
        <v>343</v>
      </c>
      <c r="E470" s="10" t="s">
        <v>333</v>
      </c>
      <c r="F470" s="11" t="s">
        <v>350</v>
      </c>
    </row>
    <row r="471" spans="1:6" s="3" customFormat="1" ht="60" x14ac:dyDescent="0.25">
      <c r="A471" s="9">
        <v>42983</v>
      </c>
      <c r="B471" s="13" t="s">
        <v>670</v>
      </c>
      <c r="C471" s="13" t="s">
        <v>671</v>
      </c>
      <c r="D471" s="13" t="s">
        <v>438</v>
      </c>
      <c r="E471" s="13" t="s">
        <v>333</v>
      </c>
      <c r="F471" s="14" t="s">
        <v>672</v>
      </c>
    </row>
    <row r="472" spans="1:6" s="2" customFormat="1" ht="30" x14ac:dyDescent="0.25">
      <c r="A472" s="9">
        <v>42983</v>
      </c>
      <c r="B472" s="10" t="s">
        <v>673</v>
      </c>
      <c r="C472" s="10" t="s">
        <v>17</v>
      </c>
      <c r="D472" s="10" t="s">
        <v>380</v>
      </c>
      <c r="E472" s="10" t="s">
        <v>333</v>
      </c>
      <c r="F472" s="11" t="s">
        <v>399</v>
      </c>
    </row>
    <row r="473" spans="1:6" s="2" customFormat="1" ht="15" x14ac:dyDescent="0.25">
      <c r="A473" s="9">
        <v>42983</v>
      </c>
      <c r="B473" s="10" t="s">
        <v>674</v>
      </c>
      <c r="C473" s="10" t="s">
        <v>6</v>
      </c>
      <c r="D473" s="10" t="s">
        <v>516</v>
      </c>
      <c r="E473" s="10" t="s">
        <v>333</v>
      </c>
      <c r="F473" s="11" t="s">
        <v>675</v>
      </c>
    </row>
    <row r="474" spans="1:6" s="2" customFormat="1" ht="15" x14ac:dyDescent="0.25">
      <c r="A474" s="9">
        <v>42983</v>
      </c>
      <c r="B474" s="10" t="s">
        <v>676</v>
      </c>
      <c r="C474" s="10" t="s">
        <v>17</v>
      </c>
      <c r="D474" s="10" t="s">
        <v>438</v>
      </c>
      <c r="E474" s="10" t="s">
        <v>333</v>
      </c>
      <c r="F474" s="11" t="s">
        <v>677</v>
      </c>
    </row>
    <row r="475" spans="1:6" s="2" customFormat="1" ht="15" x14ac:dyDescent="0.25">
      <c r="A475" s="9">
        <v>42983</v>
      </c>
      <c r="B475" s="10" t="s">
        <v>536</v>
      </c>
      <c r="C475" s="10" t="s">
        <v>39</v>
      </c>
      <c r="D475" s="10" t="s">
        <v>438</v>
      </c>
      <c r="E475" s="10" t="s">
        <v>333</v>
      </c>
      <c r="F475" s="11" t="s">
        <v>537</v>
      </c>
    </row>
    <row r="476" spans="1:6" s="2" customFormat="1" ht="30" x14ac:dyDescent="0.25">
      <c r="A476" s="9">
        <v>42983</v>
      </c>
      <c r="B476" s="10" t="s">
        <v>678</v>
      </c>
      <c r="C476" s="10" t="s">
        <v>409</v>
      </c>
      <c r="D476" s="10" t="s">
        <v>441</v>
      </c>
      <c r="E476" s="10" t="s">
        <v>333</v>
      </c>
      <c r="F476" s="11" t="s">
        <v>679</v>
      </c>
    </row>
    <row r="477" spans="1:6" s="2" customFormat="1" ht="30" x14ac:dyDescent="0.25">
      <c r="A477" s="9">
        <v>42983</v>
      </c>
      <c r="B477" s="10" t="s">
        <v>546</v>
      </c>
      <c r="C477" s="10" t="s">
        <v>680</v>
      </c>
      <c r="D477" s="10" t="s">
        <v>387</v>
      </c>
      <c r="E477" s="10" t="s">
        <v>333</v>
      </c>
      <c r="F477" s="11" t="s">
        <v>681</v>
      </c>
    </row>
    <row r="478" spans="1:6" s="2" customFormat="1" ht="15" x14ac:dyDescent="0.25">
      <c r="A478" s="9">
        <v>42985</v>
      </c>
      <c r="B478" s="10" t="s">
        <v>682</v>
      </c>
      <c r="C478" s="10" t="s">
        <v>6</v>
      </c>
      <c r="D478" s="10" t="s">
        <v>380</v>
      </c>
      <c r="E478" s="10" t="s">
        <v>333</v>
      </c>
      <c r="F478" s="11" t="s">
        <v>683</v>
      </c>
    </row>
    <row r="479" spans="1:6" s="2" customFormat="1" ht="15" x14ac:dyDescent="0.25">
      <c r="A479" s="9">
        <v>42985</v>
      </c>
      <c r="B479" s="10" t="s">
        <v>684</v>
      </c>
      <c r="C479" s="10" t="s">
        <v>6</v>
      </c>
      <c r="D479" s="10" t="s">
        <v>380</v>
      </c>
      <c r="E479" s="10" t="s">
        <v>333</v>
      </c>
      <c r="F479" s="11" t="s">
        <v>683</v>
      </c>
    </row>
    <row r="480" spans="1:6" s="2" customFormat="1" ht="30" x14ac:dyDescent="0.25">
      <c r="A480" s="9">
        <v>42985</v>
      </c>
      <c r="B480" s="10" t="s">
        <v>685</v>
      </c>
      <c r="C480" s="10" t="s">
        <v>686</v>
      </c>
      <c r="D480" s="10" t="s">
        <v>413</v>
      </c>
      <c r="E480" s="10" t="s">
        <v>333</v>
      </c>
      <c r="F480" s="11" t="s">
        <v>687</v>
      </c>
    </row>
    <row r="481" spans="1:6" ht="30.75" x14ac:dyDescent="0.25">
      <c r="A481" s="9">
        <v>42985</v>
      </c>
      <c r="B481" s="23" t="s">
        <v>688</v>
      </c>
      <c r="C481" s="24" t="s">
        <v>689</v>
      </c>
      <c r="D481" s="23" t="s">
        <v>470</v>
      </c>
      <c r="E481" s="23" t="s">
        <v>333</v>
      </c>
      <c r="F481" s="25" t="s">
        <v>690</v>
      </c>
    </row>
    <row r="482" spans="1:6" x14ac:dyDescent="0.25">
      <c r="A482" s="9">
        <v>42985</v>
      </c>
      <c r="B482" s="23" t="s">
        <v>691</v>
      </c>
      <c r="C482" s="24" t="s">
        <v>6</v>
      </c>
      <c r="D482" s="23" t="s">
        <v>352</v>
      </c>
      <c r="E482" s="23" t="s">
        <v>333</v>
      </c>
      <c r="F482" s="25" t="s">
        <v>367</v>
      </c>
    </row>
    <row r="483" spans="1:6" x14ac:dyDescent="0.25">
      <c r="A483" s="9">
        <v>42985</v>
      </c>
      <c r="B483" s="23" t="s">
        <v>692</v>
      </c>
      <c r="C483" s="24" t="s">
        <v>505</v>
      </c>
      <c r="D483" s="23" t="s">
        <v>486</v>
      </c>
      <c r="E483" s="23" t="s">
        <v>333</v>
      </c>
      <c r="F483" s="25" t="s">
        <v>595</v>
      </c>
    </row>
    <row r="484" spans="1:6" x14ac:dyDescent="0.25">
      <c r="A484" s="9">
        <v>42985</v>
      </c>
      <c r="B484" s="23" t="s">
        <v>693</v>
      </c>
      <c r="C484" s="24" t="s">
        <v>6</v>
      </c>
      <c r="D484" s="23" t="s">
        <v>352</v>
      </c>
      <c r="E484" s="23" t="s">
        <v>333</v>
      </c>
      <c r="F484" s="25" t="s">
        <v>367</v>
      </c>
    </row>
    <row r="485" spans="1:6" x14ac:dyDescent="0.25">
      <c r="A485" s="9">
        <v>42985</v>
      </c>
      <c r="B485" s="23" t="s">
        <v>694</v>
      </c>
      <c r="C485" s="24" t="s">
        <v>6</v>
      </c>
      <c r="D485" s="23" t="s">
        <v>542</v>
      </c>
      <c r="E485" s="23" t="s">
        <v>341</v>
      </c>
    </row>
    <row r="486" spans="1:6" x14ac:dyDescent="0.25">
      <c r="A486" s="9">
        <v>42985</v>
      </c>
      <c r="B486" s="23" t="s">
        <v>695</v>
      </c>
      <c r="C486" s="24" t="s">
        <v>6</v>
      </c>
      <c r="D486" s="23" t="s">
        <v>352</v>
      </c>
      <c r="E486" s="23" t="s">
        <v>333</v>
      </c>
      <c r="F486" s="25" t="s">
        <v>367</v>
      </c>
    </row>
    <row r="487" spans="1:6" x14ac:dyDescent="0.25">
      <c r="A487" s="9">
        <v>42985</v>
      </c>
      <c r="B487" s="23" t="s">
        <v>696</v>
      </c>
      <c r="C487" s="24" t="s">
        <v>615</v>
      </c>
      <c r="D487" s="23" t="s">
        <v>352</v>
      </c>
      <c r="E487" s="23" t="s">
        <v>333</v>
      </c>
      <c r="F487" s="25" t="s">
        <v>655</v>
      </c>
    </row>
    <row r="488" spans="1:6" ht="30.75" x14ac:dyDescent="0.25">
      <c r="A488" s="9">
        <v>42986</v>
      </c>
      <c r="B488" s="23" t="s">
        <v>697</v>
      </c>
      <c r="C488" s="24" t="s">
        <v>698</v>
      </c>
      <c r="D488" s="23" t="s">
        <v>352</v>
      </c>
      <c r="E488" s="23" t="s">
        <v>333</v>
      </c>
      <c r="F488" s="25" t="s">
        <v>609</v>
      </c>
    </row>
    <row r="489" spans="1:6" x14ac:dyDescent="0.25">
      <c r="A489" s="9">
        <v>42986</v>
      </c>
      <c r="B489" s="23" t="s">
        <v>699</v>
      </c>
      <c r="C489" s="24" t="s">
        <v>91</v>
      </c>
      <c r="D489" s="23" t="s">
        <v>470</v>
      </c>
      <c r="E489" s="23" t="s">
        <v>333</v>
      </c>
      <c r="F489" s="25" t="s">
        <v>603</v>
      </c>
    </row>
    <row r="490" spans="1:6" x14ac:dyDescent="0.25">
      <c r="A490" s="9">
        <v>42986</v>
      </c>
      <c r="B490" s="23" t="s">
        <v>700</v>
      </c>
      <c r="C490" s="24" t="s">
        <v>39</v>
      </c>
      <c r="D490" s="23" t="s">
        <v>352</v>
      </c>
      <c r="E490" s="23" t="s">
        <v>333</v>
      </c>
      <c r="F490" s="25" t="s">
        <v>701</v>
      </c>
    </row>
    <row r="491" spans="1:6" x14ac:dyDescent="0.25">
      <c r="A491" s="9">
        <v>42986</v>
      </c>
      <c r="B491" s="23" t="s">
        <v>702</v>
      </c>
      <c r="C491" s="24" t="s">
        <v>91</v>
      </c>
      <c r="D491" s="23" t="s">
        <v>336</v>
      </c>
      <c r="E491" s="23" t="s">
        <v>333</v>
      </c>
      <c r="F491" s="25" t="s">
        <v>703</v>
      </c>
    </row>
    <row r="492" spans="1:6" x14ac:dyDescent="0.25">
      <c r="A492" s="9">
        <v>42986</v>
      </c>
      <c r="B492" s="23" t="s">
        <v>704</v>
      </c>
      <c r="C492" s="24" t="s">
        <v>39</v>
      </c>
      <c r="D492" s="23" t="s">
        <v>352</v>
      </c>
      <c r="E492" s="23" t="s">
        <v>333</v>
      </c>
      <c r="F492" s="25" t="s">
        <v>367</v>
      </c>
    </row>
    <row r="493" spans="1:6" x14ac:dyDescent="0.25">
      <c r="A493" s="9">
        <v>42986</v>
      </c>
      <c r="B493" s="23" t="s">
        <v>705</v>
      </c>
      <c r="C493" s="24" t="s">
        <v>6</v>
      </c>
      <c r="D493" s="23" t="s">
        <v>352</v>
      </c>
      <c r="E493" s="23" t="s">
        <v>333</v>
      </c>
      <c r="F493" s="25" t="s">
        <v>367</v>
      </c>
    </row>
    <row r="494" spans="1:6" x14ac:dyDescent="0.25">
      <c r="A494" s="9">
        <v>42986</v>
      </c>
      <c r="B494" s="23" t="s">
        <v>706</v>
      </c>
      <c r="C494" s="24" t="s">
        <v>19</v>
      </c>
      <c r="D494" s="23" t="s">
        <v>470</v>
      </c>
      <c r="E494" s="23" t="s">
        <v>333</v>
      </c>
      <c r="F494" s="25" t="s">
        <v>707</v>
      </c>
    </row>
    <row r="495" spans="1:6" x14ac:dyDescent="0.25">
      <c r="A495" s="9">
        <v>42986</v>
      </c>
      <c r="B495" s="23" t="s">
        <v>708</v>
      </c>
      <c r="C495" s="24" t="s">
        <v>6</v>
      </c>
      <c r="D495" s="23" t="s">
        <v>484</v>
      </c>
      <c r="E495" s="23" t="s">
        <v>333</v>
      </c>
      <c r="F495" s="25" t="s">
        <v>709</v>
      </c>
    </row>
    <row r="496" spans="1:6" x14ac:dyDescent="0.25">
      <c r="A496" s="9">
        <v>42986</v>
      </c>
      <c r="B496" s="23" t="s">
        <v>710</v>
      </c>
      <c r="C496" s="24" t="s">
        <v>6</v>
      </c>
      <c r="D496" s="23" t="s">
        <v>484</v>
      </c>
      <c r="E496" s="23" t="s">
        <v>333</v>
      </c>
      <c r="F496" s="25" t="s">
        <v>641</v>
      </c>
    </row>
    <row r="497" spans="1:6" x14ac:dyDescent="0.25">
      <c r="A497" s="9">
        <v>42986</v>
      </c>
      <c r="B497" s="23" t="s">
        <v>711</v>
      </c>
      <c r="C497" s="24" t="s">
        <v>527</v>
      </c>
      <c r="D497" s="23" t="s">
        <v>516</v>
      </c>
      <c r="E497" s="23" t="s">
        <v>333</v>
      </c>
      <c r="F497" s="25" t="s">
        <v>712</v>
      </c>
    </row>
    <row r="498" spans="1:6" x14ac:dyDescent="0.25">
      <c r="A498" s="9">
        <v>42986</v>
      </c>
      <c r="B498" s="23" t="s">
        <v>713</v>
      </c>
      <c r="C498" s="24" t="s">
        <v>6</v>
      </c>
      <c r="D498" s="23" t="s">
        <v>438</v>
      </c>
      <c r="E498" s="23" t="s">
        <v>333</v>
      </c>
      <c r="F498" s="25" t="s">
        <v>707</v>
      </c>
    </row>
    <row r="499" spans="1:6" ht="30.75" x14ac:dyDescent="0.25">
      <c r="A499" s="9">
        <v>42986</v>
      </c>
      <c r="B499" s="23" t="s">
        <v>714</v>
      </c>
      <c r="C499" s="24" t="s">
        <v>715</v>
      </c>
      <c r="D499" s="23" t="s">
        <v>484</v>
      </c>
      <c r="E499" s="23" t="s">
        <v>333</v>
      </c>
      <c r="F499" s="25" t="s">
        <v>716</v>
      </c>
    </row>
    <row r="500" spans="1:6" x14ac:dyDescent="0.25">
      <c r="A500" s="9">
        <v>42986</v>
      </c>
      <c r="B500" s="23" t="s">
        <v>717</v>
      </c>
      <c r="C500" s="24" t="s">
        <v>17</v>
      </c>
      <c r="D500" s="23" t="s">
        <v>327</v>
      </c>
      <c r="E500" s="23" t="s">
        <v>333</v>
      </c>
      <c r="F500" s="25" t="s">
        <v>718</v>
      </c>
    </row>
    <row r="501" spans="1:6" x14ac:dyDescent="0.25">
      <c r="A501" s="9">
        <v>42986</v>
      </c>
      <c r="B501" s="23" t="s">
        <v>719</v>
      </c>
      <c r="C501" s="24" t="s">
        <v>17</v>
      </c>
      <c r="D501" s="23" t="s">
        <v>336</v>
      </c>
      <c r="E501" s="23" t="s">
        <v>333</v>
      </c>
      <c r="F501" s="25" t="s">
        <v>720</v>
      </c>
    </row>
    <row r="502" spans="1:6" x14ac:dyDescent="0.25">
      <c r="A502" s="9">
        <v>42986</v>
      </c>
      <c r="B502" s="23" t="s">
        <v>721</v>
      </c>
      <c r="C502" s="24" t="s">
        <v>17</v>
      </c>
      <c r="D502" s="23" t="s">
        <v>352</v>
      </c>
      <c r="E502" s="23" t="s">
        <v>333</v>
      </c>
      <c r="F502" s="25" t="s">
        <v>455</v>
      </c>
    </row>
    <row r="503" spans="1:6" x14ac:dyDescent="0.25">
      <c r="A503" s="9">
        <v>42986</v>
      </c>
      <c r="B503" s="23" t="s">
        <v>722</v>
      </c>
      <c r="C503" s="24" t="s">
        <v>723</v>
      </c>
      <c r="D503" s="23" t="s">
        <v>336</v>
      </c>
      <c r="E503" s="23" t="s">
        <v>333</v>
      </c>
      <c r="F503" s="25" t="s">
        <v>442</v>
      </c>
    </row>
    <row r="504" spans="1:6" x14ac:dyDescent="0.25">
      <c r="A504" s="9">
        <v>42986</v>
      </c>
      <c r="B504" s="23" t="s">
        <v>724</v>
      </c>
      <c r="C504" s="24" t="s">
        <v>6</v>
      </c>
      <c r="D504" s="23" t="s">
        <v>343</v>
      </c>
      <c r="E504" s="23" t="s">
        <v>576</v>
      </c>
      <c r="F504" s="25" t="s">
        <v>410</v>
      </c>
    </row>
    <row r="505" spans="1:6" x14ac:dyDescent="0.25">
      <c r="A505" s="9">
        <v>42989</v>
      </c>
      <c r="B505" s="23" t="s">
        <v>725</v>
      </c>
      <c r="C505" s="24" t="s">
        <v>17</v>
      </c>
      <c r="D505" s="23" t="s">
        <v>470</v>
      </c>
      <c r="E505" s="23" t="s">
        <v>333</v>
      </c>
      <c r="F505" s="25" t="s">
        <v>726</v>
      </c>
    </row>
    <row r="506" spans="1:6" ht="30.75" x14ac:dyDescent="0.25">
      <c r="A506" s="9">
        <v>42989</v>
      </c>
      <c r="B506" s="23" t="s">
        <v>727</v>
      </c>
      <c r="C506" s="24" t="s">
        <v>728</v>
      </c>
      <c r="D506" s="23" t="s">
        <v>439</v>
      </c>
      <c r="E506" s="23" t="s">
        <v>333</v>
      </c>
      <c r="F506" s="25" t="s">
        <v>375</v>
      </c>
    </row>
    <row r="507" spans="1:6" x14ac:dyDescent="0.25">
      <c r="A507" s="9">
        <v>42989</v>
      </c>
      <c r="B507" s="23" t="s">
        <v>729</v>
      </c>
      <c r="C507" s="24" t="s">
        <v>122</v>
      </c>
      <c r="D507" s="23" t="s">
        <v>352</v>
      </c>
      <c r="E507" s="23" t="s">
        <v>333</v>
      </c>
      <c r="F507" s="25" t="s">
        <v>367</v>
      </c>
    </row>
    <row r="508" spans="1:6" x14ac:dyDescent="0.25">
      <c r="A508" s="9">
        <v>42989</v>
      </c>
      <c r="B508" s="23" t="s">
        <v>733</v>
      </c>
      <c r="C508" s="24" t="s">
        <v>19</v>
      </c>
      <c r="D508" s="23" t="s">
        <v>336</v>
      </c>
      <c r="E508" s="23" t="s">
        <v>333</v>
      </c>
      <c r="F508" s="25" t="s">
        <v>730</v>
      </c>
    </row>
    <row r="509" spans="1:6" ht="30.75" x14ac:dyDescent="0.25">
      <c r="A509" s="9">
        <v>42989</v>
      </c>
      <c r="B509" s="23" t="s">
        <v>734</v>
      </c>
      <c r="C509" s="24" t="s">
        <v>731</v>
      </c>
      <c r="D509" s="23" t="s">
        <v>336</v>
      </c>
      <c r="E509" s="23" t="s">
        <v>333</v>
      </c>
      <c r="F509" s="25" t="s">
        <v>732</v>
      </c>
    </row>
    <row r="510" spans="1:6" x14ac:dyDescent="0.25">
      <c r="A510" s="9">
        <v>42989</v>
      </c>
      <c r="B510" s="23" t="s">
        <v>735</v>
      </c>
      <c r="C510" s="24" t="s">
        <v>23</v>
      </c>
      <c r="D510" s="23" t="s">
        <v>484</v>
      </c>
      <c r="E510" s="23" t="s">
        <v>333</v>
      </c>
      <c r="F510" s="25" t="s">
        <v>394</v>
      </c>
    </row>
    <row r="511" spans="1:6" x14ac:dyDescent="0.25">
      <c r="A511" s="9">
        <v>42989</v>
      </c>
      <c r="B511" s="23" t="s">
        <v>736</v>
      </c>
      <c r="C511" s="24" t="s">
        <v>617</v>
      </c>
      <c r="D511" s="23" t="s">
        <v>484</v>
      </c>
      <c r="E511" s="23" t="s">
        <v>333</v>
      </c>
      <c r="F511" s="25" t="s">
        <v>641</v>
      </c>
    </row>
    <row r="512" spans="1:6" x14ac:dyDescent="0.25">
      <c r="A512" s="9">
        <v>42989</v>
      </c>
      <c r="B512" s="23" t="s">
        <v>739</v>
      </c>
      <c r="C512" s="24" t="s">
        <v>737</v>
      </c>
      <c r="D512" s="23" t="s">
        <v>438</v>
      </c>
      <c r="E512" s="23" t="s">
        <v>333</v>
      </c>
      <c r="F512" s="25" t="s">
        <v>738</v>
      </c>
    </row>
    <row r="513" spans="1:6" x14ac:dyDescent="0.25">
      <c r="A513" s="9">
        <v>42989</v>
      </c>
      <c r="B513" s="23" t="s">
        <v>740</v>
      </c>
      <c r="C513" s="24" t="s">
        <v>19</v>
      </c>
      <c r="D513" s="23" t="s">
        <v>438</v>
      </c>
      <c r="E513" s="23" t="s">
        <v>333</v>
      </c>
      <c r="F513" s="25" t="s">
        <v>399</v>
      </c>
    </row>
    <row r="514" spans="1:6" ht="60.75" x14ac:dyDescent="0.25">
      <c r="A514" s="9">
        <v>42989</v>
      </c>
      <c r="B514" s="23" t="s">
        <v>741</v>
      </c>
      <c r="C514" s="26" t="s">
        <v>742</v>
      </c>
      <c r="D514" s="23" t="s">
        <v>438</v>
      </c>
      <c r="E514" s="23" t="s">
        <v>333</v>
      </c>
      <c r="F514" s="25" t="s">
        <v>677</v>
      </c>
    </row>
    <row r="515" spans="1:6" ht="30.75" x14ac:dyDescent="0.25">
      <c r="A515" s="9">
        <v>42989</v>
      </c>
      <c r="B515" s="23" t="s">
        <v>743</v>
      </c>
      <c r="C515" s="24" t="s">
        <v>698</v>
      </c>
      <c r="D515" s="23" t="s">
        <v>438</v>
      </c>
      <c r="E515" s="23" t="s">
        <v>333</v>
      </c>
      <c r="F515" s="25" t="s">
        <v>591</v>
      </c>
    </row>
    <row r="516" spans="1:6" x14ac:dyDescent="0.25">
      <c r="A516" s="9">
        <v>42989</v>
      </c>
      <c r="B516" s="23" t="s">
        <v>744</v>
      </c>
      <c r="C516" s="24" t="s">
        <v>6</v>
      </c>
      <c r="D516" s="23" t="s">
        <v>438</v>
      </c>
      <c r="E516" s="23" t="s">
        <v>333</v>
      </c>
      <c r="F516" s="25" t="s">
        <v>399</v>
      </c>
    </row>
    <row r="517" spans="1:6" ht="30.75" x14ac:dyDescent="0.25">
      <c r="A517" s="9">
        <v>42989</v>
      </c>
      <c r="B517" s="23" t="s">
        <v>745</v>
      </c>
      <c r="C517" s="24" t="s">
        <v>746</v>
      </c>
      <c r="D517" s="23" t="s">
        <v>438</v>
      </c>
      <c r="E517" s="23" t="s">
        <v>333</v>
      </c>
      <c r="F517" s="25" t="s">
        <v>747</v>
      </c>
    </row>
    <row r="518" spans="1:6" ht="30.75" x14ac:dyDescent="0.25">
      <c r="A518" s="9">
        <v>42989</v>
      </c>
      <c r="B518" s="23" t="s">
        <v>748</v>
      </c>
      <c r="C518" s="24" t="s">
        <v>749</v>
      </c>
      <c r="D518" s="23" t="s">
        <v>438</v>
      </c>
      <c r="E518" s="23" t="s">
        <v>333</v>
      </c>
      <c r="F518" s="25" t="s">
        <v>750</v>
      </c>
    </row>
    <row r="519" spans="1:6" x14ac:dyDescent="0.25">
      <c r="A519" s="9">
        <v>42989</v>
      </c>
      <c r="B519" s="23" t="s">
        <v>669</v>
      </c>
      <c r="C519" s="24" t="s">
        <v>23</v>
      </c>
      <c r="D519" s="23" t="s">
        <v>343</v>
      </c>
      <c r="E519" s="23" t="s">
        <v>333</v>
      </c>
      <c r="F519" s="25" t="s">
        <v>375</v>
      </c>
    </row>
    <row r="520" spans="1:6" x14ac:dyDescent="0.25">
      <c r="A520" s="9">
        <v>42989</v>
      </c>
      <c r="B520" s="23" t="s">
        <v>751</v>
      </c>
      <c r="C520" s="24" t="s">
        <v>752</v>
      </c>
      <c r="D520" s="23" t="s">
        <v>542</v>
      </c>
      <c r="E520" s="23" t="s">
        <v>576</v>
      </c>
      <c r="F520" s="25" t="s">
        <v>496</v>
      </c>
    </row>
    <row r="521" spans="1:6" x14ac:dyDescent="0.25">
      <c r="A521" s="9">
        <v>42989</v>
      </c>
      <c r="B521" s="23" t="s">
        <v>753</v>
      </c>
      <c r="C521" s="24" t="s">
        <v>122</v>
      </c>
      <c r="D521" s="23" t="s">
        <v>343</v>
      </c>
      <c r="E521" s="23" t="s">
        <v>333</v>
      </c>
      <c r="F521" s="25" t="s">
        <v>539</v>
      </c>
    </row>
    <row r="522" spans="1:6" x14ac:dyDescent="0.25">
      <c r="A522" s="9">
        <v>42989</v>
      </c>
      <c r="B522" s="23" t="s">
        <v>754</v>
      </c>
      <c r="C522" s="24" t="s">
        <v>599</v>
      </c>
      <c r="D522" s="23" t="s">
        <v>343</v>
      </c>
      <c r="E522" s="23" t="s">
        <v>333</v>
      </c>
      <c r="F522" s="25" t="s">
        <v>539</v>
      </c>
    </row>
    <row r="523" spans="1:6" x14ac:dyDescent="0.25">
      <c r="A523" s="27">
        <v>42990</v>
      </c>
      <c r="B523" s="23" t="s">
        <v>685</v>
      </c>
      <c r="C523" s="24" t="s">
        <v>755</v>
      </c>
      <c r="D523" s="23" t="s">
        <v>413</v>
      </c>
      <c r="E523" s="23" t="s">
        <v>333</v>
      </c>
      <c r="F523" s="25" t="s">
        <v>687</v>
      </c>
    </row>
    <row r="524" spans="1:6" x14ac:dyDescent="0.25">
      <c r="A524" s="27">
        <v>42991</v>
      </c>
      <c r="B524" s="23" t="s">
        <v>756</v>
      </c>
      <c r="C524" s="24" t="s">
        <v>23</v>
      </c>
      <c r="D524" s="23" t="s">
        <v>470</v>
      </c>
      <c r="E524" s="23" t="s">
        <v>333</v>
      </c>
      <c r="F524" s="25" t="s">
        <v>757</v>
      </c>
    </row>
    <row r="525" spans="1:6" x14ac:dyDescent="0.25">
      <c r="A525" s="27">
        <v>42991</v>
      </c>
      <c r="B525" s="23" t="s">
        <v>758</v>
      </c>
      <c r="C525" s="24" t="s">
        <v>91</v>
      </c>
      <c r="D525" s="23" t="s">
        <v>470</v>
      </c>
      <c r="E525" s="23" t="s">
        <v>333</v>
      </c>
      <c r="F525" s="25" t="s">
        <v>759</v>
      </c>
    </row>
    <row r="526" spans="1:6" x14ac:dyDescent="0.25">
      <c r="A526" s="27">
        <v>42991</v>
      </c>
      <c r="B526" s="23" t="s">
        <v>760</v>
      </c>
      <c r="C526" s="24" t="s">
        <v>91</v>
      </c>
      <c r="D526" s="23" t="s">
        <v>470</v>
      </c>
      <c r="E526" s="23" t="s">
        <v>333</v>
      </c>
      <c r="F526" s="25" t="s">
        <v>761</v>
      </c>
    </row>
    <row r="527" spans="1:6" x14ac:dyDescent="0.25">
      <c r="A527" s="27">
        <v>42991</v>
      </c>
      <c r="B527" s="23" t="s">
        <v>762</v>
      </c>
      <c r="C527" s="24" t="s">
        <v>763</v>
      </c>
      <c r="D527" s="23" t="s">
        <v>470</v>
      </c>
      <c r="E527" s="23" t="s">
        <v>333</v>
      </c>
      <c r="F527" s="25" t="s">
        <v>764</v>
      </c>
    </row>
    <row r="528" spans="1:6" x14ac:dyDescent="0.25">
      <c r="A528" s="27">
        <v>42991</v>
      </c>
      <c r="B528" s="23" t="s">
        <v>765</v>
      </c>
      <c r="C528" s="24" t="s">
        <v>763</v>
      </c>
      <c r="D528" s="23" t="s">
        <v>470</v>
      </c>
      <c r="E528" s="23" t="s">
        <v>333</v>
      </c>
      <c r="F528" s="25" t="s">
        <v>766</v>
      </c>
    </row>
    <row r="529" spans="1:6" x14ac:dyDescent="0.25">
      <c r="A529" s="27">
        <v>42991</v>
      </c>
      <c r="B529" s="23" t="s">
        <v>767</v>
      </c>
      <c r="C529" s="24" t="s">
        <v>39</v>
      </c>
      <c r="D529" s="23" t="s">
        <v>470</v>
      </c>
      <c r="E529" s="23" t="s">
        <v>333</v>
      </c>
      <c r="F529" s="25" t="s">
        <v>768</v>
      </c>
    </row>
    <row r="530" spans="1:6" x14ac:dyDescent="0.25">
      <c r="A530" s="27">
        <v>42991</v>
      </c>
      <c r="B530" s="23" t="s">
        <v>769</v>
      </c>
      <c r="C530" s="24" t="s">
        <v>91</v>
      </c>
      <c r="D530" s="23" t="s">
        <v>470</v>
      </c>
      <c r="E530" s="23" t="s">
        <v>333</v>
      </c>
      <c r="F530" s="25" t="s">
        <v>375</v>
      </c>
    </row>
    <row r="531" spans="1:6" x14ac:dyDescent="0.25">
      <c r="A531" s="27">
        <v>42991</v>
      </c>
      <c r="B531" s="23" t="s">
        <v>770</v>
      </c>
      <c r="C531" s="24" t="s">
        <v>39</v>
      </c>
      <c r="D531" s="23" t="s">
        <v>470</v>
      </c>
      <c r="E531" s="23" t="s">
        <v>333</v>
      </c>
      <c r="F531" s="25" t="s">
        <v>350</v>
      </c>
    </row>
    <row r="532" spans="1:6" x14ac:dyDescent="0.25">
      <c r="A532" s="27">
        <v>42991</v>
      </c>
      <c r="B532" s="28" t="s">
        <v>771</v>
      </c>
      <c r="C532" s="26" t="s">
        <v>6</v>
      </c>
      <c r="D532" s="28" t="s">
        <v>406</v>
      </c>
      <c r="E532" s="28" t="s">
        <v>333</v>
      </c>
      <c r="F532" s="29" t="s">
        <v>761</v>
      </c>
    </row>
    <row r="533" spans="1:6" ht="45.75" x14ac:dyDescent="0.25">
      <c r="A533" s="27">
        <v>42991</v>
      </c>
      <c r="B533" s="23" t="s">
        <v>772</v>
      </c>
      <c r="C533" s="24" t="s">
        <v>502</v>
      </c>
      <c r="D533" s="23" t="s">
        <v>388</v>
      </c>
      <c r="E533" s="23" t="s">
        <v>333</v>
      </c>
      <c r="F533" s="25" t="s">
        <v>350</v>
      </c>
    </row>
    <row r="534" spans="1:6" x14ac:dyDescent="0.25">
      <c r="A534" s="27">
        <v>42991</v>
      </c>
      <c r="B534" s="23" t="s">
        <v>773</v>
      </c>
      <c r="C534" s="24" t="s">
        <v>91</v>
      </c>
      <c r="D534" s="23" t="s">
        <v>388</v>
      </c>
      <c r="E534" s="23" t="s">
        <v>333</v>
      </c>
      <c r="F534" s="25" t="s">
        <v>350</v>
      </c>
    </row>
    <row r="535" spans="1:6" x14ac:dyDescent="0.25">
      <c r="A535" s="27">
        <v>42992</v>
      </c>
      <c r="B535" s="23" t="s">
        <v>774</v>
      </c>
      <c r="C535" s="24" t="s">
        <v>91</v>
      </c>
      <c r="D535" s="23" t="s">
        <v>486</v>
      </c>
      <c r="E535" s="23" t="s">
        <v>333</v>
      </c>
      <c r="F535" s="25" t="s">
        <v>595</v>
      </c>
    </row>
    <row r="536" spans="1:6" x14ac:dyDescent="0.25">
      <c r="A536" s="27">
        <v>42992</v>
      </c>
      <c r="B536" s="23" t="s">
        <v>775</v>
      </c>
      <c r="C536" s="24" t="s">
        <v>776</v>
      </c>
      <c r="D536" s="23" t="s">
        <v>486</v>
      </c>
      <c r="E536" s="23" t="s">
        <v>333</v>
      </c>
      <c r="F536" s="25" t="s">
        <v>595</v>
      </c>
    </row>
    <row r="537" spans="1:6" ht="45.75" x14ac:dyDescent="0.25">
      <c r="A537" s="27">
        <v>42992</v>
      </c>
      <c r="B537" s="23" t="s">
        <v>777</v>
      </c>
      <c r="C537" s="24" t="s">
        <v>778</v>
      </c>
      <c r="D537" s="23" t="s">
        <v>486</v>
      </c>
      <c r="E537" s="23" t="s">
        <v>333</v>
      </c>
      <c r="F537" s="25" t="s">
        <v>595</v>
      </c>
    </row>
    <row r="538" spans="1:6" x14ac:dyDescent="0.25">
      <c r="A538" s="27">
        <v>42992</v>
      </c>
      <c r="B538" s="23" t="s">
        <v>779</v>
      </c>
      <c r="C538" s="24" t="s">
        <v>21</v>
      </c>
      <c r="D538" s="23" t="s">
        <v>470</v>
      </c>
      <c r="E538" s="23" t="s">
        <v>333</v>
      </c>
      <c r="F538" s="25" t="s">
        <v>780</v>
      </c>
    </row>
    <row r="539" spans="1:6" x14ac:dyDescent="0.25">
      <c r="A539" s="27">
        <v>42992</v>
      </c>
      <c r="B539" s="23" t="s">
        <v>781</v>
      </c>
      <c r="C539" s="24" t="s">
        <v>6</v>
      </c>
      <c r="D539" s="23" t="s">
        <v>486</v>
      </c>
      <c r="E539" s="23" t="s">
        <v>333</v>
      </c>
      <c r="F539" s="25" t="s">
        <v>595</v>
      </c>
    </row>
    <row r="540" spans="1:6" x14ac:dyDescent="0.25">
      <c r="A540" s="27">
        <v>42992</v>
      </c>
      <c r="B540" s="23" t="s">
        <v>782</v>
      </c>
      <c r="C540" s="24" t="s">
        <v>6</v>
      </c>
      <c r="D540" s="23" t="s">
        <v>470</v>
      </c>
      <c r="E540" s="23" t="s">
        <v>341</v>
      </c>
    </row>
    <row r="541" spans="1:6" x14ac:dyDescent="0.25">
      <c r="A541" s="27">
        <v>42992</v>
      </c>
      <c r="B541" s="23" t="s">
        <v>783</v>
      </c>
      <c r="C541" s="24" t="s">
        <v>39</v>
      </c>
      <c r="D541" s="23" t="s">
        <v>486</v>
      </c>
      <c r="E541" s="23" t="s">
        <v>333</v>
      </c>
      <c r="F541" s="25" t="s">
        <v>595</v>
      </c>
    </row>
    <row r="542" spans="1:6" x14ac:dyDescent="0.25">
      <c r="A542" s="27">
        <v>42992</v>
      </c>
      <c r="B542" s="23" t="s">
        <v>784</v>
      </c>
      <c r="C542" s="24" t="s">
        <v>752</v>
      </c>
      <c r="D542" s="23" t="s">
        <v>438</v>
      </c>
      <c r="E542" s="23" t="s">
        <v>333</v>
      </c>
      <c r="F542" s="25" t="s">
        <v>785</v>
      </c>
    </row>
    <row r="543" spans="1:6" x14ac:dyDescent="0.25">
      <c r="A543" s="27">
        <v>42992</v>
      </c>
      <c r="B543" s="23" t="s">
        <v>786</v>
      </c>
      <c r="C543" s="24" t="s">
        <v>6</v>
      </c>
      <c r="D543" s="23" t="s">
        <v>438</v>
      </c>
      <c r="E543" s="23" t="s">
        <v>333</v>
      </c>
      <c r="F543" s="25" t="s">
        <v>787</v>
      </c>
    </row>
    <row r="544" spans="1:6" x14ac:dyDescent="0.25">
      <c r="A544" s="27">
        <v>42992</v>
      </c>
      <c r="B544" s="23" t="s">
        <v>788</v>
      </c>
      <c r="C544" s="24" t="s">
        <v>6</v>
      </c>
      <c r="D544" s="23" t="s">
        <v>516</v>
      </c>
      <c r="E544" s="23" t="s">
        <v>333</v>
      </c>
      <c r="F544" s="25" t="s">
        <v>789</v>
      </c>
    </row>
    <row r="545" spans="1:6" x14ac:dyDescent="0.25">
      <c r="A545" s="27">
        <v>42992</v>
      </c>
      <c r="B545" s="23" t="s">
        <v>790</v>
      </c>
      <c r="C545" s="24" t="s">
        <v>6</v>
      </c>
      <c r="D545" s="23" t="s">
        <v>628</v>
      </c>
      <c r="E545" s="23" t="s">
        <v>333</v>
      </c>
      <c r="F545" s="25" t="s">
        <v>791</v>
      </c>
    </row>
    <row r="546" spans="1:6" x14ac:dyDescent="0.25">
      <c r="A546" s="27">
        <v>42992</v>
      </c>
      <c r="B546" s="23" t="s">
        <v>792</v>
      </c>
      <c r="C546" s="24" t="s">
        <v>19</v>
      </c>
      <c r="D546" s="23" t="s">
        <v>516</v>
      </c>
      <c r="E546" s="23" t="s">
        <v>333</v>
      </c>
      <c r="F546" s="25" t="s">
        <v>789</v>
      </c>
    </row>
    <row r="547" spans="1:6" x14ac:dyDescent="0.25">
      <c r="A547" s="27">
        <v>42992</v>
      </c>
      <c r="B547" s="23" t="s">
        <v>793</v>
      </c>
      <c r="C547" s="24" t="s">
        <v>39</v>
      </c>
      <c r="D547" s="23" t="s">
        <v>413</v>
      </c>
      <c r="E547" s="23" t="s">
        <v>333</v>
      </c>
      <c r="F547" s="25" t="s">
        <v>794</v>
      </c>
    </row>
    <row r="548" spans="1:6" x14ac:dyDescent="0.25">
      <c r="A548" s="27">
        <v>42992</v>
      </c>
      <c r="B548" s="23" t="s">
        <v>795</v>
      </c>
      <c r="C548" s="24" t="s">
        <v>39</v>
      </c>
      <c r="D548" s="23" t="s">
        <v>327</v>
      </c>
      <c r="E548" s="23" t="s">
        <v>333</v>
      </c>
      <c r="F548" s="25" t="s">
        <v>794</v>
      </c>
    </row>
    <row r="549" spans="1:6" x14ac:dyDescent="0.25">
      <c r="A549" s="27">
        <v>42992</v>
      </c>
      <c r="B549" s="23" t="s">
        <v>796</v>
      </c>
      <c r="C549" s="24" t="s">
        <v>91</v>
      </c>
      <c r="D549" s="23" t="s">
        <v>380</v>
      </c>
      <c r="E549" s="23" t="s">
        <v>333</v>
      </c>
      <c r="F549" s="25" t="s">
        <v>797</v>
      </c>
    </row>
    <row r="550" spans="1:6" x14ac:dyDescent="0.25">
      <c r="A550" s="27">
        <v>42992</v>
      </c>
      <c r="B550" s="23" t="s">
        <v>798</v>
      </c>
      <c r="C550" s="24" t="s">
        <v>6</v>
      </c>
      <c r="D550" s="23" t="s">
        <v>413</v>
      </c>
      <c r="E550" s="23" t="s">
        <v>333</v>
      </c>
      <c r="F550" s="25" t="s">
        <v>799</v>
      </c>
    </row>
    <row r="551" spans="1:6" x14ac:dyDescent="0.25">
      <c r="A551" s="27">
        <v>42992</v>
      </c>
      <c r="B551" s="23" t="s">
        <v>800</v>
      </c>
      <c r="C551" s="24" t="s">
        <v>6</v>
      </c>
      <c r="D551" s="23" t="s">
        <v>438</v>
      </c>
      <c r="E551" s="23" t="s">
        <v>333</v>
      </c>
      <c r="F551" s="25" t="s">
        <v>641</v>
      </c>
    </row>
    <row r="552" spans="1:6" x14ac:dyDescent="0.25">
      <c r="A552" s="27">
        <v>42992</v>
      </c>
      <c r="B552" s="23" t="s">
        <v>801</v>
      </c>
      <c r="C552" s="24" t="s">
        <v>39</v>
      </c>
      <c r="D552" s="23" t="s">
        <v>438</v>
      </c>
      <c r="E552" s="23" t="s">
        <v>333</v>
      </c>
      <c r="F552" s="25" t="s">
        <v>802</v>
      </c>
    </row>
    <row r="553" spans="1:6" x14ac:dyDescent="0.25">
      <c r="A553" s="27">
        <v>42992</v>
      </c>
      <c r="B553" s="23" t="s">
        <v>803</v>
      </c>
      <c r="C553" s="24" t="s">
        <v>409</v>
      </c>
      <c r="D553" s="23" t="s">
        <v>413</v>
      </c>
      <c r="E553" s="23" t="s">
        <v>333</v>
      </c>
      <c r="F553" s="25" t="s">
        <v>804</v>
      </c>
    </row>
    <row r="554" spans="1:6" x14ac:dyDescent="0.25">
      <c r="A554" s="27">
        <v>42992</v>
      </c>
      <c r="B554" s="23" t="s">
        <v>805</v>
      </c>
      <c r="C554" s="24" t="s">
        <v>39</v>
      </c>
      <c r="D554" s="23" t="s">
        <v>516</v>
      </c>
      <c r="E554" s="23" t="s">
        <v>333</v>
      </c>
      <c r="F554" s="25" t="s">
        <v>394</v>
      </c>
    </row>
    <row r="555" spans="1:6" x14ac:dyDescent="0.25">
      <c r="A555" s="27">
        <v>42992</v>
      </c>
      <c r="B555" s="23" t="s">
        <v>806</v>
      </c>
      <c r="C555" s="24" t="s">
        <v>17</v>
      </c>
      <c r="D555" s="23" t="s">
        <v>380</v>
      </c>
      <c r="E555" s="23" t="s">
        <v>333</v>
      </c>
      <c r="F555" s="25" t="s">
        <v>807</v>
      </c>
    </row>
    <row r="556" spans="1:6" x14ac:dyDescent="0.25">
      <c r="A556" s="27">
        <v>42992</v>
      </c>
      <c r="B556" s="23" t="s">
        <v>808</v>
      </c>
      <c r="C556" s="24" t="s">
        <v>91</v>
      </c>
      <c r="D556" s="23" t="s">
        <v>438</v>
      </c>
      <c r="E556" s="23" t="s">
        <v>333</v>
      </c>
      <c r="F556" s="25" t="s">
        <v>399</v>
      </c>
    </row>
    <row r="557" spans="1:6" x14ac:dyDescent="0.25">
      <c r="A557" s="27">
        <v>42992</v>
      </c>
      <c r="B557" s="23" t="s">
        <v>809</v>
      </c>
      <c r="C557" s="24" t="s">
        <v>602</v>
      </c>
      <c r="D557" s="23" t="s">
        <v>438</v>
      </c>
      <c r="E557" s="23" t="s">
        <v>333</v>
      </c>
      <c r="F557" s="25" t="s">
        <v>810</v>
      </c>
    </row>
    <row r="558" spans="1:6" x14ac:dyDescent="0.25">
      <c r="A558" s="27">
        <v>42992</v>
      </c>
      <c r="B558" s="23" t="s">
        <v>811</v>
      </c>
      <c r="C558" s="24" t="s">
        <v>23</v>
      </c>
      <c r="D558" s="23" t="s">
        <v>438</v>
      </c>
      <c r="E558" s="23" t="s">
        <v>333</v>
      </c>
      <c r="F558" s="25" t="s">
        <v>377</v>
      </c>
    </row>
    <row r="559" spans="1:6" x14ac:dyDescent="0.25">
      <c r="A559" s="27">
        <v>42992</v>
      </c>
      <c r="B559" s="23" t="s">
        <v>812</v>
      </c>
      <c r="C559" s="24" t="s">
        <v>6</v>
      </c>
      <c r="D559" s="23" t="s">
        <v>438</v>
      </c>
      <c r="E559" s="23" t="s">
        <v>333</v>
      </c>
      <c r="F559" s="25" t="s">
        <v>399</v>
      </c>
    </row>
    <row r="560" spans="1:6" ht="30.75" x14ac:dyDescent="0.25">
      <c r="A560" s="27">
        <v>42992</v>
      </c>
      <c r="B560" s="23" t="s">
        <v>813</v>
      </c>
      <c r="C560" s="24" t="s">
        <v>814</v>
      </c>
      <c r="D560" s="23" t="s">
        <v>438</v>
      </c>
      <c r="E560" s="23" t="s">
        <v>333</v>
      </c>
      <c r="F560" s="25" t="s">
        <v>377</v>
      </c>
    </row>
    <row r="561" spans="1:6" x14ac:dyDescent="0.25">
      <c r="A561" s="27">
        <v>42992</v>
      </c>
      <c r="B561" s="23" t="s">
        <v>815</v>
      </c>
      <c r="C561" s="24" t="s">
        <v>23</v>
      </c>
      <c r="D561" s="23" t="s">
        <v>380</v>
      </c>
      <c r="E561" s="23" t="s">
        <v>333</v>
      </c>
      <c r="F561" s="25" t="s">
        <v>377</v>
      </c>
    </row>
    <row r="562" spans="1:6" x14ac:dyDescent="0.25">
      <c r="A562" s="27">
        <v>42992</v>
      </c>
      <c r="B562" s="23" t="s">
        <v>817</v>
      </c>
      <c r="C562" s="24" t="s">
        <v>6</v>
      </c>
      <c r="D562" s="23" t="s">
        <v>413</v>
      </c>
      <c r="E562" s="23" t="s">
        <v>333</v>
      </c>
      <c r="F562" s="25" t="s">
        <v>530</v>
      </c>
    </row>
    <row r="563" spans="1:6" x14ac:dyDescent="0.25">
      <c r="A563" s="27">
        <v>42992</v>
      </c>
      <c r="B563" s="23" t="s">
        <v>639</v>
      </c>
      <c r="C563" s="24" t="s">
        <v>39</v>
      </c>
      <c r="D563" s="23" t="s">
        <v>816</v>
      </c>
      <c r="E563" s="23" t="s">
        <v>333</v>
      </c>
      <c r="F563" s="25" t="s">
        <v>818</v>
      </c>
    </row>
    <row r="564" spans="1:6" x14ac:dyDescent="0.25">
      <c r="A564" s="27">
        <v>42992</v>
      </c>
      <c r="B564" s="23" t="s">
        <v>819</v>
      </c>
      <c r="C564" s="24" t="s">
        <v>6</v>
      </c>
      <c r="D564" s="23" t="s">
        <v>438</v>
      </c>
      <c r="E564" s="23" t="s">
        <v>333</v>
      </c>
      <c r="F564" s="25" t="s">
        <v>394</v>
      </c>
    </row>
    <row r="565" spans="1:6" x14ac:dyDescent="0.25">
      <c r="A565" s="27">
        <v>42992</v>
      </c>
      <c r="B565" s="23" t="s">
        <v>820</v>
      </c>
      <c r="C565" s="24" t="s">
        <v>91</v>
      </c>
      <c r="D565" s="23" t="s">
        <v>336</v>
      </c>
      <c r="E565" s="23" t="s">
        <v>333</v>
      </c>
      <c r="F565" s="25" t="s">
        <v>821</v>
      </c>
    </row>
    <row r="566" spans="1:6" x14ac:dyDescent="0.25">
      <c r="A566" s="27">
        <v>42992</v>
      </c>
      <c r="B566" s="23" t="s">
        <v>822</v>
      </c>
      <c r="C566" s="24" t="s">
        <v>39</v>
      </c>
      <c r="D566" s="23" t="s">
        <v>352</v>
      </c>
      <c r="E566" s="23" t="s">
        <v>333</v>
      </c>
      <c r="F566" s="25" t="s">
        <v>609</v>
      </c>
    </row>
    <row r="567" spans="1:6" x14ac:dyDescent="0.25">
      <c r="A567" s="27">
        <v>42992</v>
      </c>
      <c r="B567" s="23" t="s">
        <v>823</v>
      </c>
      <c r="C567" s="24" t="s">
        <v>122</v>
      </c>
      <c r="D567" s="23" t="s">
        <v>352</v>
      </c>
      <c r="E567" s="23" t="s">
        <v>333</v>
      </c>
      <c r="F567" s="25" t="s">
        <v>455</v>
      </c>
    </row>
    <row r="568" spans="1:6" x14ac:dyDescent="0.25">
      <c r="A568" s="27">
        <v>42992</v>
      </c>
      <c r="B568" s="23" t="s">
        <v>824</v>
      </c>
      <c r="C568" s="24" t="s">
        <v>91</v>
      </c>
      <c r="D568" s="23" t="s">
        <v>336</v>
      </c>
      <c r="E568" s="23" t="s">
        <v>333</v>
      </c>
      <c r="F568" s="25" t="s">
        <v>825</v>
      </c>
    </row>
    <row r="569" spans="1:6" x14ac:dyDescent="0.25">
      <c r="A569" s="27">
        <v>42996</v>
      </c>
      <c r="B569" s="23" t="s">
        <v>660</v>
      </c>
      <c r="C569" s="24" t="s">
        <v>122</v>
      </c>
      <c r="D569" s="10" t="s">
        <v>550</v>
      </c>
      <c r="E569" s="23" t="s">
        <v>333</v>
      </c>
      <c r="F569" s="25" t="s">
        <v>661</v>
      </c>
    </row>
    <row r="570" spans="1:6" ht="30" x14ac:dyDescent="0.25">
      <c r="A570" s="27">
        <v>42996</v>
      </c>
      <c r="B570" s="10" t="s">
        <v>610</v>
      </c>
      <c r="C570" s="10" t="s">
        <v>39</v>
      </c>
      <c r="D570" s="10" t="s">
        <v>352</v>
      </c>
      <c r="E570" s="10" t="s">
        <v>333</v>
      </c>
      <c r="F570" s="11" t="s">
        <v>609</v>
      </c>
    </row>
    <row r="571" spans="1:6" ht="15" x14ac:dyDescent="0.25">
      <c r="A571" s="27">
        <v>42996</v>
      </c>
      <c r="B571" s="10" t="s">
        <v>619</v>
      </c>
      <c r="C571" s="10" t="s">
        <v>39</v>
      </c>
      <c r="D571" s="10" t="s">
        <v>439</v>
      </c>
      <c r="E571" s="10" t="s">
        <v>333</v>
      </c>
      <c r="F571" s="11" t="s">
        <v>620</v>
      </c>
    </row>
    <row r="572" spans="1:6" x14ac:dyDescent="0.25">
      <c r="A572" s="27">
        <v>42997</v>
      </c>
      <c r="B572" s="23" t="s">
        <v>826</v>
      </c>
      <c r="C572" s="24" t="s">
        <v>505</v>
      </c>
      <c r="D572" s="23" t="s">
        <v>486</v>
      </c>
      <c r="E572" s="23" t="s">
        <v>333</v>
      </c>
      <c r="F572" s="25" t="s">
        <v>827</v>
      </c>
    </row>
    <row r="573" spans="1:6" x14ac:dyDescent="0.25">
      <c r="A573" s="27">
        <v>42997</v>
      </c>
      <c r="B573" s="23" t="s">
        <v>828</v>
      </c>
      <c r="C573" s="24" t="s">
        <v>829</v>
      </c>
      <c r="D573" s="23" t="s">
        <v>542</v>
      </c>
      <c r="E573" s="23" t="s">
        <v>333</v>
      </c>
      <c r="F573" s="25" t="s">
        <v>653</v>
      </c>
    </row>
    <row r="574" spans="1:6" x14ac:dyDescent="0.25">
      <c r="A574" s="27">
        <v>42997</v>
      </c>
      <c r="B574" s="23" t="s">
        <v>830</v>
      </c>
      <c r="C574" s="24" t="s">
        <v>122</v>
      </c>
      <c r="D574" s="23" t="s">
        <v>470</v>
      </c>
      <c r="E574" s="23" t="s">
        <v>333</v>
      </c>
      <c r="F574" s="25" t="s">
        <v>827</v>
      </c>
    </row>
    <row r="575" spans="1:6" ht="30.75" x14ac:dyDescent="0.25">
      <c r="A575" s="27">
        <v>42997</v>
      </c>
      <c r="B575" s="23" t="s">
        <v>831</v>
      </c>
      <c r="C575" s="24" t="s">
        <v>832</v>
      </c>
      <c r="D575" s="23" t="s">
        <v>352</v>
      </c>
      <c r="E575" s="23" t="s">
        <v>333</v>
      </c>
      <c r="F575" s="25" t="s">
        <v>399</v>
      </c>
    </row>
    <row r="576" spans="1:6" x14ac:dyDescent="0.25">
      <c r="A576" s="27">
        <v>42997</v>
      </c>
      <c r="B576" s="23" t="s">
        <v>833</v>
      </c>
      <c r="C576" s="24" t="s">
        <v>122</v>
      </c>
      <c r="D576" s="23" t="s">
        <v>516</v>
      </c>
      <c r="E576" s="23" t="s">
        <v>333</v>
      </c>
      <c r="F576" s="25" t="s">
        <v>834</v>
      </c>
    </row>
    <row r="577" spans="1:6" ht="30.75" x14ac:dyDescent="0.25">
      <c r="A577" s="27">
        <v>42997</v>
      </c>
      <c r="B577" s="23" t="s">
        <v>835</v>
      </c>
      <c r="C577" s="24" t="s">
        <v>836</v>
      </c>
      <c r="D577" s="23" t="s">
        <v>484</v>
      </c>
      <c r="E577" s="23" t="s">
        <v>333</v>
      </c>
      <c r="F577" s="25" t="s">
        <v>837</v>
      </c>
    </row>
    <row r="578" spans="1:6" x14ac:dyDescent="0.25">
      <c r="A578" s="27">
        <v>42997</v>
      </c>
      <c r="B578" s="23" t="s">
        <v>838</v>
      </c>
      <c r="C578" s="24" t="s">
        <v>23</v>
      </c>
      <c r="D578" s="23" t="s">
        <v>352</v>
      </c>
      <c r="E578" s="23" t="s">
        <v>333</v>
      </c>
      <c r="F578" s="25" t="s">
        <v>839</v>
      </c>
    </row>
    <row r="579" spans="1:6" ht="30.75" x14ac:dyDescent="0.25">
      <c r="A579" s="27">
        <v>42998</v>
      </c>
      <c r="B579" s="23" t="s">
        <v>840</v>
      </c>
      <c r="C579" s="24" t="s">
        <v>841</v>
      </c>
      <c r="D579" s="23" t="s">
        <v>352</v>
      </c>
      <c r="E579" s="23" t="s">
        <v>333</v>
      </c>
      <c r="F579" s="25" t="s">
        <v>842</v>
      </c>
    </row>
    <row r="580" spans="1:6" x14ac:dyDescent="0.25">
      <c r="A580" s="27">
        <v>42998</v>
      </c>
      <c r="B580" s="23" t="s">
        <v>843</v>
      </c>
      <c r="C580" s="24" t="s">
        <v>23</v>
      </c>
      <c r="D580" s="23" t="s">
        <v>470</v>
      </c>
      <c r="E580" s="23" t="s">
        <v>333</v>
      </c>
      <c r="F580" s="25" t="s">
        <v>844</v>
      </c>
    </row>
    <row r="581" spans="1:6" x14ac:dyDescent="0.25">
      <c r="A581" s="27">
        <v>42998</v>
      </c>
      <c r="B581" s="23" t="s">
        <v>845</v>
      </c>
      <c r="C581" s="24" t="s">
        <v>91</v>
      </c>
      <c r="D581" s="23" t="s">
        <v>352</v>
      </c>
      <c r="E581" s="23" t="s">
        <v>333</v>
      </c>
      <c r="F581" s="25" t="s">
        <v>609</v>
      </c>
    </row>
    <row r="582" spans="1:6" x14ac:dyDescent="0.25">
      <c r="A582" s="27">
        <v>42998</v>
      </c>
      <c r="B582" s="23" t="s">
        <v>846</v>
      </c>
      <c r="C582" s="24" t="s">
        <v>6</v>
      </c>
      <c r="D582" s="23" t="s">
        <v>439</v>
      </c>
      <c r="E582" s="23" t="s">
        <v>333</v>
      </c>
      <c r="F582" s="25" t="s">
        <v>847</v>
      </c>
    </row>
    <row r="583" spans="1:6" ht="45.75" x14ac:dyDescent="0.25">
      <c r="A583" s="27">
        <v>42998</v>
      </c>
      <c r="B583" s="23" t="s">
        <v>848</v>
      </c>
      <c r="C583" s="24" t="s">
        <v>849</v>
      </c>
    </row>
    <row r="584" spans="1:6" x14ac:dyDescent="0.25">
      <c r="A584" s="27">
        <v>42998</v>
      </c>
      <c r="B584" s="23" t="s">
        <v>850</v>
      </c>
      <c r="C584" s="24" t="s">
        <v>851</v>
      </c>
      <c r="D584" s="23" t="s">
        <v>388</v>
      </c>
      <c r="E584" s="23" t="s">
        <v>333</v>
      </c>
      <c r="F584" s="25" t="s">
        <v>350</v>
      </c>
    </row>
    <row r="585" spans="1:6" x14ac:dyDescent="0.25">
      <c r="A585" s="27">
        <v>42998</v>
      </c>
      <c r="B585" s="23" t="s">
        <v>852</v>
      </c>
      <c r="C585" s="24" t="s">
        <v>23</v>
      </c>
      <c r="D585" s="23" t="s">
        <v>343</v>
      </c>
      <c r="E585" s="23" t="s">
        <v>333</v>
      </c>
      <c r="F585" s="25" t="s">
        <v>853</v>
      </c>
    </row>
    <row r="586" spans="1:6" x14ac:dyDescent="0.25">
      <c r="A586" s="27">
        <v>42998</v>
      </c>
      <c r="B586" s="23" t="s">
        <v>854</v>
      </c>
      <c r="C586" s="24" t="s">
        <v>91</v>
      </c>
      <c r="D586" s="23" t="s">
        <v>343</v>
      </c>
      <c r="E586" s="23" t="s">
        <v>333</v>
      </c>
      <c r="F586" s="25" t="s">
        <v>855</v>
      </c>
    </row>
    <row r="587" spans="1:6" x14ac:dyDescent="0.25">
      <c r="A587" s="27">
        <v>42999</v>
      </c>
      <c r="B587" s="23" t="s">
        <v>856</v>
      </c>
      <c r="C587" s="24" t="s">
        <v>6</v>
      </c>
      <c r="D587" s="23" t="s">
        <v>438</v>
      </c>
      <c r="E587" s="23" t="s">
        <v>333</v>
      </c>
      <c r="F587" s="25" t="s">
        <v>369</v>
      </c>
    </row>
    <row r="588" spans="1:6" ht="30.75" x14ac:dyDescent="0.25">
      <c r="A588" s="27">
        <v>42999</v>
      </c>
      <c r="B588" s="23" t="s">
        <v>857</v>
      </c>
      <c r="C588" s="24" t="s">
        <v>858</v>
      </c>
      <c r="D588" s="23" t="s">
        <v>438</v>
      </c>
      <c r="E588" s="23" t="s">
        <v>333</v>
      </c>
      <c r="F588" s="25" t="s">
        <v>344</v>
      </c>
    </row>
    <row r="589" spans="1:6" x14ac:dyDescent="0.25">
      <c r="A589" s="27">
        <v>42999</v>
      </c>
      <c r="B589" s="23" t="s">
        <v>859</v>
      </c>
      <c r="C589" s="24" t="s">
        <v>263</v>
      </c>
      <c r="D589" s="23" t="s">
        <v>380</v>
      </c>
      <c r="E589" s="23" t="s">
        <v>333</v>
      </c>
      <c r="F589" s="25" t="s">
        <v>344</v>
      </c>
    </row>
    <row r="590" spans="1:6" x14ac:dyDescent="0.25">
      <c r="A590" s="27">
        <v>42999</v>
      </c>
      <c r="B590" s="23" t="s">
        <v>860</v>
      </c>
      <c r="C590" s="24" t="s">
        <v>829</v>
      </c>
      <c r="D590" s="23" t="s">
        <v>438</v>
      </c>
      <c r="E590" s="23" t="s">
        <v>333</v>
      </c>
      <c r="F590" s="25" t="s">
        <v>369</v>
      </c>
    </row>
    <row r="591" spans="1:6" x14ac:dyDescent="0.25">
      <c r="A591" s="27">
        <v>42999</v>
      </c>
      <c r="B591" s="23" t="s">
        <v>861</v>
      </c>
      <c r="C591" s="24" t="s">
        <v>122</v>
      </c>
      <c r="D591" s="23" t="s">
        <v>327</v>
      </c>
      <c r="E591" s="23" t="s">
        <v>333</v>
      </c>
      <c r="F591" s="25" t="s">
        <v>862</v>
      </c>
    </row>
    <row r="592" spans="1:6" x14ac:dyDescent="0.25">
      <c r="A592" s="27">
        <v>42999</v>
      </c>
      <c r="B592" s="23" t="s">
        <v>863</v>
      </c>
      <c r="C592" s="24" t="s">
        <v>91</v>
      </c>
      <c r="D592" s="23" t="s">
        <v>413</v>
      </c>
      <c r="E592" s="23" t="s">
        <v>333</v>
      </c>
      <c r="F592" s="25" t="s">
        <v>864</v>
      </c>
    </row>
    <row r="593" spans="1:6" x14ac:dyDescent="0.25">
      <c r="A593" s="27">
        <v>43000</v>
      </c>
      <c r="B593" s="23" t="s">
        <v>865</v>
      </c>
      <c r="C593" s="24" t="s">
        <v>6</v>
      </c>
      <c r="D593" s="23" t="s">
        <v>343</v>
      </c>
      <c r="E593" s="23" t="s">
        <v>866</v>
      </c>
    </row>
    <row r="594" spans="1:6" x14ac:dyDescent="0.25">
      <c r="A594" s="27">
        <v>43000</v>
      </c>
      <c r="B594" s="23" t="s">
        <v>867</v>
      </c>
      <c r="C594" s="24" t="s">
        <v>6</v>
      </c>
      <c r="D594" s="23" t="s">
        <v>388</v>
      </c>
      <c r="E594" s="23" t="s">
        <v>866</v>
      </c>
    </row>
    <row r="595" spans="1:6" x14ac:dyDescent="0.25">
      <c r="A595" s="27">
        <v>43000</v>
      </c>
      <c r="B595" s="23" t="s">
        <v>868</v>
      </c>
      <c r="C595" s="24" t="s">
        <v>6</v>
      </c>
      <c r="D595" s="23" t="s">
        <v>438</v>
      </c>
      <c r="E595" s="23" t="s">
        <v>333</v>
      </c>
      <c r="F595" s="25" t="s">
        <v>478</v>
      </c>
    </row>
    <row r="596" spans="1:6" x14ac:dyDescent="0.25">
      <c r="A596" s="27">
        <v>43003</v>
      </c>
      <c r="B596" s="23" t="s">
        <v>869</v>
      </c>
      <c r="C596" s="24" t="s">
        <v>6</v>
      </c>
      <c r="D596" s="10" t="s">
        <v>550</v>
      </c>
      <c r="E596" s="23" t="s">
        <v>328</v>
      </c>
      <c r="F596" s="25" t="s">
        <v>870</v>
      </c>
    </row>
    <row r="597" spans="1:6" x14ac:dyDescent="0.25">
      <c r="A597" s="27">
        <v>43003</v>
      </c>
      <c r="B597" s="23" t="s">
        <v>871</v>
      </c>
      <c r="C597" s="24" t="s">
        <v>91</v>
      </c>
      <c r="D597" s="23" t="s">
        <v>486</v>
      </c>
      <c r="E597" s="23" t="s">
        <v>333</v>
      </c>
      <c r="F597" s="25" t="s">
        <v>591</v>
      </c>
    </row>
    <row r="598" spans="1:6" x14ac:dyDescent="0.25">
      <c r="A598" s="27">
        <v>43003</v>
      </c>
      <c r="B598" s="23" t="s">
        <v>872</v>
      </c>
      <c r="C598" s="24" t="s">
        <v>873</v>
      </c>
      <c r="D598" s="23" t="s">
        <v>470</v>
      </c>
      <c r="E598" s="23" t="s">
        <v>333</v>
      </c>
      <c r="F598" s="25" t="s">
        <v>874</v>
      </c>
    </row>
    <row r="599" spans="1:6" x14ac:dyDescent="0.25">
      <c r="A599" s="27">
        <v>43003</v>
      </c>
      <c r="B599" s="23" t="s">
        <v>699</v>
      </c>
      <c r="C599" s="24" t="s">
        <v>180</v>
      </c>
      <c r="D599" s="23" t="s">
        <v>470</v>
      </c>
      <c r="E599" s="23" t="s">
        <v>333</v>
      </c>
      <c r="F599" s="25" t="s">
        <v>875</v>
      </c>
    </row>
    <row r="600" spans="1:6" x14ac:dyDescent="0.25">
      <c r="A600" s="27">
        <v>43003</v>
      </c>
      <c r="B600" s="23" t="s">
        <v>876</v>
      </c>
      <c r="C600" s="24" t="s">
        <v>91</v>
      </c>
      <c r="D600" s="23" t="s">
        <v>486</v>
      </c>
      <c r="E600" s="23" t="s">
        <v>333</v>
      </c>
      <c r="F600" s="25" t="s">
        <v>591</v>
      </c>
    </row>
    <row r="601" spans="1:6" ht="30.75" x14ac:dyDescent="0.25">
      <c r="A601" s="27">
        <v>43003</v>
      </c>
      <c r="B601" s="23" t="s">
        <v>877</v>
      </c>
      <c r="C601" s="24" t="s">
        <v>698</v>
      </c>
      <c r="D601" s="23" t="s">
        <v>486</v>
      </c>
      <c r="E601" s="23" t="s">
        <v>333</v>
      </c>
      <c r="F601" s="25" t="s">
        <v>878</v>
      </c>
    </row>
    <row r="602" spans="1:6" x14ac:dyDescent="0.25">
      <c r="A602" s="27">
        <v>43003</v>
      </c>
      <c r="B602" s="23" t="s">
        <v>879</v>
      </c>
      <c r="C602" s="24" t="s">
        <v>91</v>
      </c>
      <c r="D602" s="23" t="s">
        <v>336</v>
      </c>
      <c r="E602" s="23" t="s">
        <v>333</v>
      </c>
      <c r="F602" s="25" t="s">
        <v>878</v>
      </c>
    </row>
    <row r="603" spans="1:6" x14ac:dyDescent="0.25">
      <c r="A603" s="27">
        <v>43003</v>
      </c>
      <c r="B603" s="23" t="s">
        <v>880</v>
      </c>
      <c r="C603" s="24" t="s">
        <v>91</v>
      </c>
      <c r="D603" s="23" t="s">
        <v>486</v>
      </c>
      <c r="E603" s="23" t="s">
        <v>333</v>
      </c>
      <c r="F603" s="25" t="s">
        <v>878</v>
      </c>
    </row>
    <row r="604" spans="1:6" x14ac:dyDescent="0.25">
      <c r="A604" s="27">
        <v>43004</v>
      </c>
      <c r="B604" s="23" t="s">
        <v>881</v>
      </c>
      <c r="C604" s="24" t="s">
        <v>6</v>
      </c>
      <c r="D604" s="23" t="s">
        <v>542</v>
      </c>
      <c r="E604" s="23" t="s">
        <v>333</v>
      </c>
      <c r="F604" s="25" t="s">
        <v>882</v>
      </c>
    </row>
    <row r="605" spans="1:6" x14ac:dyDescent="0.25">
      <c r="A605" s="27">
        <v>43004</v>
      </c>
      <c r="B605" s="23" t="s">
        <v>883</v>
      </c>
      <c r="C605" s="24" t="s">
        <v>409</v>
      </c>
      <c r="D605" s="23" t="s">
        <v>470</v>
      </c>
      <c r="E605" s="23" t="s">
        <v>333</v>
      </c>
      <c r="F605" s="25" t="s">
        <v>884</v>
      </c>
    </row>
    <row r="606" spans="1:6" x14ac:dyDescent="0.25">
      <c r="A606" s="27">
        <v>43004</v>
      </c>
      <c r="B606" s="23" t="s">
        <v>885</v>
      </c>
      <c r="C606" s="24" t="s">
        <v>122</v>
      </c>
      <c r="D606" s="23" t="s">
        <v>486</v>
      </c>
      <c r="E606" s="23" t="s">
        <v>333</v>
      </c>
      <c r="F606" s="25" t="s">
        <v>886</v>
      </c>
    </row>
    <row r="607" spans="1:6" x14ac:dyDescent="0.25">
      <c r="A607" s="27">
        <v>43004</v>
      </c>
      <c r="B607" s="23" t="s">
        <v>887</v>
      </c>
      <c r="C607" s="24" t="s">
        <v>6</v>
      </c>
      <c r="D607" s="23" t="s">
        <v>542</v>
      </c>
      <c r="E607" s="23" t="s">
        <v>333</v>
      </c>
      <c r="F607" s="25" t="s">
        <v>888</v>
      </c>
    </row>
    <row r="608" spans="1:6" x14ac:dyDescent="0.25">
      <c r="A608" s="27">
        <v>43004</v>
      </c>
      <c r="B608" s="23" t="s">
        <v>889</v>
      </c>
      <c r="C608" s="24" t="s">
        <v>91</v>
      </c>
      <c r="D608" s="23" t="s">
        <v>388</v>
      </c>
      <c r="E608" s="23" t="s">
        <v>333</v>
      </c>
      <c r="F608" s="25" t="s">
        <v>350</v>
      </c>
    </row>
    <row r="609" spans="1:6" x14ac:dyDescent="0.25">
      <c r="A609" s="27">
        <v>43004</v>
      </c>
      <c r="B609" s="23" t="s">
        <v>854</v>
      </c>
      <c r="C609" s="24" t="s">
        <v>39</v>
      </c>
      <c r="D609" s="23" t="s">
        <v>343</v>
      </c>
      <c r="E609" s="23" t="s">
        <v>333</v>
      </c>
      <c r="F609" s="25" t="s">
        <v>855</v>
      </c>
    </row>
    <row r="610" spans="1:6" x14ac:dyDescent="0.25">
      <c r="A610" s="27">
        <v>43005</v>
      </c>
      <c r="B610" s="23" t="s">
        <v>824</v>
      </c>
      <c r="C610" s="24" t="s">
        <v>39</v>
      </c>
      <c r="D610" s="23" t="s">
        <v>336</v>
      </c>
      <c r="E610" s="23" t="s">
        <v>333</v>
      </c>
      <c r="F610" s="25" t="s">
        <v>825</v>
      </c>
    </row>
    <row r="611" spans="1:6" x14ac:dyDescent="0.25">
      <c r="A611" s="27">
        <v>43005</v>
      </c>
      <c r="B611" s="23" t="s">
        <v>820</v>
      </c>
      <c r="C611" s="24" t="s">
        <v>39</v>
      </c>
      <c r="D611" s="23" t="s">
        <v>336</v>
      </c>
      <c r="E611" s="23" t="s">
        <v>333</v>
      </c>
      <c r="F611" s="25" t="s">
        <v>821</v>
      </c>
    </row>
    <row r="612" spans="1:6" x14ac:dyDescent="0.25">
      <c r="A612" s="27">
        <v>43005</v>
      </c>
      <c r="B612" s="23" t="s">
        <v>702</v>
      </c>
      <c r="C612" s="24" t="s">
        <v>39</v>
      </c>
      <c r="D612" s="23" t="s">
        <v>336</v>
      </c>
      <c r="E612" s="23" t="s">
        <v>333</v>
      </c>
      <c r="F612" s="25" t="s">
        <v>703</v>
      </c>
    </row>
    <row r="613" spans="1:6" ht="45.75" x14ac:dyDescent="0.25">
      <c r="A613" s="27">
        <v>43005</v>
      </c>
      <c r="B613" s="23" t="s">
        <v>890</v>
      </c>
      <c r="C613" s="24" t="s">
        <v>891</v>
      </c>
      <c r="D613" s="23" t="s">
        <v>387</v>
      </c>
      <c r="E613" s="23" t="s">
        <v>333</v>
      </c>
      <c r="F613" s="25" t="s">
        <v>497</v>
      </c>
    </row>
    <row r="614" spans="1:6" x14ac:dyDescent="0.25">
      <c r="A614" s="27">
        <v>43005</v>
      </c>
      <c r="B614" s="23" t="s">
        <v>892</v>
      </c>
      <c r="C614" s="24" t="s">
        <v>19</v>
      </c>
      <c r="D614" s="23" t="s">
        <v>406</v>
      </c>
      <c r="E614" s="23" t="s">
        <v>333</v>
      </c>
      <c r="F614" s="25" t="s">
        <v>893</v>
      </c>
    </row>
    <row r="615" spans="1:6" ht="45.75" x14ac:dyDescent="0.25">
      <c r="A615" s="27">
        <v>43005</v>
      </c>
      <c r="B615" s="23" t="s">
        <v>894</v>
      </c>
      <c r="C615" s="24" t="s">
        <v>895</v>
      </c>
      <c r="D615" s="23" t="s">
        <v>334</v>
      </c>
      <c r="E615" s="23" t="s">
        <v>333</v>
      </c>
      <c r="F615" s="25" t="s">
        <v>896</v>
      </c>
    </row>
    <row r="616" spans="1:6" x14ac:dyDescent="0.25">
      <c r="A616" s="27">
        <v>43005</v>
      </c>
      <c r="B616" s="23" t="s">
        <v>897</v>
      </c>
      <c r="C616" s="24" t="s">
        <v>6</v>
      </c>
      <c r="D616" s="23" t="s">
        <v>334</v>
      </c>
      <c r="E616" s="23" t="s">
        <v>333</v>
      </c>
      <c r="F616" s="25" t="s">
        <v>896</v>
      </c>
    </row>
    <row r="617" spans="1:6" x14ac:dyDescent="0.25">
      <c r="A617" s="27">
        <v>43005</v>
      </c>
      <c r="B617" s="23" t="s">
        <v>898</v>
      </c>
      <c r="C617" s="24" t="s">
        <v>899</v>
      </c>
      <c r="D617" s="23" t="s">
        <v>336</v>
      </c>
      <c r="E617" s="23" t="s">
        <v>333</v>
      </c>
      <c r="F617" s="25" t="s">
        <v>900</v>
      </c>
    </row>
    <row r="618" spans="1:6" x14ac:dyDescent="0.25">
      <c r="A618" s="27">
        <v>43005</v>
      </c>
      <c r="B618" s="23" t="s">
        <v>901</v>
      </c>
      <c r="C618" s="24" t="s">
        <v>241</v>
      </c>
      <c r="D618" s="23" t="s">
        <v>486</v>
      </c>
      <c r="E618" s="23" t="s">
        <v>333</v>
      </c>
      <c r="F618" s="25" t="s">
        <v>497</v>
      </c>
    </row>
    <row r="619" spans="1:6" x14ac:dyDescent="0.25">
      <c r="A619" s="27">
        <v>43005</v>
      </c>
      <c r="B619" s="23" t="s">
        <v>902</v>
      </c>
      <c r="C619" s="24" t="s">
        <v>91</v>
      </c>
      <c r="D619" s="23" t="s">
        <v>470</v>
      </c>
      <c r="E619" s="23" t="s">
        <v>333</v>
      </c>
      <c r="F619" s="25" t="s">
        <v>903</v>
      </c>
    </row>
    <row r="620" spans="1:6" x14ac:dyDescent="0.25">
      <c r="A620" s="27">
        <v>43007</v>
      </c>
      <c r="B620" s="23" t="s">
        <v>904</v>
      </c>
      <c r="C620" s="24" t="s">
        <v>6</v>
      </c>
      <c r="D620" s="23" t="s">
        <v>516</v>
      </c>
      <c r="E620" s="23" t="s">
        <v>496</v>
      </c>
    </row>
    <row r="621" spans="1:6" x14ac:dyDescent="0.25">
      <c r="A621" s="27">
        <v>43007</v>
      </c>
      <c r="B621" s="23" t="s">
        <v>905</v>
      </c>
      <c r="C621" s="24" t="s">
        <v>906</v>
      </c>
      <c r="D621" s="23" t="s">
        <v>438</v>
      </c>
      <c r="E621" s="23" t="s">
        <v>333</v>
      </c>
      <c r="F621" s="25" t="s">
        <v>442</v>
      </c>
    </row>
    <row r="622" spans="1:6" x14ac:dyDescent="0.25">
      <c r="A622" s="27">
        <v>43007</v>
      </c>
      <c r="B622" s="23" t="s">
        <v>907</v>
      </c>
      <c r="C622" s="24" t="s">
        <v>6</v>
      </c>
      <c r="D622" s="23" t="s">
        <v>438</v>
      </c>
      <c r="E622" s="23" t="s">
        <v>333</v>
      </c>
      <c r="F622" s="25" t="s">
        <v>475</v>
      </c>
    </row>
    <row r="623" spans="1:6" ht="30.75" x14ac:dyDescent="0.25">
      <c r="A623" s="27">
        <v>43007</v>
      </c>
      <c r="B623" s="23" t="s">
        <v>908</v>
      </c>
      <c r="C623" s="24" t="s">
        <v>909</v>
      </c>
      <c r="D623" s="23" t="s">
        <v>438</v>
      </c>
      <c r="E623" s="23" t="s">
        <v>333</v>
      </c>
      <c r="F623" s="25" t="s">
        <v>910</v>
      </c>
    </row>
    <row r="624" spans="1:6" x14ac:dyDescent="0.25">
      <c r="A624" s="27">
        <v>43007</v>
      </c>
      <c r="B624" s="23" t="s">
        <v>911</v>
      </c>
      <c r="C624" s="24" t="s">
        <v>6</v>
      </c>
      <c r="D624" s="23" t="s">
        <v>413</v>
      </c>
      <c r="E624" s="23" t="s">
        <v>333</v>
      </c>
      <c r="F624" s="25" t="s">
        <v>912</v>
      </c>
    </row>
    <row r="625" spans="1:6" x14ac:dyDescent="0.25">
      <c r="A625" s="27">
        <v>43007</v>
      </c>
      <c r="B625" s="23" t="s">
        <v>913</v>
      </c>
      <c r="C625" s="24" t="s">
        <v>6</v>
      </c>
      <c r="D625" s="23" t="s">
        <v>438</v>
      </c>
      <c r="E625" s="23" t="s">
        <v>333</v>
      </c>
      <c r="F625" s="25" t="s">
        <v>914</v>
      </c>
    </row>
    <row r="626" spans="1:6" x14ac:dyDescent="0.25">
      <c r="A626" s="27">
        <v>43007</v>
      </c>
      <c r="B626" s="23" t="s">
        <v>915</v>
      </c>
      <c r="C626" s="24" t="s">
        <v>91</v>
      </c>
      <c r="D626" s="23" t="s">
        <v>380</v>
      </c>
      <c r="E626" s="23" t="s">
        <v>333</v>
      </c>
      <c r="F626" s="25" t="s">
        <v>797</v>
      </c>
    </row>
    <row r="627" spans="1:6" x14ac:dyDescent="0.25">
      <c r="A627" s="27">
        <v>43007</v>
      </c>
      <c r="B627" s="23" t="s">
        <v>863</v>
      </c>
      <c r="C627" s="24" t="s">
        <v>91</v>
      </c>
      <c r="D627" s="23" t="s">
        <v>413</v>
      </c>
      <c r="E627" s="23" t="s">
        <v>333</v>
      </c>
      <c r="F627" s="25" t="s">
        <v>916</v>
      </c>
    </row>
    <row r="628" spans="1:6" x14ac:dyDescent="0.25">
      <c r="A628" s="27">
        <v>43007</v>
      </c>
      <c r="B628" s="23" t="s">
        <v>917</v>
      </c>
      <c r="C628" s="24" t="s">
        <v>39</v>
      </c>
      <c r="D628" s="23" t="s">
        <v>516</v>
      </c>
      <c r="E628" s="23" t="s">
        <v>333</v>
      </c>
      <c r="F628" s="25" t="s">
        <v>918</v>
      </c>
    </row>
    <row r="629" spans="1:6" x14ac:dyDescent="0.25">
      <c r="A629" s="27">
        <v>43007</v>
      </c>
      <c r="B629" s="23" t="s">
        <v>919</v>
      </c>
      <c r="C629" s="24" t="s">
        <v>17</v>
      </c>
      <c r="D629" s="23" t="s">
        <v>438</v>
      </c>
      <c r="E629" s="23" t="s">
        <v>333</v>
      </c>
      <c r="F629" s="25" t="s">
        <v>920</v>
      </c>
    </row>
    <row r="630" spans="1:6" ht="30.75" x14ac:dyDescent="0.25">
      <c r="A630" s="27">
        <v>43007</v>
      </c>
      <c r="B630" s="23" t="s">
        <v>921</v>
      </c>
      <c r="C630" s="24" t="s">
        <v>922</v>
      </c>
      <c r="D630" s="23" t="s">
        <v>438</v>
      </c>
      <c r="E630" s="23" t="s">
        <v>333</v>
      </c>
      <c r="F630" s="25" t="s">
        <v>923</v>
      </c>
    </row>
    <row r="631" spans="1:6" x14ac:dyDescent="0.25">
      <c r="A631" s="27">
        <v>43007</v>
      </c>
      <c r="B631" s="23" t="s">
        <v>924</v>
      </c>
      <c r="C631" s="24" t="s">
        <v>23</v>
      </c>
      <c r="D631" s="23" t="s">
        <v>387</v>
      </c>
      <c r="E631" s="23" t="s">
        <v>333</v>
      </c>
      <c r="F631" s="25" t="s">
        <v>925</v>
      </c>
    </row>
    <row r="632" spans="1:6" x14ac:dyDescent="0.25">
      <c r="A632" s="30">
        <v>43007</v>
      </c>
      <c r="B632" s="31" t="s">
        <v>926</v>
      </c>
      <c r="C632" s="32" t="s">
        <v>927</v>
      </c>
      <c r="D632" s="31" t="s">
        <v>334</v>
      </c>
      <c r="E632" s="31" t="s">
        <v>333</v>
      </c>
      <c r="F632" s="33" t="s">
        <v>548</v>
      </c>
    </row>
    <row r="633" spans="1:6" x14ac:dyDescent="0.25">
      <c r="A633" s="27">
        <v>43007</v>
      </c>
      <c r="B633" s="23" t="s">
        <v>928</v>
      </c>
      <c r="C633" s="24" t="s">
        <v>602</v>
      </c>
      <c r="D633" s="23" t="s">
        <v>470</v>
      </c>
      <c r="E633" s="23" t="s">
        <v>333</v>
      </c>
      <c r="F633" s="25" t="s">
        <v>929</v>
      </c>
    </row>
    <row r="634" spans="1:6" x14ac:dyDescent="0.25">
      <c r="A634" s="27">
        <v>43007</v>
      </c>
      <c r="B634" s="23" t="s">
        <v>930</v>
      </c>
      <c r="C634" s="24" t="s">
        <v>23</v>
      </c>
      <c r="D634" s="23" t="s">
        <v>380</v>
      </c>
      <c r="E634" s="23" t="s">
        <v>333</v>
      </c>
      <c r="F634" s="25" t="s">
        <v>931</v>
      </c>
    </row>
    <row r="635" spans="1:6" x14ac:dyDescent="0.25">
      <c r="A635" s="27">
        <v>43010</v>
      </c>
      <c r="B635" s="23" t="s">
        <v>932</v>
      </c>
      <c r="C635" s="24" t="s">
        <v>39</v>
      </c>
      <c r="D635" s="23" t="s">
        <v>352</v>
      </c>
      <c r="E635" s="23" t="s">
        <v>333</v>
      </c>
      <c r="F635" s="25" t="s">
        <v>609</v>
      </c>
    </row>
    <row r="636" spans="1:6" x14ac:dyDescent="0.25">
      <c r="A636" s="27">
        <v>43010</v>
      </c>
      <c r="B636" s="23" t="s">
        <v>933</v>
      </c>
      <c r="C636" s="24" t="s">
        <v>6</v>
      </c>
      <c r="D636" s="23" t="s">
        <v>516</v>
      </c>
      <c r="E636" s="23" t="s">
        <v>333</v>
      </c>
      <c r="F636" s="25" t="s">
        <v>934</v>
      </c>
    </row>
    <row r="637" spans="1:6" x14ac:dyDescent="0.25">
      <c r="A637" s="27">
        <v>43010</v>
      </c>
      <c r="B637" s="23" t="s">
        <v>935</v>
      </c>
      <c r="C637" s="24" t="s">
        <v>19</v>
      </c>
      <c r="D637" s="23" t="s">
        <v>438</v>
      </c>
      <c r="E637" s="23" t="s">
        <v>333</v>
      </c>
      <c r="F637" s="25" t="s">
        <v>936</v>
      </c>
    </row>
    <row r="638" spans="1:6" x14ac:dyDescent="0.25">
      <c r="A638" s="27">
        <v>43010</v>
      </c>
      <c r="B638" s="23" t="s">
        <v>937</v>
      </c>
      <c r="C638" s="24" t="s">
        <v>938</v>
      </c>
      <c r="D638" s="23" t="s">
        <v>516</v>
      </c>
      <c r="E638" s="23" t="s">
        <v>333</v>
      </c>
      <c r="F638" s="25" t="s">
        <v>530</v>
      </c>
    </row>
    <row r="639" spans="1:6" ht="30.75" x14ac:dyDescent="0.25">
      <c r="A639" s="27">
        <v>43010</v>
      </c>
      <c r="B639" s="23" t="s">
        <v>939</v>
      </c>
      <c r="C639" s="24" t="s">
        <v>940</v>
      </c>
      <c r="D639" s="23" t="s">
        <v>438</v>
      </c>
      <c r="E639" s="23" t="s">
        <v>333</v>
      </c>
      <c r="F639" s="25" t="s">
        <v>399</v>
      </c>
    </row>
    <row r="640" spans="1:6" x14ac:dyDescent="0.25">
      <c r="A640" s="27">
        <v>43010</v>
      </c>
      <c r="B640" s="23" t="s">
        <v>941</v>
      </c>
      <c r="C640" s="24" t="s">
        <v>6</v>
      </c>
      <c r="D640" s="23" t="s">
        <v>516</v>
      </c>
      <c r="E640" s="23" t="s">
        <v>333</v>
      </c>
      <c r="F640" s="25" t="s">
        <v>942</v>
      </c>
    </row>
    <row r="641" spans="1:6" x14ac:dyDescent="0.25">
      <c r="A641" s="27">
        <v>43011</v>
      </c>
      <c r="B641" s="23" t="s">
        <v>943</v>
      </c>
      <c r="C641" s="24" t="s">
        <v>6</v>
      </c>
      <c r="D641" s="23" t="s">
        <v>343</v>
      </c>
      <c r="E641" s="23" t="s">
        <v>333</v>
      </c>
      <c r="F641" s="25" t="s">
        <v>944</v>
      </c>
    </row>
    <row r="642" spans="1:6" x14ac:dyDescent="0.25">
      <c r="A642" s="27">
        <v>43011</v>
      </c>
      <c r="B642" s="23" t="s">
        <v>943</v>
      </c>
      <c r="C642" s="24" t="s">
        <v>6</v>
      </c>
      <c r="D642" s="23" t="s">
        <v>343</v>
      </c>
      <c r="E642" s="23" t="s">
        <v>333</v>
      </c>
      <c r="F642" s="25" t="s">
        <v>944</v>
      </c>
    </row>
    <row r="643" spans="1:6" x14ac:dyDescent="0.25">
      <c r="A643" s="27">
        <v>43011</v>
      </c>
      <c r="B643" s="23" t="s">
        <v>945</v>
      </c>
      <c r="C643" s="24" t="s">
        <v>39</v>
      </c>
      <c r="D643" s="23" t="s">
        <v>334</v>
      </c>
      <c r="E643" s="23" t="s">
        <v>333</v>
      </c>
      <c r="F643" s="25" t="s">
        <v>946</v>
      </c>
    </row>
    <row r="644" spans="1:6" x14ac:dyDescent="0.25">
      <c r="A644" s="27">
        <v>43011</v>
      </c>
      <c r="B644" s="23" t="s">
        <v>947</v>
      </c>
      <c r="C644" s="24" t="s">
        <v>91</v>
      </c>
      <c r="D644" s="23" t="s">
        <v>387</v>
      </c>
      <c r="E644" s="23" t="s">
        <v>333</v>
      </c>
      <c r="F644" s="25" t="s">
        <v>633</v>
      </c>
    </row>
    <row r="645" spans="1:6" x14ac:dyDescent="0.25">
      <c r="A645" s="27">
        <v>43011</v>
      </c>
      <c r="B645" s="23" t="s">
        <v>948</v>
      </c>
      <c r="C645" s="24" t="s">
        <v>6</v>
      </c>
      <c r="D645" s="23" t="s">
        <v>628</v>
      </c>
      <c r="E645" s="23" t="s">
        <v>333</v>
      </c>
      <c r="F645" s="25" t="s">
        <v>350</v>
      </c>
    </row>
    <row r="646" spans="1:6" x14ac:dyDescent="0.25">
      <c r="A646" s="27">
        <v>43011</v>
      </c>
      <c r="B646" s="23" t="s">
        <v>949</v>
      </c>
      <c r="C646" s="24" t="s">
        <v>6</v>
      </c>
      <c r="D646" s="23" t="s">
        <v>486</v>
      </c>
      <c r="E646" s="23" t="s">
        <v>333</v>
      </c>
      <c r="F646" s="25" t="s">
        <v>591</v>
      </c>
    </row>
    <row r="647" spans="1:6" ht="30.75" x14ac:dyDescent="0.25">
      <c r="A647" s="27">
        <v>43011</v>
      </c>
      <c r="B647" s="23" t="s">
        <v>950</v>
      </c>
      <c r="C647" s="24" t="s">
        <v>749</v>
      </c>
      <c r="D647" s="23" t="s">
        <v>470</v>
      </c>
      <c r="E647" s="23" t="s">
        <v>333</v>
      </c>
      <c r="F647" s="25" t="s">
        <v>951</v>
      </c>
    </row>
    <row r="648" spans="1:6" ht="30.75" x14ac:dyDescent="0.25">
      <c r="A648" s="27">
        <v>43011</v>
      </c>
      <c r="B648" s="23" t="s">
        <v>952</v>
      </c>
      <c r="C648" s="24" t="s">
        <v>953</v>
      </c>
      <c r="D648" s="23" t="s">
        <v>387</v>
      </c>
      <c r="E648" s="23" t="s">
        <v>333</v>
      </c>
      <c r="F648" s="25" t="s">
        <v>954</v>
      </c>
    </row>
    <row r="649" spans="1:6" x14ac:dyDescent="0.25">
      <c r="A649" s="27">
        <v>43011</v>
      </c>
      <c r="B649" s="23" t="s">
        <v>955</v>
      </c>
      <c r="C649" s="24" t="s">
        <v>6</v>
      </c>
      <c r="D649" s="23" t="s">
        <v>470</v>
      </c>
      <c r="E649" s="23" t="s">
        <v>333</v>
      </c>
      <c r="F649" s="25" t="s">
        <v>603</v>
      </c>
    </row>
    <row r="650" spans="1:6" x14ac:dyDescent="0.25">
      <c r="A650" s="27">
        <v>43011</v>
      </c>
      <c r="B650" s="23" t="s">
        <v>956</v>
      </c>
      <c r="C650" s="24" t="s">
        <v>6</v>
      </c>
      <c r="D650" s="23" t="s">
        <v>439</v>
      </c>
      <c r="E650" s="23" t="s">
        <v>333</v>
      </c>
      <c r="F650" s="25" t="s">
        <v>620</v>
      </c>
    </row>
    <row r="651" spans="1:6" x14ac:dyDescent="0.25">
      <c r="A651" s="27">
        <v>43011</v>
      </c>
      <c r="B651" s="23" t="s">
        <v>957</v>
      </c>
      <c r="C651" s="24" t="s">
        <v>23</v>
      </c>
      <c r="D651" s="23" t="s">
        <v>387</v>
      </c>
      <c r="E651" s="23" t="s">
        <v>333</v>
      </c>
      <c r="F651" s="25" t="s">
        <v>958</v>
      </c>
    </row>
    <row r="652" spans="1:6" ht="30.75" x14ac:dyDescent="0.25">
      <c r="A652" s="27"/>
      <c r="B652" s="23" t="s">
        <v>959</v>
      </c>
      <c r="C652" s="24" t="s">
        <v>960</v>
      </c>
      <c r="D652" s="23" t="s">
        <v>542</v>
      </c>
      <c r="E652" s="23" t="s">
        <v>333</v>
      </c>
      <c r="F652" s="25" t="s">
        <v>882</v>
      </c>
    </row>
    <row r="653" spans="1:6" x14ac:dyDescent="0.25">
      <c r="A653" s="27">
        <v>43012</v>
      </c>
      <c r="B653" s="23" t="s">
        <v>961</v>
      </c>
      <c r="C653" s="24" t="s">
        <v>6</v>
      </c>
      <c r="D653" s="23" t="s">
        <v>470</v>
      </c>
      <c r="E653" s="23" t="s">
        <v>333</v>
      </c>
      <c r="F653" s="25" t="s">
        <v>962</v>
      </c>
    </row>
    <row r="654" spans="1:6" ht="30.75" x14ac:dyDescent="0.25">
      <c r="A654" s="27">
        <v>43012</v>
      </c>
      <c r="B654" s="23" t="s">
        <v>963</v>
      </c>
      <c r="C654" s="24" t="s">
        <v>964</v>
      </c>
      <c r="D654" s="23" t="s">
        <v>438</v>
      </c>
      <c r="E654" s="23" t="s">
        <v>333</v>
      </c>
      <c r="F654" s="25" t="s">
        <v>965</v>
      </c>
    </row>
    <row r="655" spans="1:6" x14ac:dyDescent="0.25">
      <c r="A655" s="27">
        <v>43012</v>
      </c>
      <c r="B655" s="23" t="s">
        <v>966</v>
      </c>
      <c r="C655" s="24" t="s">
        <v>505</v>
      </c>
      <c r="D655" s="23" t="s">
        <v>516</v>
      </c>
      <c r="E655" s="23" t="s">
        <v>333</v>
      </c>
      <c r="F655" s="25" t="s">
        <v>436</v>
      </c>
    </row>
    <row r="656" spans="1:6" ht="30.75" x14ac:dyDescent="0.25">
      <c r="A656" s="27">
        <v>43012</v>
      </c>
      <c r="B656" s="23" t="s">
        <v>848</v>
      </c>
      <c r="C656" s="24" t="s">
        <v>967</v>
      </c>
      <c r="D656" s="23" t="s">
        <v>438</v>
      </c>
      <c r="E656" s="23" t="s">
        <v>333</v>
      </c>
      <c r="F656" s="25" t="s">
        <v>968</v>
      </c>
    </row>
    <row r="657" spans="1:6" x14ac:dyDescent="0.25">
      <c r="A657" s="27">
        <v>43012</v>
      </c>
      <c r="B657" s="23" t="s">
        <v>969</v>
      </c>
      <c r="C657" s="24" t="s">
        <v>91</v>
      </c>
      <c r="D657" s="23" t="s">
        <v>484</v>
      </c>
      <c r="E657" s="23" t="s">
        <v>333</v>
      </c>
      <c r="F657" s="25" t="s">
        <v>970</v>
      </c>
    </row>
    <row r="658" spans="1:6" x14ac:dyDescent="0.25">
      <c r="A658" s="27">
        <v>43012</v>
      </c>
      <c r="B658" s="23" t="s">
        <v>971</v>
      </c>
      <c r="C658" s="24" t="s">
        <v>19</v>
      </c>
      <c r="D658" s="23" t="s">
        <v>438</v>
      </c>
      <c r="E658" s="23" t="s">
        <v>333</v>
      </c>
      <c r="F658" s="25" t="s">
        <v>972</v>
      </c>
    </row>
    <row r="659" spans="1:6" x14ac:dyDescent="0.25">
      <c r="A659" s="27">
        <v>43012</v>
      </c>
      <c r="B659" s="23" t="s">
        <v>973</v>
      </c>
      <c r="C659" s="24" t="s">
        <v>17</v>
      </c>
      <c r="D659" s="23" t="s">
        <v>438</v>
      </c>
      <c r="E659" s="23" t="s">
        <v>333</v>
      </c>
      <c r="F659" s="25" t="s">
        <v>974</v>
      </c>
    </row>
    <row r="660" spans="1:6" x14ac:dyDescent="0.25">
      <c r="A660" s="27">
        <v>43012</v>
      </c>
      <c r="B660" s="23" t="s">
        <v>975</v>
      </c>
      <c r="C660" s="24" t="s">
        <v>17</v>
      </c>
      <c r="D660" s="23" t="s">
        <v>438</v>
      </c>
      <c r="E660" s="23" t="s">
        <v>333</v>
      </c>
      <c r="F660" s="25" t="s">
        <v>478</v>
      </c>
    </row>
    <row r="661" spans="1:6" x14ac:dyDescent="0.25">
      <c r="A661" s="27">
        <v>43012</v>
      </c>
      <c r="B661" s="23" t="s">
        <v>976</v>
      </c>
      <c r="C661" s="24" t="s">
        <v>91</v>
      </c>
      <c r="D661" s="23" t="s">
        <v>438</v>
      </c>
      <c r="E661" s="23" t="s">
        <v>333</v>
      </c>
      <c r="F661" s="25" t="s">
        <v>369</v>
      </c>
    </row>
    <row r="662" spans="1:6" x14ac:dyDescent="0.25">
      <c r="A662" s="27">
        <v>43012</v>
      </c>
      <c r="B662" s="23" t="s">
        <v>977</v>
      </c>
      <c r="C662" s="24" t="s">
        <v>39</v>
      </c>
      <c r="D662" s="10" t="s">
        <v>550</v>
      </c>
      <c r="E662" s="23" t="s">
        <v>333</v>
      </c>
      <c r="F662" s="25" t="s">
        <v>442</v>
      </c>
    </row>
    <row r="663" spans="1:6" x14ac:dyDescent="0.25">
      <c r="A663" s="27">
        <v>43012</v>
      </c>
      <c r="B663" s="23" t="s">
        <v>978</v>
      </c>
      <c r="C663" s="24" t="s">
        <v>17</v>
      </c>
      <c r="D663" s="23" t="s">
        <v>387</v>
      </c>
      <c r="E663" s="23" t="s">
        <v>333</v>
      </c>
      <c r="F663" s="25" t="s">
        <v>979</v>
      </c>
    </row>
    <row r="664" spans="1:6" ht="30.75" x14ac:dyDescent="0.25">
      <c r="A664" s="27">
        <v>43013</v>
      </c>
      <c r="B664" s="23" t="s">
        <v>980</v>
      </c>
      <c r="C664" s="24" t="s">
        <v>981</v>
      </c>
      <c r="D664" s="23" t="s">
        <v>438</v>
      </c>
      <c r="E664" s="23" t="s">
        <v>333</v>
      </c>
      <c r="F664" s="25" t="s">
        <v>982</v>
      </c>
    </row>
    <row r="665" spans="1:6" x14ac:dyDescent="0.25">
      <c r="A665" s="27">
        <v>43014</v>
      </c>
      <c r="B665" s="23" t="s">
        <v>983</v>
      </c>
      <c r="C665" s="24" t="s">
        <v>17</v>
      </c>
      <c r="D665" s="23" t="s">
        <v>380</v>
      </c>
      <c r="E665" s="23" t="s">
        <v>333</v>
      </c>
      <c r="F665" s="25" t="s">
        <v>718</v>
      </c>
    </row>
    <row r="666" spans="1:6" x14ac:dyDescent="0.25">
      <c r="A666" s="27">
        <v>43014</v>
      </c>
      <c r="B666" s="23" t="s">
        <v>984</v>
      </c>
      <c r="C666" s="24" t="s">
        <v>17</v>
      </c>
      <c r="D666" s="23" t="s">
        <v>438</v>
      </c>
      <c r="E666" s="23" t="s">
        <v>333</v>
      </c>
      <c r="F666" s="25" t="s">
        <v>375</v>
      </c>
    </row>
    <row r="667" spans="1:6" x14ac:dyDescent="0.25">
      <c r="A667" s="27">
        <v>43014</v>
      </c>
      <c r="B667" s="23" t="s">
        <v>985</v>
      </c>
      <c r="C667" s="24" t="s">
        <v>986</v>
      </c>
      <c r="D667" s="23" t="s">
        <v>484</v>
      </c>
      <c r="E667" s="23" t="s">
        <v>333</v>
      </c>
      <c r="F667" s="25" t="s">
        <v>519</v>
      </c>
    </row>
    <row r="668" spans="1:6" x14ac:dyDescent="0.25">
      <c r="A668" s="27">
        <v>43014</v>
      </c>
      <c r="B668" s="23" t="s">
        <v>987</v>
      </c>
      <c r="C668" s="24" t="s">
        <v>6</v>
      </c>
      <c r="D668" s="23" t="s">
        <v>438</v>
      </c>
      <c r="E668" s="23" t="s">
        <v>333</v>
      </c>
      <c r="F668" s="25" t="s">
        <v>988</v>
      </c>
    </row>
    <row r="669" spans="1:6" ht="30.75" x14ac:dyDescent="0.25">
      <c r="A669" s="27">
        <v>43014</v>
      </c>
      <c r="B669" s="23" t="s">
        <v>989</v>
      </c>
      <c r="C669" s="24" t="s">
        <v>990</v>
      </c>
      <c r="D669" s="23" t="s">
        <v>438</v>
      </c>
      <c r="E669" s="23" t="s">
        <v>333</v>
      </c>
      <c r="F669" s="25" t="s">
        <v>991</v>
      </c>
    </row>
    <row r="670" spans="1:6" x14ac:dyDescent="0.25">
      <c r="A670" s="27">
        <v>43017</v>
      </c>
      <c r="B670" s="23" t="s">
        <v>921</v>
      </c>
      <c r="C670" s="24" t="s">
        <v>39</v>
      </c>
      <c r="D670" s="23" t="s">
        <v>438</v>
      </c>
      <c r="E670" s="23" t="s">
        <v>333</v>
      </c>
      <c r="F670" s="25" t="s">
        <v>992</v>
      </c>
    </row>
    <row r="671" spans="1:6" x14ac:dyDescent="0.25">
      <c r="A671" s="27">
        <v>43017</v>
      </c>
      <c r="B671" s="23" t="s">
        <v>993</v>
      </c>
      <c r="C671" s="24" t="s">
        <v>80</v>
      </c>
      <c r="D671" s="23" t="s">
        <v>438</v>
      </c>
      <c r="E671" s="23" t="s">
        <v>333</v>
      </c>
      <c r="F671" s="25" t="s">
        <v>994</v>
      </c>
    </row>
    <row r="672" spans="1:6" x14ac:dyDescent="0.25">
      <c r="A672" s="27">
        <v>43018</v>
      </c>
      <c r="B672" s="23" t="s">
        <v>813</v>
      </c>
      <c r="C672" s="24" t="s">
        <v>6</v>
      </c>
      <c r="D672" s="23" t="s">
        <v>438</v>
      </c>
      <c r="E672" s="23" t="s">
        <v>333</v>
      </c>
      <c r="F672" s="25" t="s">
        <v>995</v>
      </c>
    </row>
    <row r="673" spans="1:6" x14ac:dyDescent="0.25">
      <c r="A673" s="27">
        <v>43018</v>
      </c>
      <c r="B673" s="23" t="s">
        <v>857</v>
      </c>
      <c r="C673" s="24" t="s">
        <v>6</v>
      </c>
      <c r="D673" s="23" t="s">
        <v>438</v>
      </c>
      <c r="E673" s="23" t="s">
        <v>333</v>
      </c>
      <c r="F673" s="25" t="s">
        <v>344</v>
      </c>
    </row>
    <row r="674" spans="1:6" x14ac:dyDescent="0.25">
      <c r="A674" s="27">
        <v>43018</v>
      </c>
      <c r="B674" s="23" t="s">
        <v>996</v>
      </c>
      <c r="C674" s="24" t="s">
        <v>19</v>
      </c>
      <c r="D674" s="23" t="s">
        <v>470</v>
      </c>
      <c r="E674" s="23" t="s">
        <v>333</v>
      </c>
      <c r="F674" s="25" t="s">
        <v>997</v>
      </c>
    </row>
    <row r="675" spans="1:6" x14ac:dyDescent="0.25">
      <c r="A675" s="27">
        <v>43018</v>
      </c>
      <c r="B675" s="23" t="s">
        <v>998</v>
      </c>
      <c r="C675" s="24" t="s">
        <v>999</v>
      </c>
      <c r="D675" s="23" t="s">
        <v>438</v>
      </c>
      <c r="E675" s="23" t="s">
        <v>333</v>
      </c>
      <c r="F675" s="25" t="s">
        <v>1000</v>
      </c>
    </row>
    <row r="676" spans="1:6" x14ac:dyDescent="0.25">
      <c r="A676" s="27">
        <v>43018</v>
      </c>
      <c r="B676" s="23" t="s">
        <v>1001</v>
      </c>
      <c r="C676" s="24" t="s">
        <v>906</v>
      </c>
      <c r="D676" s="23" t="s">
        <v>438</v>
      </c>
      <c r="E676" s="23" t="s">
        <v>333</v>
      </c>
      <c r="F676" s="25" t="s">
        <v>641</v>
      </c>
    </row>
    <row r="677" spans="1:6" s="6" customFormat="1" x14ac:dyDescent="0.25">
      <c r="A677" s="27">
        <v>43018</v>
      </c>
      <c r="B677" s="31" t="s">
        <v>1002</v>
      </c>
      <c r="C677" s="32" t="s">
        <v>1005</v>
      </c>
      <c r="D677" s="31" t="s">
        <v>438</v>
      </c>
      <c r="E677" s="31" t="s">
        <v>333</v>
      </c>
      <c r="F677" s="33" t="s">
        <v>1003</v>
      </c>
    </row>
    <row r="678" spans="1:6" x14ac:dyDescent="0.25">
      <c r="A678" s="27">
        <v>43018</v>
      </c>
      <c r="B678" s="23" t="s">
        <v>1004</v>
      </c>
      <c r="C678" s="24" t="s">
        <v>1006</v>
      </c>
      <c r="D678" s="23" t="s">
        <v>406</v>
      </c>
      <c r="E678" s="23" t="s">
        <v>333</v>
      </c>
      <c r="F678" s="25" t="s">
        <v>436</v>
      </c>
    </row>
    <row r="679" spans="1:6" x14ac:dyDescent="0.25">
      <c r="A679" s="27">
        <v>43018</v>
      </c>
      <c r="B679" s="23" t="s">
        <v>1007</v>
      </c>
      <c r="C679" s="24" t="s">
        <v>39</v>
      </c>
      <c r="D679" s="23" t="s">
        <v>387</v>
      </c>
      <c r="E679" s="23" t="s">
        <v>333</v>
      </c>
      <c r="F679" s="25" t="s">
        <v>1008</v>
      </c>
    </row>
    <row r="680" spans="1:6" x14ac:dyDescent="0.25">
      <c r="A680" s="27">
        <v>43018</v>
      </c>
      <c r="B680" s="23" t="s">
        <v>1009</v>
      </c>
      <c r="C680" s="24" t="s">
        <v>1010</v>
      </c>
      <c r="D680" s="23" t="s">
        <v>387</v>
      </c>
      <c r="E680" s="23" t="s">
        <v>333</v>
      </c>
      <c r="F680" s="25" t="s">
        <v>1011</v>
      </c>
    </row>
    <row r="681" spans="1:6" x14ac:dyDescent="0.25">
      <c r="A681" s="27">
        <v>43018</v>
      </c>
      <c r="B681" s="23" t="s">
        <v>1012</v>
      </c>
      <c r="C681" s="24" t="s">
        <v>6</v>
      </c>
      <c r="D681" s="23" t="s">
        <v>334</v>
      </c>
      <c r="E681" s="23" t="s">
        <v>333</v>
      </c>
      <c r="F681" s="25" t="s">
        <v>1013</v>
      </c>
    </row>
    <row r="682" spans="1:6" x14ac:dyDescent="0.25">
      <c r="A682" s="27">
        <v>43018</v>
      </c>
      <c r="B682" s="23" t="s">
        <v>1014</v>
      </c>
      <c r="C682" s="24" t="s">
        <v>91</v>
      </c>
      <c r="D682" s="23" t="s">
        <v>334</v>
      </c>
      <c r="E682" s="23" t="s">
        <v>333</v>
      </c>
      <c r="F682" s="25" t="s">
        <v>1013</v>
      </c>
    </row>
    <row r="683" spans="1:6" ht="30.75" x14ac:dyDescent="0.25">
      <c r="A683" s="27">
        <v>43018</v>
      </c>
      <c r="B683" s="23" t="s">
        <v>1015</v>
      </c>
      <c r="C683" s="24" t="s">
        <v>1016</v>
      </c>
      <c r="D683" s="23" t="s">
        <v>542</v>
      </c>
      <c r="E683" s="23" t="s">
        <v>333</v>
      </c>
      <c r="F683" s="25" t="s">
        <v>1017</v>
      </c>
    </row>
    <row r="684" spans="1:6" x14ac:dyDescent="0.25">
      <c r="A684" s="27">
        <v>43018</v>
      </c>
      <c r="B684" s="23" t="s">
        <v>1018</v>
      </c>
      <c r="C684" s="24" t="s">
        <v>122</v>
      </c>
      <c r="D684" s="10" t="s">
        <v>550</v>
      </c>
      <c r="E684" s="23" t="s">
        <v>333</v>
      </c>
      <c r="F684" s="25" t="s">
        <v>519</v>
      </c>
    </row>
    <row r="685" spans="1:6" x14ac:dyDescent="0.25">
      <c r="A685" s="27">
        <v>43018</v>
      </c>
      <c r="B685" s="23" t="s">
        <v>1019</v>
      </c>
      <c r="C685" s="24" t="s">
        <v>906</v>
      </c>
      <c r="D685" s="23" t="s">
        <v>542</v>
      </c>
      <c r="E685" s="23" t="s">
        <v>333</v>
      </c>
      <c r="F685" s="25" t="s">
        <v>375</v>
      </c>
    </row>
    <row r="686" spans="1:6" x14ac:dyDescent="0.25">
      <c r="A686" s="27">
        <v>43018</v>
      </c>
      <c r="B686" s="23" t="s">
        <v>1020</v>
      </c>
      <c r="C686" s="24" t="s">
        <v>91</v>
      </c>
      <c r="D686" s="23" t="s">
        <v>470</v>
      </c>
      <c r="E686" s="23" t="s">
        <v>333</v>
      </c>
      <c r="F686" s="25" t="s">
        <v>761</v>
      </c>
    </row>
    <row r="687" spans="1:6" x14ac:dyDescent="0.25">
      <c r="A687" s="27">
        <v>43018</v>
      </c>
      <c r="B687" s="23" t="s">
        <v>769</v>
      </c>
      <c r="C687" s="24" t="s">
        <v>680</v>
      </c>
      <c r="D687" s="23" t="s">
        <v>470</v>
      </c>
      <c r="E687" s="23" t="s">
        <v>333</v>
      </c>
      <c r="F687" s="25" t="s">
        <v>1021</v>
      </c>
    </row>
    <row r="688" spans="1:6" x14ac:dyDescent="0.25">
      <c r="A688" s="27">
        <v>43018</v>
      </c>
      <c r="B688" s="23" t="s">
        <v>845</v>
      </c>
      <c r="C688" s="24" t="s">
        <v>680</v>
      </c>
      <c r="D688" s="23" t="s">
        <v>352</v>
      </c>
      <c r="E688" s="23" t="s">
        <v>333</v>
      </c>
      <c r="F688" s="25" t="s">
        <v>609</v>
      </c>
    </row>
    <row r="689" spans="1:6" x14ac:dyDescent="0.25">
      <c r="A689" s="27">
        <v>43018</v>
      </c>
      <c r="B689" s="23" t="s">
        <v>1022</v>
      </c>
      <c r="C689" s="24" t="s">
        <v>17</v>
      </c>
      <c r="D689" s="23" t="s">
        <v>470</v>
      </c>
      <c r="E689" s="23" t="s">
        <v>333</v>
      </c>
      <c r="F689" s="25" t="s">
        <v>1023</v>
      </c>
    </row>
    <row r="690" spans="1:6" x14ac:dyDescent="0.25">
      <c r="A690" s="27">
        <v>43018</v>
      </c>
      <c r="B690" s="23" t="s">
        <v>1024</v>
      </c>
      <c r="C690" s="24" t="s">
        <v>19</v>
      </c>
      <c r="D690" s="23" t="s">
        <v>542</v>
      </c>
      <c r="E690" s="23" t="s">
        <v>333</v>
      </c>
      <c r="F690" s="25" t="s">
        <v>1025</v>
      </c>
    </row>
    <row r="691" spans="1:6" x14ac:dyDescent="0.25">
      <c r="A691" s="27">
        <v>43018</v>
      </c>
      <c r="B691" s="23" t="s">
        <v>1026</v>
      </c>
      <c r="C691" s="24" t="s">
        <v>39</v>
      </c>
      <c r="D691" s="23" t="s">
        <v>470</v>
      </c>
      <c r="E691" s="23" t="s">
        <v>333</v>
      </c>
      <c r="F691" s="25" t="s">
        <v>780</v>
      </c>
    </row>
    <row r="692" spans="1:6" x14ac:dyDescent="0.25">
      <c r="A692" s="27">
        <v>43018</v>
      </c>
      <c r="B692" s="23" t="s">
        <v>758</v>
      </c>
      <c r="C692" s="24" t="s">
        <v>17</v>
      </c>
      <c r="D692" s="23" t="s">
        <v>470</v>
      </c>
      <c r="E692" s="23" t="s">
        <v>333</v>
      </c>
      <c r="F692" s="25" t="s">
        <v>1027</v>
      </c>
    </row>
    <row r="693" spans="1:6" x14ac:dyDescent="0.25">
      <c r="A693" s="27">
        <v>43018</v>
      </c>
      <c r="B693" s="23" t="s">
        <v>699</v>
      </c>
      <c r="C693" s="24" t="s">
        <v>680</v>
      </c>
      <c r="D693" s="23" t="s">
        <v>470</v>
      </c>
      <c r="E693" s="23" t="s">
        <v>333</v>
      </c>
      <c r="F693" s="25" t="s">
        <v>1028</v>
      </c>
    </row>
    <row r="694" spans="1:6" x14ac:dyDescent="0.25">
      <c r="A694" s="27">
        <v>43019</v>
      </c>
      <c r="B694" s="23" t="s">
        <v>889</v>
      </c>
      <c r="C694" s="24" t="s">
        <v>680</v>
      </c>
      <c r="D694" s="23" t="s">
        <v>388</v>
      </c>
      <c r="E694" s="23" t="s">
        <v>333</v>
      </c>
      <c r="F694" s="25" t="s">
        <v>350</v>
      </c>
    </row>
    <row r="695" spans="1:6" x14ac:dyDescent="0.25">
      <c r="A695" s="27">
        <v>43019</v>
      </c>
      <c r="B695" s="23" t="s">
        <v>1029</v>
      </c>
      <c r="C695" s="24" t="s">
        <v>91</v>
      </c>
      <c r="D695" s="23" t="s">
        <v>484</v>
      </c>
      <c r="E695" s="23" t="s">
        <v>1030</v>
      </c>
    </row>
    <row r="696" spans="1:6" x14ac:dyDescent="0.25">
      <c r="A696" s="27">
        <v>43019</v>
      </c>
      <c r="B696" s="23" t="s">
        <v>976</v>
      </c>
      <c r="C696" s="24" t="s">
        <v>602</v>
      </c>
      <c r="D696" s="23" t="s">
        <v>438</v>
      </c>
      <c r="E696" s="23" t="s">
        <v>333</v>
      </c>
      <c r="F696" s="25" t="s">
        <v>1031</v>
      </c>
    </row>
    <row r="697" spans="1:6" x14ac:dyDescent="0.25">
      <c r="A697" s="27">
        <v>43020</v>
      </c>
      <c r="B697" s="23" t="s">
        <v>879</v>
      </c>
      <c r="C697" s="24" t="s">
        <v>680</v>
      </c>
      <c r="D697" s="23" t="s">
        <v>336</v>
      </c>
      <c r="E697" s="23" t="s">
        <v>333</v>
      </c>
      <c r="F697" s="25" t="s">
        <v>878</v>
      </c>
    </row>
    <row r="698" spans="1:6" x14ac:dyDescent="0.25">
      <c r="A698" s="27">
        <v>43020</v>
      </c>
      <c r="B698" s="23" t="s">
        <v>880</v>
      </c>
      <c r="C698" s="24" t="s">
        <v>680</v>
      </c>
      <c r="D698" s="23" t="s">
        <v>486</v>
      </c>
      <c r="E698" s="23" t="s">
        <v>333</v>
      </c>
      <c r="F698" s="25" t="s">
        <v>878</v>
      </c>
    </row>
    <row r="699" spans="1:6" x14ac:dyDescent="0.25">
      <c r="A699" s="27">
        <v>43020</v>
      </c>
      <c r="B699" s="23" t="s">
        <v>1032</v>
      </c>
      <c r="C699" s="24" t="s">
        <v>39</v>
      </c>
      <c r="D699" s="23" t="s">
        <v>470</v>
      </c>
      <c r="E699" s="23" t="s">
        <v>333</v>
      </c>
      <c r="F699" s="25" t="s">
        <v>1033</v>
      </c>
    </row>
    <row r="700" spans="1:6" x14ac:dyDescent="0.25">
      <c r="A700" s="27">
        <v>43020</v>
      </c>
      <c r="B700" s="23" t="s">
        <v>1034</v>
      </c>
      <c r="C700" s="24" t="s">
        <v>6</v>
      </c>
      <c r="D700" s="23" t="s">
        <v>542</v>
      </c>
      <c r="E700" s="23" t="s">
        <v>333</v>
      </c>
      <c r="F700" s="25" t="s">
        <v>761</v>
      </c>
    </row>
    <row r="701" spans="1:6" x14ac:dyDescent="0.25">
      <c r="A701" s="27">
        <v>43020</v>
      </c>
      <c r="B701" s="23" t="s">
        <v>969</v>
      </c>
      <c r="C701" s="24" t="s">
        <v>39</v>
      </c>
      <c r="D701" s="23" t="s">
        <v>484</v>
      </c>
      <c r="E701" s="23" t="s">
        <v>333</v>
      </c>
      <c r="F701" s="25" t="s">
        <v>970</v>
      </c>
    </row>
    <row r="702" spans="1:6" x14ac:dyDescent="0.25">
      <c r="A702" s="27">
        <v>43020</v>
      </c>
      <c r="B702" s="23" t="s">
        <v>1035</v>
      </c>
      <c r="C702" s="24" t="s">
        <v>602</v>
      </c>
      <c r="D702" s="23" t="s">
        <v>438</v>
      </c>
      <c r="E702" s="23" t="s">
        <v>333</v>
      </c>
      <c r="F702" s="25" t="s">
        <v>1036</v>
      </c>
    </row>
    <row r="703" spans="1:6" x14ac:dyDescent="0.25">
      <c r="A703" s="27">
        <v>43021</v>
      </c>
      <c r="B703" s="23" t="s">
        <v>1014</v>
      </c>
      <c r="C703" s="24" t="s">
        <v>680</v>
      </c>
      <c r="D703" s="23" t="s">
        <v>334</v>
      </c>
      <c r="E703" s="23" t="s">
        <v>333</v>
      </c>
      <c r="F703" s="25" t="s">
        <v>946</v>
      </c>
    </row>
    <row r="704" spans="1:6" x14ac:dyDescent="0.25">
      <c r="A704" s="27">
        <v>43021</v>
      </c>
      <c r="B704" s="23" t="s">
        <v>1009</v>
      </c>
      <c r="C704" s="24" t="s">
        <v>680</v>
      </c>
      <c r="D704" s="23" t="s">
        <v>387</v>
      </c>
      <c r="E704" s="23" t="s">
        <v>333</v>
      </c>
      <c r="F704" s="25" t="s">
        <v>1011</v>
      </c>
    </row>
    <row r="705" spans="1:6" x14ac:dyDescent="0.25">
      <c r="A705" s="27">
        <v>43021</v>
      </c>
      <c r="B705" s="23" t="s">
        <v>1037</v>
      </c>
      <c r="C705" s="24" t="s">
        <v>39</v>
      </c>
      <c r="D705" s="23" t="s">
        <v>406</v>
      </c>
      <c r="E705" s="23" t="s">
        <v>333</v>
      </c>
      <c r="F705" s="25" t="s">
        <v>407</v>
      </c>
    </row>
    <row r="706" spans="1:6" x14ac:dyDescent="0.25">
      <c r="A706" s="27">
        <v>43021</v>
      </c>
      <c r="B706" s="23" t="s">
        <v>1038</v>
      </c>
      <c r="C706" s="24" t="s">
        <v>1039</v>
      </c>
      <c r="D706" s="23" t="s">
        <v>470</v>
      </c>
      <c r="E706" s="23" t="s">
        <v>333</v>
      </c>
      <c r="F706" s="25" t="s">
        <v>1040</v>
      </c>
    </row>
    <row r="707" spans="1:6" x14ac:dyDescent="0.25">
      <c r="A707" s="27">
        <v>43021</v>
      </c>
      <c r="B707" s="23" t="s">
        <v>1004</v>
      </c>
      <c r="C707" s="24" t="s">
        <v>39</v>
      </c>
      <c r="D707" s="23" t="s">
        <v>406</v>
      </c>
      <c r="E707" s="23" t="s">
        <v>333</v>
      </c>
      <c r="F707" s="25" t="s">
        <v>436</v>
      </c>
    </row>
    <row r="708" spans="1:6" x14ac:dyDescent="0.25">
      <c r="A708" s="27">
        <v>43021</v>
      </c>
      <c r="B708" s="23" t="s">
        <v>1041</v>
      </c>
      <c r="C708" s="24" t="s">
        <v>19</v>
      </c>
      <c r="D708" s="23" t="s">
        <v>516</v>
      </c>
      <c r="E708" s="23" t="s">
        <v>333</v>
      </c>
      <c r="F708" s="25" t="s">
        <v>339</v>
      </c>
    </row>
    <row r="709" spans="1:6" x14ac:dyDescent="0.25">
      <c r="A709" s="27">
        <v>43021</v>
      </c>
      <c r="B709" s="23" t="s">
        <v>947</v>
      </c>
      <c r="C709" s="24" t="s">
        <v>680</v>
      </c>
      <c r="D709" s="23" t="s">
        <v>387</v>
      </c>
      <c r="E709" s="23" t="s">
        <v>333</v>
      </c>
      <c r="F709" s="25" t="s">
        <v>1042</v>
      </c>
    </row>
    <row r="710" spans="1:6" x14ac:dyDescent="0.25">
      <c r="A710" s="27">
        <v>43021</v>
      </c>
      <c r="B710" s="23" t="s">
        <v>1043</v>
      </c>
      <c r="C710" s="24" t="s">
        <v>19</v>
      </c>
      <c r="D710" s="23" t="s">
        <v>628</v>
      </c>
      <c r="E710" s="23" t="s">
        <v>1044</v>
      </c>
    </row>
    <row r="711" spans="1:6" x14ac:dyDescent="0.25">
      <c r="A711" s="27">
        <v>43021</v>
      </c>
      <c r="B711" s="23" t="s">
        <v>1045</v>
      </c>
      <c r="C711" s="24" t="s">
        <v>17</v>
      </c>
      <c r="D711" s="23" t="s">
        <v>438</v>
      </c>
      <c r="E711" s="23" t="s">
        <v>333</v>
      </c>
      <c r="F711" s="25" t="s">
        <v>399</v>
      </c>
    </row>
    <row r="712" spans="1:6" x14ac:dyDescent="0.25">
      <c r="A712" s="27">
        <v>43021</v>
      </c>
      <c r="B712" s="23" t="s">
        <v>1046</v>
      </c>
      <c r="C712" s="24" t="s">
        <v>91</v>
      </c>
      <c r="D712" s="23" t="s">
        <v>438</v>
      </c>
      <c r="E712" s="23" t="s">
        <v>333</v>
      </c>
      <c r="F712" s="25" t="s">
        <v>394</v>
      </c>
    </row>
    <row r="713" spans="1:6" x14ac:dyDescent="0.25">
      <c r="A713" s="27">
        <v>43021</v>
      </c>
      <c r="B713" s="23" t="s">
        <v>1047</v>
      </c>
      <c r="C713" s="24" t="s">
        <v>39</v>
      </c>
      <c r="D713" s="23" t="s">
        <v>516</v>
      </c>
      <c r="E713" s="23" t="s">
        <v>333</v>
      </c>
      <c r="F713" s="25" t="s">
        <v>1048</v>
      </c>
    </row>
    <row r="714" spans="1:6" x14ac:dyDescent="0.25">
      <c r="A714" s="27">
        <v>43021</v>
      </c>
      <c r="B714" s="23" t="s">
        <v>1049</v>
      </c>
      <c r="C714" s="24" t="s">
        <v>122</v>
      </c>
      <c r="D714" s="23" t="s">
        <v>327</v>
      </c>
      <c r="E714" s="23" t="s">
        <v>333</v>
      </c>
      <c r="F714" s="25" t="s">
        <v>1050</v>
      </c>
    </row>
    <row r="715" spans="1:6" x14ac:dyDescent="0.25">
      <c r="A715" s="27">
        <v>43021</v>
      </c>
      <c r="B715" s="23" t="s">
        <v>1051</v>
      </c>
      <c r="C715" s="24" t="s">
        <v>658</v>
      </c>
      <c r="D715" s="23" t="s">
        <v>438</v>
      </c>
      <c r="E715" s="23" t="s">
        <v>333</v>
      </c>
      <c r="F715" s="25" t="s">
        <v>1036</v>
      </c>
    </row>
    <row r="716" spans="1:6" x14ac:dyDescent="0.25">
      <c r="A716" s="27">
        <v>43021</v>
      </c>
      <c r="B716" s="23" t="s">
        <v>1052</v>
      </c>
      <c r="C716" s="24" t="s">
        <v>17</v>
      </c>
      <c r="D716" s="23" t="s">
        <v>516</v>
      </c>
      <c r="E716" s="23" t="s">
        <v>333</v>
      </c>
      <c r="F716" s="25" t="s">
        <v>530</v>
      </c>
    </row>
    <row r="717" spans="1:6" x14ac:dyDescent="0.25">
      <c r="A717" s="27">
        <v>43021</v>
      </c>
      <c r="B717" s="23" t="s">
        <v>1053</v>
      </c>
      <c r="C717" s="24" t="s">
        <v>91</v>
      </c>
      <c r="D717" s="23" t="s">
        <v>516</v>
      </c>
      <c r="E717" s="23" t="s">
        <v>333</v>
      </c>
      <c r="F717" s="25" t="s">
        <v>1054</v>
      </c>
    </row>
    <row r="718" spans="1:6" x14ac:dyDescent="0.25">
      <c r="A718" s="27">
        <v>43021</v>
      </c>
      <c r="B718" s="23" t="s">
        <v>1015</v>
      </c>
      <c r="C718" s="24" t="s">
        <v>19</v>
      </c>
      <c r="D718" s="23" t="s">
        <v>542</v>
      </c>
      <c r="E718" s="23" t="s">
        <v>333</v>
      </c>
      <c r="F718" s="25" t="s">
        <v>1055</v>
      </c>
    </row>
    <row r="719" spans="1:6" x14ac:dyDescent="0.25">
      <c r="A719" s="27">
        <v>43021</v>
      </c>
      <c r="B719" s="23" t="s">
        <v>1056</v>
      </c>
      <c r="C719" s="24" t="s">
        <v>1057</v>
      </c>
      <c r="D719" s="23" t="s">
        <v>438</v>
      </c>
      <c r="E719" s="23" t="s">
        <v>333</v>
      </c>
      <c r="F719" s="25" t="s">
        <v>350</v>
      </c>
    </row>
    <row r="720" spans="1:6" x14ac:dyDescent="0.25">
      <c r="A720" s="27">
        <v>43025</v>
      </c>
      <c r="B720" s="23" t="s">
        <v>1058</v>
      </c>
      <c r="C720" s="32" t="s">
        <v>1059</v>
      </c>
      <c r="D720" s="23" t="s">
        <v>438</v>
      </c>
      <c r="E720" s="23" t="s">
        <v>333</v>
      </c>
      <c r="F720" s="25" t="s">
        <v>1060</v>
      </c>
    </row>
    <row r="721" spans="1:6" x14ac:dyDescent="0.25">
      <c r="A721" s="27">
        <v>43025</v>
      </c>
      <c r="B721" s="23" t="s">
        <v>1061</v>
      </c>
      <c r="C721" s="24" t="s">
        <v>1062</v>
      </c>
      <c r="D721" s="23" t="s">
        <v>438</v>
      </c>
      <c r="E721" s="23" t="s">
        <v>333</v>
      </c>
      <c r="F721" s="25" t="s">
        <v>641</v>
      </c>
    </row>
    <row r="722" spans="1:6" x14ac:dyDescent="0.25">
      <c r="A722" s="27">
        <v>43025</v>
      </c>
      <c r="B722" s="23" t="s">
        <v>1063</v>
      </c>
      <c r="C722" s="24" t="s">
        <v>6</v>
      </c>
      <c r="D722" s="23" t="s">
        <v>484</v>
      </c>
      <c r="E722" s="23" t="s">
        <v>1030</v>
      </c>
    </row>
    <row r="723" spans="1:6" x14ac:dyDescent="0.25">
      <c r="A723" s="27">
        <v>43025</v>
      </c>
      <c r="B723" s="23" t="s">
        <v>871</v>
      </c>
      <c r="C723" s="24" t="s">
        <v>39</v>
      </c>
      <c r="D723" s="23" t="s">
        <v>486</v>
      </c>
      <c r="E723" s="23" t="s">
        <v>333</v>
      </c>
      <c r="F723" s="25" t="s">
        <v>497</v>
      </c>
    </row>
    <row r="724" spans="1:6" x14ac:dyDescent="0.25">
      <c r="A724" s="27">
        <v>43025</v>
      </c>
      <c r="B724" s="23" t="s">
        <v>1064</v>
      </c>
      <c r="C724" s="24" t="s">
        <v>17</v>
      </c>
      <c r="D724" s="23" t="s">
        <v>406</v>
      </c>
      <c r="E724" s="23" t="s">
        <v>333</v>
      </c>
      <c r="F724" s="25" t="s">
        <v>497</v>
      </c>
    </row>
    <row r="725" spans="1:6" x14ac:dyDescent="0.25">
      <c r="A725" s="27">
        <v>43025</v>
      </c>
      <c r="B725" s="23" t="s">
        <v>1065</v>
      </c>
      <c r="C725" s="24" t="s">
        <v>17</v>
      </c>
      <c r="D725" s="23" t="s">
        <v>387</v>
      </c>
      <c r="E725" s="23" t="s">
        <v>333</v>
      </c>
      <c r="F725" s="25" t="s">
        <v>1066</v>
      </c>
    </row>
    <row r="726" spans="1:6" x14ac:dyDescent="0.25">
      <c r="A726" s="27">
        <v>43025</v>
      </c>
      <c r="B726" s="23" t="s">
        <v>1067</v>
      </c>
      <c r="C726" s="24" t="s">
        <v>1057</v>
      </c>
      <c r="D726" s="23" t="s">
        <v>334</v>
      </c>
      <c r="E726" s="23" t="s">
        <v>333</v>
      </c>
      <c r="F726" s="25" t="s">
        <v>350</v>
      </c>
    </row>
    <row r="727" spans="1:6" x14ac:dyDescent="0.25">
      <c r="A727" s="27">
        <v>43025</v>
      </c>
      <c r="B727" s="23" t="s">
        <v>546</v>
      </c>
      <c r="C727" s="24" t="s">
        <v>1068</v>
      </c>
      <c r="D727" s="23" t="s">
        <v>628</v>
      </c>
      <c r="E727" s="23" t="s">
        <v>333</v>
      </c>
      <c r="F727" s="25" t="s">
        <v>750</v>
      </c>
    </row>
    <row r="728" spans="1:6" ht="30.75" x14ac:dyDescent="0.25">
      <c r="A728" s="27">
        <v>43025</v>
      </c>
      <c r="B728" s="23" t="s">
        <v>1069</v>
      </c>
      <c r="C728" s="24" t="s">
        <v>1071</v>
      </c>
      <c r="D728" s="23" t="s">
        <v>387</v>
      </c>
      <c r="E728" s="23" t="s">
        <v>333</v>
      </c>
      <c r="F728" s="25" t="s">
        <v>1070</v>
      </c>
    </row>
    <row r="729" spans="1:6" x14ac:dyDescent="0.25">
      <c r="A729" s="27">
        <v>43026</v>
      </c>
      <c r="B729" s="23" t="s">
        <v>1072</v>
      </c>
      <c r="C729" s="24" t="s">
        <v>19</v>
      </c>
      <c r="D729" s="23" t="s">
        <v>516</v>
      </c>
      <c r="E729" s="23" t="s">
        <v>333</v>
      </c>
      <c r="F729" s="25" t="s">
        <v>1073</v>
      </c>
    </row>
    <row r="730" spans="1:6" x14ac:dyDescent="0.25">
      <c r="A730" s="27">
        <v>43026</v>
      </c>
      <c r="B730" s="23" t="s">
        <v>1074</v>
      </c>
      <c r="C730" s="24" t="s">
        <v>899</v>
      </c>
      <c r="D730" s="23" t="s">
        <v>438</v>
      </c>
      <c r="E730" s="23" t="s">
        <v>333</v>
      </c>
      <c r="F730" s="25" t="s">
        <v>530</v>
      </c>
    </row>
    <row r="731" spans="1:6" x14ac:dyDescent="0.25">
      <c r="A731" s="27">
        <v>43026</v>
      </c>
      <c r="B731" s="23" t="s">
        <v>1075</v>
      </c>
      <c r="C731" s="24" t="s">
        <v>19</v>
      </c>
      <c r="D731" s="23" t="s">
        <v>516</v>
      </c>
      <c r="E731" s="23" t="s">
        <v>333</v>
      </c>
      <c r="F731" s="25" t="s">
        <v>750</v>
      </c>
    </row>
    <row r="732" spans="1:6" ht="30.75" x14ac:dyDescent="0.25">
      <c r="A732" s="27">
        <v>43026</v>
      </c>
      <c r="B732" s="23" t="s">
        <v>1076</v>
      </c>
      <c r="C732" s="32" t="s">
        <v>1077</v>
      </c>
      <c r="D732" s="23" t="s">
        <v>438</v>
      </c>
      <c r="E732" s="23" t="s">
        <v>333</v>
      </c>
      <c r="F732" s="25" t="s">
        <v>1078</v>
      </c>
    </row>
    <row r="733" spans="1:6" x14ac:dyDescent="0.25">
      <c r="A733" s="27">
        <v>43026</v>
      </c>
      <c r="B733" s="23" t="s">
        <v>985</v>
      </c>
      <c r="C733" s="24" t="s">
        <v>680</v>
      </c>
      <c r="D733" s="23" t="s">
        <v>484</v>
      </c>
      <c r="E733" s="23" t="s">
        <v>333</v>
      </c>
      <c r="F733" s="25" t="s">
        <v>519</v>
      </c>
    </row>
    <row r="734" spans="1:6" x14ac:dyDescent="0.25">
      <c r="A734" s="27">
        <v>43027</v>
      </c>
      <c r="B734" s="23" t="s">
        <v>1079</v>
      </c>
      <c r="C734" s="24" t="s">
        <v>602</v>
      </c>
      <c r="D734" s="23" t="s">
        <v>628</v>
      </c>
      <c r="E734" s="23" t="s">
        <v>333</v>
      </c>
      <c r="F734" s="25" t="s">
        <v>530</v>
      </c>
    </row>
    <row r="735" spans="1:6" x14ac:dyDescent="0.25">
      <c r="A735" s="27">
        <v>43027</v>
      </c>
      <c r="B735" s="23" t="s">
        <v>1080</v>
      </c>
      <c r="C735" s="24" t="s">
        <v>39</v>
      </c>
      <c r="D735" s="23" t="s">
        <v>516</v>
      </c>
      <c r="E735" s="23" t="s">
        <v>333</v>
      </c>
      <c r="F735" s="25" t="s">
        <v>1054</v>
      </c>
    </row>
    <row r="736" spans="1:6" x14ac:dyDescent="0.25">
      <c r="A736" s="27">
        <v>43027</v>
      </c>
      <c r="B736" s="23" t="s">
        <v>1081</v>
      </c>
      <c r="C736" s="24" t="s">
        <v>91</v>
      </c>
      <c r="D736" s="23" t="s">
        <v>438</v>
      </c>
      <c r="E736" s="23" t="s">
        <v>333</v>
      </c>
      <c r="F736" s="25" t="s">
        <v>923</v>
      </c>
    </row>
    <row r="737" spans="1:6" x14ac:dyDescent="0.25">
      <c r="A737" s="27">
        <v>43027</v>
      </c>
      <c r="B737" s="23" t="s">
        <v>1082</v>
      </c>
      <c r="C737" s="24" t="s">
        <v>6</v>
      </c>
      <c r="D737" s="23" t="s">
        <v>438</v>
      </c>
      <c r="E737" s="23" t="s">
        <v>333</v>
      </c>
      <c r="F737" s="25" t="s">
        <v>394</v>
      </c>
    </row>
    <row r="738" spans="1:6" x14ac:dyDescent="0.25">
      <c r="A738" s="27">
        <v>43031</v>
      </c>
      <c r="B738" s="23" t="s">
        <v>1083</v>
      </c>
      <c r="C738" s="24" t="s">
        <v>6</v>
      </c>
      <c r="D738" s="23" t="s">
        <v>438</v>
      </c>
      <c r="E738" s="23" t="s">
        <v>333</v>
      </c>
      <c r="F738" s="25" t="s">
        <v>641</v>
      </c>
    </row>
    <row r="739" spans="1:6" x14ac:dyDescent="0.25">
      <c r="A739" s="27">
        <v>43031</v>
      </c>
      <c r="B739" s="23" t="s">
        <v>1084</v>
      </c>
      <c r="C739" s="24" t="s">
        <v>527</v>
      </c>
      <c r="D739" s="23" t="s">
        <v>438</v>
      </c>
      <c r="E739" s="23" t="s">
        <v>333</v>
      </c>
      <c r="F739" s="25" t="s">
        <v>1085</v>
      </c>
    </row>
    <row r="740" spans="1:6" x14ac:dyDescent="0.25">
      <c r="A740" s="27">
        <v>43031</v>
      </c>
      <c r="B740" s="23" t="s">
        <v>1086</v>
      </c>
      <c r="C740" s="24" t="s">
        <v>6</v>
      </c>
      <c r="D740" s="23" t="s">
        <v>438</v>
      </c>
      <c r="E740" s="23" t="s">
        <v>333</v>
      </c>
      <c r="F740" s="25" t="s">
        <v>1087</v>
      </c>
    </row>
    <row r="741" spans="1:6" x14ac:dyDescent="0.25">
      <c r="A741" s="27">
        <v>43031</v>
      </c>
      <c r="B741" s="23" t="s">
        <v>1088</v>
      </c>
      <c r="C741" s="24" t="s">
        <v>1089</v>
      </c>
      <c r="D741" s="10" t="s">
        <v>550</v>
      </c>
      <c r="E741" s="23" t="s">
        <v>1090</v>
      </c>
    </row>
    <row r="742" spans="1:6" x14ac:dyDescent="0.25">
      <c r="A742" s="27">
        <v>43032</v>
      </c>
      <c r="B742" s="23" t="s">
        <v>179</v>
      </c>
      <c r="C742" s="24" t="s">
        <v>1057</v>
      </c>
      <c r="D742" s="23" t="s">
        <v>438</v>
      </c>
      <c r="E742" s="23" t="s">
        <v>333</v>
      </c>
      <c r="F742" s="25" t="s">
        <v>1091</v>
      </c>
    </row>
    <row r="743" spans="1:6" x14ac:dyDescent="0.25">
      <c r="A743" s="27">
        <v>43032</v>
      </c>
      <c r="B743" s="23" t="s">
        <v>1092</v>
      </c>
      <c r="C743" s="32" t="s">
        <v>1094</v>
      </c>
      <c r="D743" s="23" t="s">
        <v>438</v>
      </c>
      <c r="E743" s="23" t="s">
        <v>333</v>
      </c>
      <c r="F743" s="25" t="s">
        <v>1093</v>
      </c>
    </row>
    <row r="744" spans="1:6" x14ac:dyDescent="0.25">
      <c r="A744" s="27">
        <v>43033</v>
      </c>
      <c r="B744" s="23" t="s">
        <v>1098</v>
      </c>
      <c r="C744" s="34" t="s">
        <v>6</v>
      </c>
      <c r="E744" s="23" t="s">
        <v>1030</v>
      </c>
    </row>
    <row r="745" spans="1:6" x14ac:dyDescent="0.25">
      <c r="A745" s="27">
        <v>43034</v>
      </c>
      <c r="B745" s="23" t="s">
        <v>1095</v>
      </c>
      <c r="C745" s="24" t="s">
        <v>906</v>
      </c>
      <c r="D745" s="23" t="s">
        <v>438</v>
      </c>
      <c r="E745" s="23" t="s">
        <v>333</v>
      </c>
      <c r="F745" s="25" t="s">
        <v>923</v>
      </c>
    </row>
    <row r="746" spans="1:6" x14ac:dyDescent="0.25">
      <c r="A746" s="27">
        <v>43034</v>
      </c>
      <c r="B746" s="23" t="s">
        <v>1096</v>
      </c>
      <c r="C746" s="24" t="s">
        <v>6</v>
      </c>
      <c r="D746" s="23" t="s">
        <v>334</v>
      </c>
      <c r="E746" s="23" t="s">
        <v>333</v>
      </c>
      <c r="F746" s="25" t="s">
        <v>1097</v>
      </c>
    </row>
    <row r="747" spans="1:6" x14ac:dyDescent="0.25">
      <c r="A747" s="27">
        <v>43038</v>
      </c>
      <c r="B747" s="23" t="s">
        <v>1099</v>
      </c>
      <c r="C747" s="24" t="s">
        <v>1100</v>
      </c>
      <c r="D747" s="23" t="s">
        <v>438</v>
      </c>
      <c r="E747" s="23" t="s">
        <v>333</v>
      </c>
      <c r="F747" s="25" t="s">
        <v>1101</v>
      </c>
    </row>
    <row r="748" spans="1:6" ht="30.75" x14ac:dyDescent="0.25">
      <c r="A748" s="27">
        <v>43039</v>
      </c>
      <c r="B748" s="23" t="s">
        <v>1102</v>
      </c>
      <c r="C748" s="24" t="s">
        <v>1103</v>
      </c>
    </row>
    <row r="749" spans="1:6" x14ac:dyDescent="0.25">
      <c r="A749" s="27">
        <v>43039</v>
      </c>
      <c r="B749" s="23" t="s">
        <v>1104</v>
      </c>
      <c r="C749" s="24" t="s">
        <v>180</v>
      </c>
      <c r="D749" s="23" t="s">
        <v>438</v>
      </c>
      <c r="E749" s="23" t="s">
        <v>333</v>
      </c>
      <c r="F749" s="25" t="s">
        <v>1105</v>
      </c>
    </row>
    <row r="750" spans="1:6" x14ac:dyDescent="0.25">
      <c r="A750" s="27">
        <v>43039</v>
      </c>
      <c r="B750" s="23" t="s">
        <v>1106</v>
      </c>
      <c r="C750" s="24" t="s">
        <v>6</v>
      </c>
      <c r="D750" s="23" t="s">
        <v>334</v>
      </c>
      <c r="E750" s="23" t="s">
        <v>333</v>
      </c>
      <c r="F750" s="25" t="s">
        <v>931</v>
      </c>
    </row>
    <row r="751" spans="1:6" x14ac:dyDescent="0.25">
      <c r="A751" s="27">
        <v>43039</v>
      </c>
      <c r="B751" s="23" t="s">
        <v>1107</v>
      </c>
      <c r="C751" s="24" t="s">
        <v>1108</v>
      </c>
      <c r="D751" s="23" t="s">
        <v>406</v>
      </c>
      <c r="E751" s="23" t="s">
        <v>333</v>
      </c>
      <c r="F751" s="25" t="s">
        <v>436</v>
      </c>
    </row>
    <row r="752" spans="1:6" x14ac:dyDescent="0.25">
      <c r="A752" s="27">
        <v>43039</v>
      </c>
      <c r="B752" s="23" t="s">
        <v>1109</v>
      </c>
      <c r="C752" s="24" t="s">
        <v>1110</v>
      </c>
      <c r="D752" s="23" t="s">
        <v>438</v>
      </c>
      <c r="E752" s="23" t="s">
        <v>333</v>
      </c>
      <c r="F752" s="25" t="s">
        <v>807</v>
      </c>
    </row>
    <row r="753" spans="1:6" x14ac:dyDescent="0.25">
      <c r="A753" s="27">
        <v>43039</v>
      </c>
      <c r="B753" s="23" t="s">
        <v>1111</v>
      </c>
      <c r="C753" s="24" t="s">
        <v>17</v>
      </c>
      <c r="D753" s="23" t="s">
        <v>438</v>
      </c>
      <c r="E753" s="23" t="s">
        <v>333</v>
      </c>
      <c r="F753" s="25" t="s">
        <v>1112</v>
      </c>
    </row>
    <row r="754" spans="1:6" ht="30.75" x14ac:dyDescent="0.25">
      <c r="A754" s="27">
        <v>43039</v>
      </c>
      <c r="B754" s="23" t="s">
        <v>1113</v>
      </c>
      <c r="C754" s="24" t="s">
        <v>1114</v>
      </c>
      <c r="D754" s="23" t="s">
        <v>438</v>
      </c>
      <c r="E754" s="23" t="s">
        <v>333</v>
      </c>
      <c r="F754" s="25" t="s">
        <v>399</v>
      </c>
    </row>
    <row r="755" spans="1:6" x14ac:dyDescent="0.25">
      <c r="A755" s="27">
        <v>43039</v>
      </c>
      <c r="B755" s="23" t="s">
        <v>1115</v>
      </c>
      <c r="C755" s="24" t="s">
        <v>6</v>
      </c>
      <c r="D755" s="23" t="s">
        <v>438</v>
      </c>
      <c r="E755" s="23" t="s">
        <v>333</v>
      </c>
      <c r="F755" s="25" t="s">
        <v>399</v>
      </c>
    </row>
    <row r="756" spans="1:6" x14ac:dyDescent="0.25">
      <c r="A756" s="27">
        <v>43039</v>
      </c>
      <c r="B756" s="23" t="s">
        <v>1116</v>
      </c>
      <c r="C756" s="24" t="s">
        <v>6</v>
      </c>
      <c r="D756" s="23" t="s">
        <v>438</v>
      </c>
      <c r="E756" s="23" t="s">
        <v>333</v>
      </c>
      <c r="F756" s="25" t="s">
        <v>1117</v>
      </c>
    </row>
    <row r="757" spans="1:6" x14ac:dyDescent="0.25">
      <c r="A757" s="27">
        <v>43039</v>
      </c>
      <c r="B757" s="23" t="s">
        <v>1118</v>
      </c>
      <c r="C757" s="24" t="s">
        <v>6</v>
      </c>
      <c r="D757" s="23" t="s">
        <v>334</v>
      </c>
      <c r="E757" s="23" t="s">
        <v>333</v>
      </c>
      <c r="F757" s="25" t="s">
        <v>1119</v>
      </c>
    </row>
    <row r="758" spans="1:6" x14ac:dyDescent="0.25">
      <c r="A758" s="27">
        <v>43039</v>
      </c>
      <c r="B758" s="23" t="s">
        <v>1120</v>
      </c>
      <c r="C758" s="24" t="s">
        <v>17</v>
      </c>
      <c r="D758" s="23" t="s">
        <v>438</v>
      </c>
      <c r="E758" s="23" t="s">
        <v>333</v>
      </c>
      <c r="F758" s="25" t="s">
        <v>1119</v>
      </c>
    </row>
    <row r="759" spans="1:6" x14ac:dyDescent="0.25">
      <c r="A759" s="27">
        <v>43039</v>
      </c>
      <c r="B759" s="23" t="s">
        <v>1121</v>
      </c>
      <c r="C759" s="24" t="s">
        <v>17</v>
      </c>
      <c r="D759" s="23" t="s">
        <v>441</v>
      </c>
      <c r="E759" s="23" t="s">
        <v>333</v>
      </c>
      <c r="F759" s="25" t="s">
        <v>718</v>
      </c>
    </row>
    <row r="760" spans="1:6" x14ac:dyDescent="0.25">
      <c r="A760" s="27">
        <v>43039</v>
      </c>
      <c r="B760" s="23" t="s">
        <v>1076</v>
      </c>
      <c r="C760" s="24" t="s">
        <v>17</v>
      </c>
      <c r="D760" s="23" t="s">
        <v>334</v>
      </c>
      <c r="E760" s="23" t="s">
        <v>333</v>
      </c>
      <c r="F760" s="25" t="s">
        <v>942</v>
      </c>
    </row>
    <row r="761" spans="1:6" x14ac:dyDescent="0.25">
      <c r="A761" s="27">
        <v>43039</v>
      </c>
      <c r="B761" s="23" t="s">
        <v>1122</v>
      </c>
      <c r="C761" s="24" t="s">
        <v>19</v>
      </c>
      <c r="D761" s="23" t="s">
        <v>406</v>
      </c>
      <c r="E761" s="23" t="s">
        <v>333</v>
      </c>
      <c r="F761" s="25" t="s">
        <v>1123</v>
      </c>
    </row>
    <row r="762" spans="1:6" x14ac:dyDescent="0.25">
      <c r="A762" s="27">
        <v>43040</v>
      </c>
      <c r="B762" s="23" t="s">
        <v>1124</v>
      </c>
      <c r="C762" s="24" t="s">
        <v>6</v>
      </c>
      <c r="D762" s="10" t="s">
        <v>550</v>
      </c>
      <c r="E762" s="23" t="s">
        <v>333</v>
      </c>
      <c r="F762" s="25" t="s">
        <v>346</v>
      </c>
    </row>
    <row r="763" spans="1:6" ht="30.75" x14ac:dyDescent="0.25">
      <c r="A763" s="27">
        <v>43040</v>
      </c>
      <c r="B763" s="23" t="s">
        <v>1125</v>
      </c>
      <c r="C763" s="24" t="s">
        <v>749</v>
      </c>
      <c r="D763" s="23" t="s">
        <v>334</v>
      </c>
      <c r="E763" s="23" t="s">
        <v>333</v>
      </c>
      <c r="F763" s="25" t="s">
        <v>1126</v>
      </c>
    </row>
    <row r="764" spans="1:6" ht="30.75" x14ac:dyDescent="0.25">
      <c r="A764" s="27">
        <v>43041</v>
      </c>
      <c r="B764" s="23" t="s">
        <v>1127</v>
      </c>
      <c r="C764" s="24" t="s">
        <v>444</v>
      </c>
      <c r="D764" s="23" t="s">
        <v>406</v>
      </c>
      <c r="E764" s="23" t="s">
        <v>333</v>
      </c>
      <c r="F764" s="25" t="s">
        <v>346</v>
      </c>
    </row>
    <row r="765" spans="1:6" x14ac:dyDescent="0.25">
      <c r="A765" s="27">
        <v>43041</v>
      </c>
      <c r="B765" s="23" t="s">
        <v>1128</v>
      </c>
      <c r="C765" s="24" t="s">
        <v>17</v>
      </c>
    </row>
    <row r="766" spans="1:6" x14ac:dyDescent="0.25">
      <c r="A766" s="27">
        <v>43041</v>
      </c>
      <c r="B766" s="23" t="s">
        <v>1129</v>
      </c>
      <c r="C766" s="24" t="s">
        <v>6</v>
      </c>
      <c r="D766" s="23" t="s">
        <v>628</v>
      </c>
      <c r="E766" s="23" t="s">
        <v>333</v>
      </c>
      <c r="F766" s="25" t="s">
        <v>1130</v>
      </c>
    </row>
    <row r="767" spans="1:6" x14ac:dyDescent="0.25">
      <c r="A767" s="27">
        <v>43041</v>
      </c>
      <c r="B767" s="23" t="s">
        <v>1131</v>
      </c>
      <c r="C767" s="24" t="s">
        <v>6</v>
      </c>
      <c r="D767" s="23" t="s">
        <v>438</v>
      </c>
      <c r="E767" s="23" t="s">
        <v>333</v>
      </c>
      <c r="F767" s="25" t="s">
        <v>1132</v>
      </c>
    </row>
    <row r="768" spans="1:6" x14ac:dyDescent="0.25">
      <c r="A768" s="27">
        <v>43041</v>
      </c>
      <c r="B768" s="23" t="s">
        <v>1133</v>
      </c>
      <c r="C768" s="24" t="s">
        <v>39</v>
      </c>
      <c r="D768" s="23" t="s">
        <v>357</v>
      </c>
      <c r="E768" s="23" t="s">
        <v>333</v>
      </c>
      <c r="F768" s="25" t="s">
        <v>1134</v>
      </c>
    </row>
    <row r="769" spans="1:6" x14ac:dyDescent="0.25">
      <c r="A769" s="27">
        <v>43042</v>
      </c>
      <c r="B769" s="23" t="s">
        <v>1135</v>
      </c>
      <c r="C769" s="24" t="s">
        <v>6</v>
      </c>
      <c r="D769" s="23" t="s">
        <v>438</v>
      </c>
      <c r="E769" s="23" t="s">
        <v>333</v>
      </c>
      <c r="F769" s="25" t="s">
        <v>1136</v>
      </c>
    </row>
    <row r="770" spans="1:6" x14ac:dyDescent="0.25">
      <c r="A770" s="27">
        <v>43042</v>
      </c>
      <c r="B770" s="23" t="s">
        <v>1137</v>
      </c>
      <c r="C770" s="24" t="s">
        <v>91</v>
      </c>
      <c r="D770" s="23" t="s">
        <v>486</v>
      </c>
      <c r="E770" s="23" t="s">
        <v>333</v>
      </c>
      <c r="F770" s="25" t="s">
        <v>497</v>
      </c>
    </row>
    <row r="771" spans="1:6" x14ac:dyDescent="0.25">
      <c r="A771" s="27">
        <v>43042</v>
      </c>
      <c r="B771" s="31" t="s">
        <v>1138</v>
      </c>
      <c r="C771" s="32" t="s">
        <v>1139</v>
      </c>
      <c r="D771" s="31" t="s">
        <v>438</v>
      </c>
      <c r="E771" s="31" t="s">
        <v>333</v>
      </c>
      <c r="F771" s="33" t="s">
        <v>1140</v>
      </c>
    </row>
    <row r="772" spans="1:6" x14ac:dyDescent="0.25">
      <c r="A772" s="27">
        <v>43042</v>
      </c>
      <c r="B772" s="23" t="s">
        <v>1141</v>
      </c>
      <c r="C772" s="24" t="s">
        <v>241</v>
      </c>
      <c r="D772" s="23" t="s">
        <v>486</v>
      </c>
      <c r="E772" s="23" t="s">
        <v>333</v>
      </c>
      <c r="F772" s="25" t="s">
        <v>497</v>
      </c>
    </row>
    <row r="773" spans="1:6" x14ac:dyDescent="0.25">
      <c r="A773" s="27">
        <v>43042</v>
      </c>
      <c r="B773" s="23" t="s">
        <v>191</v>
      </c>
      <c r="C773" s="24" t="s">
        <v>19</v>
      </c>
      <c r="D773" s="23" t="s">
        <v>486</v>
      </c>
      <c r="E773" s="23" t="s">
        <v>333</v>
      </c>
      <c r="F773" s="25" t="s">
        <v>497</v>
      </c>
    </row>
    <row r="774" spans="1:6" x14ac:dyDescent="0.25">
      <c r="A774" s="30">
        <v>43046</v>
      </c>
      <c r="B774" s="31" t="s">
        <v>1142</v>
      </c>
      <c r="C774" s="32" t="s">
        <v>39</v>
      </c>
      <c r="D774" s="31" t="s">
        <v>406</v>
      </c>
      <c r="E774" s="31" t="s">
        <v>333</v>
      </c>
      <c r="F774" s="33" t="s">
        <v>344</v>
      </c>
    </row>
    <row r="775" spans="1:6" x14ac:dyDescent="0.25">
      <c r="A775" s="30">
        <v>43046</v>
      </c>
      <c r="B775" s="31" t="s">
        <v>7</v>
      </c>
      <c r="C775" s="32" t="s">
        <v>39</v>
      </c>
      <c r="D775" s="31" t="s">
        <v>406</v>
      </c>
      <c r="E775" s="31" t="s">
        <v>333</v>
      </c>
      <c r="F775" s="33" t="s">
        <v>344</v>
      </c>
    </row>
    <row r="776" spans="1:6" x14ac:dyDescent="0.25">
      <c r="A776" s="30">
        <v>43046</v>
      </c>
      <c r="B776" s="31" t="s">
        <v>1143</v>
      </c>
      <c r="C776" s="32" t="s">
        <v>39</v>
      </c>
      <c r="D776" s="31" t="s">
        <v>486</v>
      </c>
      <c r="E776" s="31" t="s">
        <v>333</v>
      </c>
      <c r="F776" s="33" t="s">
        <v>1021</v>
      </c>
    </row>
    <row r="777" spans="1:6" x14ac:dyDescent="0.25">
      <c r="A777" s="27">
        <v>43046</v>
      </c>
      <c r="B777" s="23" t="s">
        <v>1144</v>
      </c>
      <c r="C777" s="24" t="s">
        <v>91</v>
      </c>
      <c r="D777" s="10" t="s">
        <v>550</v>
      </c>
      <c r="E777" s="23" t="s">
        <v>333</v>
      </c>
      <c r="F777" s="25" t="s">
        <v>399</v>
      </c>
    </row>
    <row r="778" spans="1:6" x14ac:dyDescent="0.25">
      <c r="A778" s="27">
        <v>43046</v>
      </c>
      <c r="B778" s="23" t="s">
        <v>1145</v>
      </c>
      <c r="C778" s="24" t="s">
        <v>17</v>
      </c>
      <c r="D778" s="23" t="s">
        <v>441</v>
      </c>
      <c r="E778" s="23" t="s">
        <v>333</v>
      </c>
      <c r="F778" s="25" t="s">
        <v>519</v>
      </c>
    </row>
    <row r="779" spans="1:6" x14ac:dyDescent="0.25">
      <c r="A779" s="27">
        <v>43046</v>
      </c>
      <c r="B779" s="23" t="s">
        <v>1146</v>
      </c>
      <c r="C779" s="24" t="s">
        <v>19</v>
      </c>
      <c r="D779" s="23" t="s">
        <v>486</v>
      </c>
      <c r="E779" s="23" t="s">
        <v>333</v>
      </c>
      <c r="F779" s="25" t="s">
        <v>1147</v>
      </c>
    </row>
    <row r="780" spans="1:6" x14ac:dyDescent="0.25">
      <c r="A780" s="27">
        <v>43046</v>
      </c>
      <c r="B780" s="23" t="s">
        <v>1148</v>
      </c>
      <c r="C780" s="24" t="s">
        <v>6</v>
      </c>
      <c r="D780" s="23" t="s">
        <v>441</v>
      </c>
      <c r="E780" s="23" t="s">
        <v>333</v>
      </c>
      <c r="F780" s="25" t="s">
        <v>1149</v>
      </c>
    </row>
    <row r="781" spans="1:6" x14ac:dyDescent="0.25">
      <c r="A781" s="27">
        <v>43046</v>
      </c>
      <c r="B781" s="23" t="s">
        <v>1150</v>
      </c>
      <c r="C781" s="24" t="s">
        <v>19</v>
      </c>
      <c r="D781" s="23" t="s">
        <v>441</v>
      </c>
      <c r="E781" s="23" t="s">
        <v>333</v>
      </c>
      <c r="F781" s="25" t="s">
        <v>920</v>
      </c>
    </row>
    <row r="782" spans="1:6" x14ac:dyDescent="0.25">
      <c r="A782" s="27">
        <v>43046</v>
      </c>
      <c r="B782" s="23" t="s">
        <v>1151</v>
      </c>
      <c r="C782" s="24" t="s">
        <v>17</v>
      </c>
      <c r="D782" s="23" t="s">
        <v>441</v>
      </c>
      <c r="E782" s="23" t="s">
        <v>333</v>
      </c>
      <c r="F782" s="25" t="s">
        <v>399</v>
      </c>
    </row>
    <row r="783" spans="1:6" x14ac:dyDescent="0.25">
      <c r="A783" s="27">
        <v>43047</v>
      </c>
      <c r="B783" s="23" t="s">
        <v>1152</v>
      </c>
      <c r="C783" s="24" t="s">
        <v>1062</v>
      </c>
      <c r="D783" s="23" t="s">
        <v>327</v>
      </c>
      <c r="E783" s="23" t="s">
        <v>333</v>
      </c>
      <c r="F783" s="25" t="s">
        <v>1153</v>
      </c>
    </row>
    <row r="784" spans="1:6" x14ac:dyDescent="0.25">
      <c r="A784" s="27">
        <v>43047</v>
      </c>
      <c r="B784" s="23" t="s">
        <v>1154</v>
      </c>
      <c r="C784" s="24" t="s">
        <v>6</v>
      </c>
      <c r="D784" s="23" t="s">
        <v>438</v>
      </c>
      <c r="E784" s="23" t="s">
        <v>333</v>
      </c>
      <c r="F784" s="25" t="s">
        <v>399</v>
      </c>
    </row>
    <row r="785" spans="1:6" x14ac:dyDescent="0.25">
      <c r="A785" s="27">
        <v>43048</v>
      </c>
      <c r="B785" s="23" t="s">
        <v>1155</v>
      </c>
      <c r="C785" s="24" t="s">
        <v>17</v>
      </c>
      <c r="D785" s="23" t="s">
        <v>486</v>
      </c>
      <c r="E785" s="23" t="s">
        <v>333</v>
      </c>
      <c r="F785" s="25" t="s">
        <v>591</v>
      </c>
    </row>
    <row r="786" spans="1:6" x14ac:dyDescent="0.25">
      <c r="A786" s="27">
        <v>43048</v>
      </c>
      <c r="B786" s="23" t="s">
        <v>1156</v>
      </c>
      <c r="C786" s="24" t="s">
        <v>1157</v>
      </c>
      <c r="D786" s="23" t="s">
        <v>528</v>
      </c>
      <c r="E786" s="23" t="s">
        <v>1158</v>
      </c>
    </row>
    <row r="787" spans="1:6" x14ac:dyDescent="0.25">
      <c r="A787" s="27">
        <v>43049</v>
      </c>
      <c r="B787" s="23" t="s">
        <v>1159</v>
      </c>
      <c r="C787" s="24" t="s">
        <v>1160</v>
      </c>
      <c r="D787" s="23" t="s">
        <v>413</v>
      </c>
      <c r="E787" s="23" t="s">
        <v>333</v>
      </c>
      <c r="F787" s="25" t="s">
        <v>1161</v>
      </c>
    </row>
    <row r="788" spans="1:6" x14ac:dyDescent="0.25">
      <c r="A788" s="27">
        <v>43049</v>
      </c>
      <c r="B788" s="23" t="s">
        <v>1162</v>
      </c>
      <c r="C788" s="24" t="s">
        <v>6</v>
      </c>
      <c r="D788" s="23" t="s">
        <v>406</v>
      </c>
      <c r="E788" s="23" t="s">
        <v>333</v>
      </c>
      <c r="F788" s="25" t="s">
        <v>918</v>
      </c>
    </row>
    <row r="789" spans="1:6" x14ac:dyDescent="0.25">
      <c r="A789" s="27">
        <v>43053</v>
      </c>
      <c r="B789" s="23" t="s">
        <v>1163</v>
      </c>
      <c r="C789" s="24" t="s">
        <v>6</v>
      </c>
      <c r="D789" s="23" t="s">
        <v>336</v>
      </c>
      <c r="E789" s="23" t="s">
        <v>333</v>
      </c>
      <c r="F789" s="25" t="s">
        <v>1130</v>
      </c>
    </row>
    <row r="790" spans="1:6" x14ac:dyDescent="0.25">
      <c r="A790" s="27">
        <v>43053</v>
      </c>
      <c r="B790" s="23" t="s">
        <v>1164</v>
      </c>
      <c r="C790" s="24" t="s">
        <v>19</v>
      </c>
      <c r="D790" s="23" t="s">
        <v>413</v>
      </c>
      <c r="E790" s="23" t="s">
        <v>333</v>
      </c>
      <c r="F790" s="25" t="s">
        <v>350</v>
      </c>
    </row>
    <row r="791" spans="1:6" ht="30.75" x14ac:dyDescent="0.25">
      <c r="A791" s="27">
        <v>43053</v>
      </c>
      <c r="B791" s="23" t="s">
        <v>1165</v>
      </c>
      <c r="C791" s="24" t="s">
        <v>1166</v>
      </c>
      <c r="D791" s="23" t="s">
        <v>438</v>
      </c>
      <c r="E791" s="23" t="s">
        <v>333</v>
      </c>
      <c r="F791" s="25" t="s">
        <v>350</v>
      </c>
    </row>
    <row r="792" spans="1:6" x14ac:dyDescent="0.25">
      <c r="A792" s="27">
        <v>43053</v>
      </c>
      <c r="B792" s="23" t="s">
        <v>1167</v>
      </c>
      <c r="C792" s="24" t="s">
        <v>19</v>
      </c>
      <c r="D792" s="23" t="s">
        <v>516</v>
      </c>
      <c r="E792" s="23" t="s">
        <v>333</v>
      </c>
      <c r="F792" s="25" t="s">
        <v>1168</v>
      </c>
    </row>
    <row r="793" spans="1:6" x14ac:dyDescent="0.25">
      <c r="A793" s="27">
        <v>43053</v>
      </c>
      <c r="B793" s="23" t="s">
        <v>1169</v>
      </c>
      <c r="C793" s="24" t="s">
        <v>91</v>
      </c>
      <c r="D793" s="23" t="s">
        <v>327</v>
      </c>
      <c r="E793" s="23" t="s">
        <v>333</v>
      </c>
      <c r="F793" s="25" t="s">
        <v>1170</v>
      </c>
    </row>
    <row r="794" spans="1:6" x14ac:dyDescent="0.25">
      <c r="A794" s="27">
        <v>43053</v>
      </c>
      <c r="B794" s="23" t="s">
        <v>1171</v>
      </c>
      <c r="C794" s="24" t="s">
        <v>6</v>
      </c>
      <c r="D794" s="23" t="s">
        <v>438</v>
      </c>
      <c r="E794" s="23" t="s">
        <v>333</v>
      </c>
      <c r="F794" s="25" t="s">
        <v>1172</v>
      </c>
    </row>
    <row r="795" spans="1:6" x14ac:dyDescent="0.25">
      <c r="A795" s="27">
        <v>43053</v>
      </c>
      <c r="B795" s="23" t="s">
        <v>1173</v>
      </c>
      <c r="C795" s="24" t="s">
        <v>19</v>
      </c>
      <c r="D795" s="23" t="s">
        <v>438</v>
      </c>
      <c r="E795" s="23" t="s">
        <v>333</v>
      </c>
      <c r="F795" s="25" t="s">
        <v>1132</v>
      </c>
    </row>
    <row r="796" spans="1:6" x14ac:dyDescent="0.25">
      <c r="A796" s="27">
        <v>43053</v>
      </c>
      <c r="B796" s="23" t="s">
        <v>1174</v>
      </c>
      <c r="C796" s="24" t="s">
        <v>6</v>
      </c>
      <c r="D796" s="23" t="s">
        <v>438</v>
      </c>
      <c r="E796" s="23" t="s">
        <v>333</v>
      </c>
      <c r="F796" s="25" t="s">
        <v>1175</v>
      </c>
    </row>
    <row r="797" spans="1:6" x14ac:dyDescent="0.25">
      <c r="A797" s="27">
        <v>43053</v>
      </c>
      <c r="B797" s="23" t="s">
        <v>1176</v>
      </c>
      <c r="C797" s="24" t="s">
        <v>6</v>
      </c>
      <c r="D797" s="23" t="s">
        <v>380</v>
      </c>
      <c r="E797" s="23" t="s">
        <v>333</v>
      </c>
      <c r="F797" s="25" t="s">
        <v>1177</v>
      </c>
    </row>
    <row r="798" spans="1:6" x14ac:dyDescent="0.25">
      <c r="A798" s="27">
        <v>43053</v>
      </c>
      <c r="B798" s="23" t="s">
        <v>1178</v>
      </c>
      <c r="C798" s="24" t="s">
        <v>1179</v>
      </c>
      <c r="D798" s="23" t="s">
        <v>380</v>
      </c>
      <c r="E798" s="23" t="s">
        <v>333</v>
      </c>
      <c r="F798" s="25" t="s">
        <v>430</v>
      </c>
    </row>
    <row r="799" spans="1:6" x14ac:dyDescent="0.25">
      <c r="A799" s="27">
        <v>43053</v>
      </c>
      <c r="B799" s="23" t="s">
        <v>1180</v>
      </c>
      <c r="C799" s="24" t="s">
        <v>80</v>
      </c>
      <c r="D799" s="23" t="s">
        <v>336</v>
      </c>
      <c r="E799" s="23" t="s">
        <v>333</v>
      </c>
      <c r="F799" s="25" t="s">
        <v>1181</v>
      </c>
    </row>
    <row r="800" spans="1:6" x14ac:dyDescent="0.25">
      <c r="A800" s="27">
        <v>43054</v>
      </c>
      <c r="B800" s="23" t="s">
        <v>1182</v>
      </c>
      <c r="C800" s="24" t="s">
        <v>6</v>
      </c>
      <c r="D800" s="23" t="s">
        <v>438</v>
      </c>
      <c r="E800" s="23" t="s">
        <v>333</v>
      </c>
      <c r="F800" s="25" t="s">
        <v>421</v>
      </c>
    </row>
    <row r="801" spans="1:6" x14ac:dyDescent="0.25">
      <c r="A801" s="27">
        <v>43054</v>
      </c>
      <c r="B801" s="23" t="s">
        <v>1183</v>
      </c>
      <c r="C801" s="24" t="s">
        <v>91</v>
      </c>
      <c r="D801" s="23" t="s">
        <v>438</v>
      </c>
      <c r="E801" s="23" t="s">
        <v>333</v>
      </c>
      <c r="F801" s="25" t="s">
        <v>346</v>
      </c>
    </row>
    <row r="802" spans="1:6" x14ac:dyDescent="0.25">
      <c r="A802" s="27">
        <v>43054</v>
      </c>
      <c r="B802" s="23" t="s">
        <v>1137</v>
      </c>
      <c r="C802" s="24" t="s">
        <v>39</v>
      </c>
      <c r="D802" s="23" t="s">
        <v>486</v>
      </c>
      <c r="E802" s="23" t="s">
        <v>333</v>
      </c>
      <c r="F802" s="25" t="s">
        <v>497</v>
      </c>
    </row>
    <row r="803" spans="1:6" x14ac:dyDescent="0.25">
      <c r="A803" s="27">
        <v>43054</v>
      </c>
      <c r="B803" s="24" t="s">
        <v>1144</v>
      </c>
      <c r="C803" s="24" t="s">
        <v>39</v>
      </c>
      <c r="D803" s="23" t="s">
        <v>550</v>
      </c>
      <c r="E803" s="23" t="s">
        <v>333</v>
      </c>
      <c r="F803" s="25" t="s">
        <v>399</v>
      </c>
    </row>
    <row r="804" spans="1:6" x14ac:dyDescent="0.25">
      <c r="A804" s="27">
        <v>43054</v>
      </c>
      <c r="B804" s="23" t="s">
        <v>1184</v>
      </c>
      <c r="C804" s="24" t="s">
        <v>17</v>
      </c>
      <c r="D804" s="23" t="s">
        <v>438</v>
      </c>
      <c r="E804" s="23" t="s">
        <v>333</v>
      </c>
      <c r="F804" s="25" t="s">
        <v>394</v>
      </c>
    </row>
    <row r="805" spans="1:6" x14ac:dyDescent="0.25">
      <c r="A805" s="27">
        <v>43055</v>
      </c>
      <c r="B805" s="23" t="s">
        <v>1185</v>
      </c>
      <c r="C805" s="24" t="s">
        <v>17</v>
      </c>
      <c r="D805" s="23" t="s">
        <v>438</v>
      </c>
      <c r="E805" s="23" t="s">
        <v>333</v>
      </c>
      <c r="F805" s="25" t="s">
        <v>339</v>
      </c>
    </row>
    <row r="806" spans="1:6" x14ac:dyDescent="0.25">
      <c r="A806" s="27">
        <v>43055</v>
      </c>
      <c r="B806" s="23" t="s">
        <v>1186</v>
      </c>
      <c r="C806" s="24" t="s">
        <v>19</v>
      </c>
      <c r="D806" s="23" t="s">
        <v>336</v>
      </c>
      <c r="E806" s="23" t="s">
        <v>333</v>
      </c>
      <c r="F806" s="25" t="s">
        <v>1187</v>
      </c>
    </row>
    <row r="807" spans="1:6" x14ac:dyDescent="0.25">
      <c r="A807" s="27">
        <v>43055</v>
      </c>
      <c r="B807" s="23" t="s">
        <v>1188</v>
      </c>
      <c r="C807" s="24" t="s">
        <v>91</v>
      </c>
      <c r="D807" s="23" t="s">
        <v>486</v>
      </c>
      <c r="E807" s="23" t="s">
        <v>333</v>
      </c>
      <c r="F807" s="23" t="s">
        <v>497</v>
      </c>
    </row>
    <row r="808" spans="1:6" x14ac:dyDescent="0.25">
      <c r="A808" s="27">
        <v>43055</v>
      </c>
      <c r="B808" s="23" t="s">
        <v>1189</v>
      </c>
      <c r="C808" s="24" t="s">
        <v>6</v>
      </c>
      <c r="D808" s="23" t="s">
        <v>334</v>
      </c>
      <c r="E808" s="23" t="s">
        <v>333</v>
      </c>
      <c r="F808" s="25" t="s">
        <v>1190</v>
      </c>
    </row>
    <row r="809" spans="1:6" x14ac:dyDescent="0.25">
      <c r="A809" s="27">
        <v>43056</v>
      </c>
      <c r="B809" s="23" t="s">
        <v>1191</v>
      </c>
      <c r="C809" s="24" t="s">
        <v>17</v>
      </c>
      <c r="D809" s="23" t="s">
        <v>438</v>
      </c>
      <c r="E809" s="23" t="s">
        <v>333</v>
      </c>
      <c r="F809" s="25" t="s">
        <v>497</v>
      </c>
    </row>
    <row r="810" spans="1:6" ht="45.75" x14ac:dyDescent="0.25">
      <c r="A810" s="27">
        <v>43056</v>
      </c>
      <c r="B810" s="23" t="s">
        <v>1165</v>
      </c>
      <c r="C810" s="24" t="s">
        <v>1192</v>
      </c>
      <c r="D810" s="23" t="s">
        <v>438</v>
      </c>
      <c r="E810" s="23" t="s">
        <v>333</v>
      </c>
      <c r="F810" s="25" t="s">
        <v>350</v>
      </c>
    </row>
    <row r="811" spans="1:6" x14ac:dyDescent="0.25">
      <c r="A811" s="27">
        <v>43056</v>
      </c>
      <c r="B811" s="23" t="s">
        <v>1193</v>
      </c>
      <c r="C811" s="24" t="s">
        <v>17</v>
      </c>
      <c r="D811" s="23" t="s">
        <v>406</v>
      </c>
      <c r="E811" s="23" t="s">
        <v>333</v>
      </c>
      <c r="F811" s="25" t="s">
        <v>350</v>
      </c>
    </row>
    <row r="812" spans="1:6" x14ac:dyDescent="0.25">
      <c r="A812" s="27">
        <v>43056</v>
      </c>
      <c r="B812" s="23" t="s">
        <v>1194</v>
      </c>
      <c r="C812" s="24" t="s">
        <v>409</v>
      </c>
      <c r="D812" s="23" t="s">
        <v>441</v>
      </c>
      <c r="E812" s="23" t="s">
        <v>410</v>
      </c>
    </row>
    <row r="813" spans="1:6" x14ac:dyDescent="0.25">
      <c r="A813" s="27">
        <v>43056</v>
      </c>
      <c r="B813" s="23" t="s">
        <v>1195</v>
      </c>
      <c r="C813" s="24" t="s">
        <v>409</v>
      </c>
      <c r="D813" s="23" t="s">
        <v>334</v>
      </c>
      <c r="E813" s="23" t="s">
        <v>333</v>
      </c>
      <c r="F813" s="25" t="s">
        <v>1196</v>
      </c>
    </row>
    <row r="814" spans="1:6" ht="30.75" x14ac:dyDescent="0.25">
      <c r="A814" s="27">
        <v>43056</v>
      </c>
      <c r="B814" s="23" t="s">
        <v>1197</v>
      </c>
      <c r="C814" s="24" t="s">
        <v>1198</v>
      </c>
      <c r="D814" s="23" t="s">
        <v>441</v>
      </c>
      <c r="E814" s="23" t="s">
        <v>333</v>
      </c>
      <c r="F814" s="25" t="s">
        <v>1021</v>
      </c>
    </row>
    <row r="815" spans="1:6" x14ac:dyDescent="0.25">
      <c r="A815" s="27">
        <v>43059</v>
      </c>
      <c r="B815" s="23" t="s">
        <v>1199</v>
      </c>
      <c r="C815" s="24" t="s">
        <v>91</v>
      </c>
      <c r="D815" s="23" t="s">
        <v>406</v>
      </c>
      <c r="E815" s="23" t="s">
        <v>333</v>
      </c>
      <c r="F815" s="25" t="s">
        <v>1200</v>
      </c>
    </row>
    <row r="816" spans="1:6" x14ac:dyDescent="0.25">
      <c r="A816" s="27">
        <v>43059</v>
      </c>
      <c r="B816" s="23" t="s">
        <v>1201</v>
      </c>
      <c r="C816" s="24" t="s">
        <v>6</v>
      </c>
      <c r="D816" s="23" t="s">
        <v>352</v>
      </c>
      <c r="E816" s="23" t="s">
        <v>1030</v>
      </c>
    </row>
    <row r="817" spans="1:6" x14ac:dyDescent="0.25">
      <c r="A817" s="27">
        <v>43060</v>
      </c>
      <c r="B817" s="23" t="s">
        <v>1183</v>
      </c>
      <c r="C817" s="24" t="s">
        <v>6</v>
      </c>
      <c r="D817" s="23" t="s">
        <v>438</v>
      </c>
      <c r="E817" s="23" t="s">
        <v>333</v>
      </c>
      <c r="F817" s="25" t="s">
        <v>346</v>
      </c>
    </row>
    <row r="818" spans="1:6" ht="30.75" x14ac:dyDescent="0.25">
      <c r="A818" s="27">
        <v>43060</v>
      </c>
      <c r="B818" s="23" t="s">
        <v>1169</v>
      </c>
      <c r="C818" s="24" t="s">
        <v>1202</v>
      </c>
      <c r="D818" s="23" t="s">
        <v>327</v>
      </c>
      <c r="E818" s="23" t="s">
        <v>333</v>
      </c>
      <c r="F818" s="25" t="s">
        <v>1170</v>
      </c>
    </row>
    <row r="819" spans="1:6" x14ac:dyDescent="0.25">
      <c r="A819" s="27">
        <v>43061</v>
      </c>
      <c r="B819" s="23" t="s">
        <v>1203</v>
      </c>
      <c r="C819" s="24" t="s">
        <v>6</v>
      </c>
      <c r="D819" s="23" t="s">
        <v>334</v>
      </c>
      <c r="E819" s="23" t="s">
        <v>333</v>
      </c>
      <c r="F819" s="25" t="s">
        <v>1204</v>
      </c>
    </row>
    <row r="820" spans="1:6" x14ac:dyDescent="0.25">
      <c r="A820" s="27">
        <v>43062</v>
      </c>
      <c r="B820" s="23" t="s">
        <v>1205</v>
      </c>
      <c r="C820" s="24" t="s">
        <v>583</v>
      </c>
      <c r="D820" s="23" t="s">
        <v>516</v>
      </c>
      <c r="E820" s="23" t="s">
        <v>1030</v>
      </c>
    </row>
    <row r="821" spans="1:6" x14ac:dyDescent="0.25">
      <c r="A821" s="27">
        <v>43063</v>
      </c>
      <c r="B821" s="23" t="s">
        <v>1206</v>
      </c>
      <c r="C821" s="24" t="s">
        <v>91</v>
      </c>
      <c r="D821" s="23" t="s">
        <v>441</v>
      </c>
      <c r="E821" s="23" t="s">
        <v>1030</v>
      </c>
    </row>
    <row r="822" spans="1:6" x14ac:dyDescent="0.25">
      <c r="A822" s="27">
        <v>43066</v>
      </c>
      <c r="B822" s="23" t="s">
        <v>1207</v>
      </c>
      <c r="C822" s="24" t="s">
        <v>39</v>
      </c>
      <c r="D822" s="23" t="s">
        <v>550</v>
      </c>
      <c r="E822" s="23" t="s">
        <v>1030</v>
      </c>
    </row>
    <row r="823" spans="1:6" x14ac:dyDescent="0.25">
      <c r="A823" s="27">
        <v>43066</v>
      </c>
      <c r="B823" s="23" t="s">
        <v>1208</v>
      </c>
      <c r="C823" s="24" t="s">
        <v>6</v>
      </c>
      <c r="D823" s="23" t="s">
        <v>406</v>
      </c>
      <c r="E823" s="23" t="s">
        <v>333</v>
      </c>
      <c r="F823" s="25" t="s">
        <v>918</v>
      </c>
    </row>
    <row r="824" spans="1:6" x14ac:dyDescent="0.25">
      <c r="A824" s="27">
        <v>43066</v>
      </c>
      <c r="B824" s="23" t="s">
        <v>1209</v>
      </c>
      <c r="C824" s="24" t="s">
        <v>19</v>
      </c>
      <c r="D824" s="23" t="s">
        <v>628</v>
      </c>
      <c r="E824" s="23" t="s">
        <v>333</v>
      </c>
      <c r="F824" s="25" t="s">
        <v>1210</v>
      </c>
    </row>
    <row r="825" spans="1:6" x14ac:dyDescent="0.25">
      <c r="A825" s="27">
        <v>43066</v>
      </c>
      <c r="B825" s="23" t="s">
        <v>1211</v>
      </c>
      <c r="C825" s="24" t="s">
        <v>39</v>
      </c>
      <c r="D825" s="23" t="s">
        <v>406</v>
      </c>
      <c r="E825" s="23" t="s">
        <v>328</v>
      </c>
    </row>
    <row r="826" spans="1:6" x14ac:dyDescent="0.25">
      <c r="A826" s="27">
        <v>43066</v>
      </c>
      <c r="B826" s="23" t="s">
        <v>1212</v>
      </c>
      <c r="C826" s="24" t="s">
        <v>6</v>
      </c>
      <c r="D826" s="23" t="s">
        <v>439</v>
      </c>
      <c r="E826" s="23" t="s">
        <v>1030</v>
      </c>
    </row>
    <row r="827" spans="1:6" x14ac:dyDescent="0.25">
      <c r="A827" s="27">
        <v>43066</v>
      </c>
      <c r="B827" s="23" t="s">
        <v>1213</v>
      </c>
      <c r="C827" s="24" t="s">
        <v>91</v>
      </c>
      <c r="D827" s="23" t="s">
        <v>439</v>
      </c>
      <c r="E827" s="23" t="s">
        <v>1030</v>
      </c>
    </row>
    <row r="828" spans="1:6" x14ac:dyDescent="0.25">
      <c r="A828" s="27">
        <v>43066</v>
      </c>
      <c r="B828" s="23" t="s">
        <v>1214</v>
      </c>
      <c r="C828" s="24" t="s">
        <v>122</v>
      </c>
      <c r="D828" s="23" t="s">
        <v>439</v>
      </c>
      <c r="E828" s="23" t="s">
        <v>1030</v>
      </c>
    </row>
    <row r="829" spans="1:6" x14ac:dyDescent="0.25">
      <c r="A829" s="27">
        <v>43066</v>
      </c>
      <c r="B829" s="23" t="s">
        <v>1215</v>
      </c>
      <c r="C829" s="24" t="s">
        <v>91</v>
      </c>
      <c r="D829" s="23" t="s">
        <v>516</v>
      </c>
      <c r="E829" s="23" t="s">
        <v>1030</v>
      </c>
    </row>
    <row r="830" spans="1:6" x14ac:dyDescent="0.25">
      <c r="A830" s="27">
        <v>43066</v>
      </c>
      <c r="B830" s="23" t="s">
        <v>1216</v>
      </c>
      <c r="C830" s="24" t="s">
        <v>6</v>
      </c>
      <c r="D830" s="23" t="s">
        <v>441</v>
      </c>
      <c r="E830" s="23" t="s">
        <v>1030</v>
      </c>
    </row>
    <row r="831" spans="1:6" x14ac:dyDescent="0.25">
      <c r="A831" s="27">
        <v>43067</v>
      </c>
      <c r="B831" s="23" t="s">
        <v>1217</v>
      </c>
      <c r="C831" s="24" t="s">
        <v>91</v>
      </c>
      <c r="D831" s="23" t="s">
        <v>438</v>
      </c>
      <c r="E831" s="23" t="s">
        <v>333</v>
      </c>
      <c r="F831" s="25" t="s">
        <v>1218</v>
      </c>
    </row>
    <row r="832" spans="1:6" x14ac:dyDescent="0.25">
      <c r="A832" s="27">
        <v>43067</v>
      </c>
      <c r="B832" s="23" t="s">
        <v>1219</v>
      </c>
      <c r="C832" s="24" t="s">
        <v>1108</v>
      </c>
      <c r="D832" s="23" t="s">
        <v>438</v>
      </c>
      <c r="E832" s="23" t="s">
        <v>333</v>
      </c>
      <c r="F832" s="25" t="s">
        <v>1220</v>
      </c>
    </row>
    <row r="833" spans="1:6" x14ac:dyDescent="0.25">
      <c r="A833" s="27">
        <v>43067</v>
      </c>
      <c r="B833" s="23" t="s">
        <v>1221</v>
      </c>
      <c r="C833" s="24" t="s">
        <v>6</v>
      </c>
      <c r="D833" s="23" t="s">
        <v>438</v>
      </c>
      <c r="E833" s="23" t="s">
        <v>333</v>
      </c>
      <c r="F833" s="25" t="s">
        <v>497</v>
      </c>
    </row>
    <row r="834" spans="1:6" x14ac:dyDescent="0.25">
      <c r="A834" s="27">
        <v>43067</v>
      </c>
      <c r="B834" s="23" t="s">
        <v>1222</v>
      </c>
      <c r="C834" s="24" t="s">
        <v>6</v>
      </c>
      <c r="D834" s="23" t="s">
        <v>438</v>
      </c>
      <c r="E834" s="23" t="s">
        <v>333</v>
      </c>
      <c r="F834" s="25" t="s">
        <v>1223</v>
      </c>
    </row>
    <row r="835" spans="1:6" x14ac:dyDescent="0.25">
      <c r="A835" s="27">
        <v>43067</v>
      </c>
      <c r="B835" s="23" t="s">
        <v>1224</v>
      </c>
      <c r="C835" s="24" t="s">
        <v>6</v>
      </c>
      <c r="D835" s="23" t="s">
        <v>438</v>
      </c>
      <c r="E835" s="23" t="s">
        <v>333</v>
      </c>
      <c r="F835" s="25" t="s">
        <v>407</v>
      </c>
    </row>
    <row r="836" spans="1:6" x14ac:dyDescent="0.25">
      <c r="A836" s="27">
        <v>43067</v>
      </c>
      <c r="B836" s="23" t="s">
        <v>1225</v>
      </c>
      <c r="C836" s="24" t="s">
        <v>6</v>
      </c>
      <c r="D836" s="23" t="s">
        <v>343</v>
      </c>
      <c r="E836" s="23" t="s">
        <v>410</v>
      </c>
    </row>
    <row r="837" spans="1:6" x14ac:dyDescent="0.25">
      <c r="A837" s="27">
        <v>43067</v>
      </c>
      <c r="B837" s="23" t="s">
        <v>1226</v>
      </c>
      <c r="C837" s="24" t="s">
        <v>6</v>
      </c>
      <c r="D837" s="23" t="s">
        <v>486</v>
      </c>
      <c r="E837" s="23" t="s">
        <v>328</v>
      </c>
    </row>
    <row r="838" spans="1:6" x14ac:dyDescent="0.25">
      <c r="A838" s="27">
        <v>43067</v>
      </c>
      <c r="B838" s="23" t="s">
        <v>1227</v>
      </c>
      <c r="C838" s="24" t="s">
        <v>91</v>
      </c>
      <c r="D838" s="23" t="s">
        <v>387</v>
      </c>
      <c r="E838" s="23" t="s">
        <v>1030</v>
      </c>
    </row>
    <row r="839" spans="1:6" x14ac:dyDescent="0.25">
      <c r="A839" s="27">
        <v>43068</v>
      </c>
      <c r="B839" s="23" t="s">
        <v>1228</v>
      </c>
      <c r="C839" s="24" t="s">
        <v>6</v>
      </c>
      <c r="D839" s="23" t="s">
        <v>439</v>
      </c>
      <c r="E839" s="23" t="s">
        <v>1030</v>
      </c>
    </row>
    <row r="840" spans="1:6" x14ac:dyDescent="0.25">
      <c r="A840" s="27">
        <v>43068</v>
      </c>
      <c r="B840" s="23" t="s">
        <v>1229</v>
      </c>
      <c r="C840" s="24" t="s">
        <v>6</v>
      </c>
      <c r="D840" s="23" t="s">
        <v>380</v>
      </c>
      <c r="E840" s="23" t="s">
        <v>333</v>
      </c>
      <c r="F840" s="23" t="s">
        <v>399</v>
      </c>
    </row>
    <row r="841" spans="1:6" x14ac:dyDescent="0.25">
      <c r="A841" s="27">
        <v>43068</v>
      </c>
      <c r="B841" s="23" t="s">
        <v>1230</v>
      </c>
      <c r="C841" s="24" t="s">
        <v>91</v>
      </c>
      <c r="D841" s="23" t="s">
        <v>406</v>
      </c>
      <c r="E841" s="23" t="s">
        <v>1030</v>
      </c>
    </row>
    <row r="842" spans="1:6" x14ac:dyDescent="0.25">
      <c r="A842" s="27">
        <v>43068</v>
      </c>
      <c r="B842" s="23" t="s">
        <v>1231</v>
      </c>
      <c r="C842" s="24" t="s">
        <v>6</v>
      </c>
      <c r="D842" s="23" t="s">
        <v>438</v>
      </c>
      <c r="E842" s="23" t="s">
        <v>333</v>
      </c>
      <c r="F842" s="25" t="s">
        <v>1232</v>
      </c>
    </row>
    <row r="843" spans="1:6" ht="30.75" x14ac:dyDescent="0.25">
      <c r="A843" s="27">
        <v>43068</v>
      </c>
      <c r="B843" s="23" t="s">
        <v>1233</v>
      </c>
      <c r="C843" s="24" t="s">
        <v>1234</v>
      </c>
      <c r="D843" s="23" t="s">
        <v>439</v>
      </c>
      <c r="E843" s="23" t="s">
        <v>333</v>
      </c>
      <c r="F843" s="25" t="s">
        <v>910</v>
      </c>
    </row>
    <row r="844" spans="1:6" x14ac:dyDescent="0.25">
      <c r="A844" s="27">
        <v>43069</v>
      </c>
      <c r="B844" s="23" t="s">
        <v>1235</v>
      </c>
      <c r="C844" s="24" t="s">
        <v>583</v>
      </c>
      <c r="D844" s="23" t="s">
        <v>387</v>
      </c>
      <c r="E844" s="23" t="s">
        <v>1030</v>
      </c>
    </row>
    <row r="845" spans="1:6" ht="30.75" x14ac:dyDescent="0.25">
      <c r="A845" s="27">
        <v>43069</v>
      </c>
      <c r="B845" s="38" t="s">
        <v>1236</v>
      </c>
      <c r="C845" s="24" t="s">
        <v>1237</v>
      </c>
      <c r="E845" s="23" t="s">
        <v>1030</v>
      </c>
    </row>
    <row r="846" spans="1:6" x14ac:dyDescent="0.25">
      <c r="A846" s="27">
        <v>43073</v>
      </c>
      <c r="B846" s="23" t="s">
        <v>1188</v>
      </c>
      <c r="C846" s="24" t="s">
        <v>6</v>
      </c>
      <c r="D846" s="23" t="s">
        <v>486</v>
      </c>
      <c r="E846" s="23" t="s">
        <v>333</v>
      </c>
      <c r="F846" s="23" t="s">
        <v>591</v>
      </c>
    </row>
    <row r="847" spans="1:6" x14ac:dyDescent="0.25">
      <c r="A847" s="27">
        <v>43073</v>
      </c>
      <c r="B847" s="23" t="s">
        <v>1238</v>
      </c>
      <c r="C847" s="24" t="s">
        <v>6</v>
      </c>
      <c r="D847" s="23" t="s">
        <v>406</v>
      </c>
      <c r="E847" s="23" t="s">
        <v>333</v>
      </c>
      <c r="F847" s="23" t="s">
        <v>918</v>
      </c>
    </row>
    <row r="848" spans="1:6" ht="30.75" x14ac:dyDescent="0.25">
      <c r="A848" s="30">
        <v>43074</v>
      </c>
      <c r="B848" s="31" t="s">
        <v>1239</v>
      </c>
      <c r="C848" s="32" t="s">
        <v>224</v>
      </c>
      <c r="D848" s="31" t="s">
        <v>388</v>
      </c>
      <c r="E848" s="31" t="s">
        <v>410</v>
      </c>
      <c r="F848" s="33"/>
    </row>
    <row r="849" spans="1:6" x14ac:dyDescent="0.25">
      <c r="A849" s="27">
        <v>43074</v>
      </c>
      <c r="B849" s="23" t="s">
        <v>1240</v>
      </c>
      <c r="C849" s="24" t="s">
        <v>19</v>
      </c>
      <c r="D849" s="23" t="s">
        <v>406</v>
      </c>
      <c r="E849" s="23" t="s">
        <v>333</v>
      </c>
      <c r="F849" s="25" t="s">
        <v>968</v>
      </c>
    </row>
    <row r="850" spans="1:6" x14ac:dyDescent="0.25">
      <c r="A850" s="27">
        <v>43074</v>
      </c>
      <c r="B850" s="23" t="s">
        <v>1241</v>
      </c>
      <c r="C850" s="24" t="s">
        <v>6</v>
      </c>
      <c r="D850" s="23" t="s">
        <v>628</v>
      </c>
      <c r="E850" s="23" t="s">
        <v>333</v>
      </c>
      <c r="F850" s="25" t="s">
        <v>1242</v>
      </c>
    </row>
    <row r="851" spans="1:6" x14ac:dyDescent="0.25">
      <c r="A851" s="27">
        <v>43074</v>
      </c>
      <c r="B851" s="23" t="s">
        <v>1243</v>
      </c>
      <c r="C851" s="24" t="s">
        <v>91</v>
      </c>
      <c r="D851" s="23" t="s">
        <v>387</v>
      </c>
      <c r="E851" s="23" t="s">
        <v>333</v>
      </c>
      <c r="F851" s="25" t="s">
        <v>1244</v>
      </c>
    </row>
    <row r="852" spans="1:6" ht="30.75" x14ac:dyDescent="0.25">
      <c r="A852" s="27">
        <v>43074</v>
      </c>
      <c r="B852" s="23" t="s">
        <v>1245</v>
      </c>
      <c r="C852" s="24" t="s">
        <v>1246</v>
      </c>
      <c r="D852" s="23" t="s">
        <v>516</v>
      </c>
      <c r="E852" s="23" t="s">
        <v>410</v>
      </c>
    </row>
    <row r="853" spans="1:6" x14ac:dyDescent="0.25">
      <c r="A853" s="27">
        <v>43074</v>
      </c>
      <c r="B853" s="23" t="s">
        <v>1247</v>
      </c>
      <c r="C853" s="24" t="s">
        <v>17</v>
      </c>
      <c r="D853" s="23" t="s">
        <v>413</v>
      </c>
      <c r="E853" s="23" t="s">
        <v>496</v>
      </c>
    </row>
    <row r="854" spans="1:6" x14ac:dyDescent="0.25">
      <c r="A854" s="27">
        <v>43076</v>
      </c>
      <c r="B854" s="23" t="s">
        <v>1227</v>
      </c>
      <c r="C854" s="24" t="s">
        <v>39</v>
      </c>
      <c r="E854" s="23" t="s">
        <v>1030</v>
      </c>
    </row>
    <row r="855" spans="1:6" ht="30.75" x14ac:dyDescent="0.25">
      <c r="A855" s="27">
        <v>43076</v>
      </c>
      <c r="B855" s="23" t="s">
        <v>1248</v>
      </c>
      <c r="C855" s="24" t="s">
        <v>1249</v>
      </c>
      <c r="D855" s="23" t="s">
        <v>406</v>
      </c>
      <c r="E855" s="23" t="s">
        <v>328</v>
      </c>
    </row>
    <row r="856" spans="1:6" x14ac:dyDescent="0.25">
      <c r="A856" s="27">
        <v>43080</v>
      </c>
      <c r="B856" s="23" t="s">
        <v>1250</v>
      </c>
      <c r="C856" s="24" t="s">
        <v>1251</v>
      </c>
      <c r="D856" s="23" t="s">
        <v>406</v>
      </c>
      <c r="E856" s="23" t="s">
        <v>1030</v>
      </c>
    </row>
    <row r="857" spans="1:6" x14ac:dyDescent="0.25">
      <c r="A857" s="27">
        <v>43081</v>
      </c>
      <c r="B857" s="23" t="s">
        <v>1252</v>
      </c>
      <c r="C857" s="24" t="s">
        <v>6</v>
      </c>
      <c r="D857" s="23" t="s">
        <v>343</v>
      </c>
      <c r="E857" s="23" t="s">
        <v>333</v>
      </c>
      <c r="F857" s="25" t="s">
        <v>794</v>
      </c>
    </row>
    <row r="858" spans="1:6" x14ac:dyDescent="0.25">
      <c r="A858" s="27">
        <v>43081</v>
      </c>
      <c r="B858" s="23" t="s">
        <v>1253</v>
      </c>
      <c r="C858" s="24" t="s">
        <v>6</v>
      </c>
      <c r="D858" s="23" t="s">
        <v>387</v>
      </c>
      <c r="E858" s="23" t="s">
        <v>333</v>
      </c>
      <c r="F858" s="25" t="s">
        <v>1244</v>
      </c>
    </row>
    <row r="859" spans="1:6" x14ac:dyDescent="0.25">
      <c r="A859" s="27">
        <v>43082</v>
      </c>
      <c r="B859" s="23" t="s">
        <v>1254</v>
      </c>
      <c r="C859" s="24" t="s">
        <v>19</v>
      </c>
      <c r="D859" s="23" t="s">
        <v>486</v>
      </c>
      <c r="E859" s="23" t="s">
        <v>333</v>
      </c>
      <c r="F859" s="25" t="s">
        <v>1255</v>
      </c>
    </row>
    <row r="860" spans="1:6" x14ac:dyDescent="0.25">
      <c r="A860" s="27">
        <v>43082</v>
      </c>
      <c r="B860" s="23" t="s">
        <v>1256</v>
      </c>
      <c r="C860" s="24" t="s">
        <v>19</v>
      </c>
      <c r="D860" s="23" t="s">
        <v>550</v>
      </c>
      <c r="E860" s="23" t="s">
        <v>333</v>
      </c>
      <c r="F860" s="25" t="s">
        <v>519</v>
      </c>
    </row>
    <row r="861" spans="1:6" x14ac:dyDescent="0.25">
      <c r="A861" s="27">
        <v>43082</v>
      </c>
      <c r="B861" s="23" t="s">
        <v>1257</v>
      </c>
      <c r="C861" s="24" t="s">
        <v>19</v>
      </c>
      <c r="D861" s="23" t="s">
        <v>486</v>
      </c>
      <c r="E861" s="23" t="s">
        <v>333</v>
      </c>
      <c r="F861" s="25" t="s">
        <v>1258</v>
      </c>
    </row>
    <row r="862" spans="1:6" x14ac:dyDescent="0.25">
      <c r="A862" s="27">
        <v>43083</v>
      </c>
      <c r="B862" s="23" t="s">
        <v>1259</v>
      </c>
      <c r="C862" s="24" t="s">
        <v>412</v>
      </c>
      <c r="D862" s="23" t="s">
        <v>628</v>
      </c>
      <c r="E862" s="23" t="s">
        <v>333</v>
      </c>
      <c r="F862" s="25" t="s">
        <v>399</v>
      </c>
    </row>
    <row r="863" spans="1:6" x14ac:dyDescent="0.25">
      <c r="A863" s="27">
        <v>43083</v>
      </c>
      <c r="B863" s="23" t="s">
        <v>1199</v>
      </c>
      <c r="C863" s="24" t="s">
        <v>39</v>
      </c>
      <c r="D863" s="23" t="s">
        <v>406</v>
      </c>
      <c r="E863" s="23" t="s">
        <v>333</v>
      </c>
      <c r="F863" s="25" t="s">
        <v>1200</v>
      </c>
    </row>
    <row r="864" spans="1:6" x14ac:dyDescent="0.25">
      <c r="A864" s="27">
        <v>43087</v>
      </c>
      <c r="B864" s="23" t="s">
        <v>1260</v>
      </c>
      <c r="C864" s="24" t="s">
        <v>6</v>
      </c>
      <c r="D864" s="23" t="s">
        <v>516</v>
      </c>
      <c r="E864" s="23" t="s">
        <v>333</v>
      </c>
      <c r="F864" s="25" t="s">
        <v>1021</v>
      </c>
    </row>
    <row r="865" spans="1:6" x14ac:dyDescent="0.25">
      <c r="A865" s="27">
        <v>43088</v>
      </c>
      <c r="B865" s="23" t="s">
        <v>1261</v>
      </c>
      <c r="C865" s="24" t="s">
        <v>6</v>
      </c>
      <c r="D865" s="23" t="s">
        <v>628</v>
      </c>
      <c r="E865" s="23" t="s">
        <v>333</v>
      </c>
      <c r="F865" s="25" t="s">
        <v>399</v>
      </c>
    </row>
    <row r="866" spans="1:6" x14ac:dyDescent="0.25">
      <c r="A866" s="27">
        <v>43091</v>
      </c>
      <c r="B866" s="23" t="s">
        <v>1262</v>
      </c>
      <c r="C866" s="24" t="s">
        <v>19</v>
      </c>
      <c r="D866" s="23" t="s">
        <v>550</v>
      </c>
      <c r="E866" s="23" t="s">
        <v>410</v>
      </c>
    </row>
    <row r="867" spans="1:6" x14ac:dyDescent="0.25">
      <c r="A867" s="27">
        <v>43095</v>
      </c>
      <c r="B867" s="23" t="s">
        <v>1263</v>
      </c>
      <c r="C867" s="24" t="s">
        <v>6</v>
      </c>
      <c r="D867" s="23" t="s">
        <v>438</v>
      </c>
      <c r="E867" s="23" t="s">
        <v>333</v>
      </c>
      <c r="F867" s="25" t="s">
        <v>1264</v>
      </c>
    </row>
    <row r="868" spans="1:6" x14ac:dyDescent="0.25">
      <c r="A868" s="27">
        <v>43095</v>
      </c>
      <c r="B868" s="23" t="s">
        <v>1265</v>
      </c>
      <c r="C868" s="24" t="s">
        <v>241</v>
      </c>
      <c r="D868" s="23" t="s">
        <v>438</v>
      </c>
      <c r="E868" s="23" t="s">
        <v>333</v>
      </c>
      <c r="F868" s="25" t="s">
        <v>942</v>
      </c>
    </row>
    <row r="869" spans="1:6" x14ac:dyDescent="0.25">
      <c r="A869" s="27">
        <v>43095</v>
      </c>
      <c r="B869" s="23" t="s">
        <v>1266</v>
      </c>
      <c r="C869" s="24" t="s">
        <v>19</v>
      </c>
      <c r="D869" s="23" t="s">
        <v>438</v>
      </c>
      <c r="E869" s="23" t="s">
        <v>333</v>
      </c>
      <c r="F869" s="25" t="s">
        <v>1264</v>
      </c>
    </row>
    <row r="870" spans="1:6" x14ac:dyDescent="0.25">
      <c r="A870" s="27">
        <v>43096</v>
      </c>
      <c r="B870" s="23" t="s">
        <v>1267</v>
      </c>
      <c r="C870" s="24" t="s">
        <v>1268</v>
      </c>
      <c r="D870" s="23" t="s">
        <v>486</v>
      </c>
      <c r="E870" s="23" t="s">
        <v>333</v>
      </c>
      <c r="F870" s="25" t="s">
        <v>1269</v>
      </c>
    </row>
    <row r="871" spans="1:6" x14ac:dyDescent="0.25">
      <c r="A871" s="27">
        <v>43096</v>
      </c>
      <c r="B871" s="23" t="s">
        <v>1270</v>
      </c>
      <c r="C871" s="24" t="s">
        <v>6</v>
      </c>
      <c r="D871" s="23" t="s">
        <v>387</v>
      </c>
      <c r="E871" s="23" t="s">
        <v>333</v>
      </c>
      <c r="F871" s="39" t="s">
        <v>1271</v>
      </c>
    </row>
    <row r="872" spans="1:6" ht="45.75" x14ac:dyDescent="0.25">
      <c r="A872" s="27">
        <v>43104</v>
      </c>
      <c r="B872" s="23" t="s">
        <v>1272</v>
      </c>
      <c r="C872" s="24" t="s">
        <v>1273</v>
      </c>
      <c r="D872" s="23" t="s">
        <v>334</v>
      </c>
      <c r="E872" s="23" t="s">
        <v>410</v>
      </c>
    </row>
    <row r="873" spans="1:6" x14ac:dyDescent="0.25">
      <c r="A873" s="27">
        <v>43104</v>
      </c>
      <c r="B873" s="23" t="s">
        <v>1274</v>
      </c>
      <c r="C873" s="24" t="s">
        <v>6</v>
      </c>
      <c r="D873" s="23" t="s">
        <v>438</v>
      </c>
      <c r="E873" s="23" t="s">
        <v>333</v>
      </c>
      <c r="F873" s="25" t="s">
        <v>1275</v>
      </c>
    </row>
    <row r="874" spans="1:6" x14ac:dyDescent="0.25">
      <c r="A874" s="27">
        <v>43104</v>
      </c>
      <c r="B874" s="23" t="s">
        <v>1276</v>
      </c>
      <c r="C874" s="24" t="s">
        <v>275</v>
      </c>
      <c r="D874" s="23" t="s">
        <v>486</v>
      </c>
      <c r="E874" s="23" t="s">
        <v>333</v>
      </c>
      <c r="F874" s="25" t="s">
        <v>1277</v>
      </c>
    </row>
    <row r="875" spans="1:6" x14ac:dyDescent="0.25">
      <c r="A875" s="27">
        <v>43110</v>
      </c>
      <c r="B875" s="23" t="s">
        <v>1278</v>
      </c>
      <c r="C875" s="24" t="s">
        <v>6</v>
      </c>
      <c r="D875" s="23" t="s">
        <v>486</v>
      </c>
      <c r="E875" s="23" t="s">
        <v>333</v>
      </c>
      <c r="F875" s="25" t="s">
        <v>1279</v>
      </c>
    </row>
    <row r="876" spans="1:6" ht="30.75" x14ac:dyDescent="0.25">
      <c r="A876" s="40">
        <v>43111</v>
      </c>
      <c r="B876" s="23" t="s">
        <v>1280</v>
      </c>
      <c r="C876" s="24" t="s">
        <v>1281</v>
      </c>
      <c r="D876" s="23" t="s">
        <v>486</v>
      </c>
      <c r="E876" s="23" t="s">
        <v>333</v>
      </c>
      <c r="F876" s="25" t="s">
        <v>1277</v>
      </c>
    </row>
    <row r="877" spans="1:6" ht="30.75" x14ac:dyDescent="0.25">
      <c r="A877" s="27">
        <v>43112</v>
      </c>
      <c r="B877" s="23" t="s">
        <v>1282</v>
      </c>
      <c r="C877" s="24" t="s">
        <v>1283</v>
      </c>
      <c r="D877" s="23" t="s">
        <v>486</v>
      </c>
      <c r="E877" s="23" t="s">
        <v>333</v>
      </c>
      <c r="F877" s="25" t="s">
        <v>1277</v>
      </c>
    </row>
    <row r="878" spans="1:6" x14ac:dyDescent="0.25">
      <c r="A878" s="27">
        <v>43112</v>
      </c>
      <c r="B878" s="23" t="s">
        <v>90</v>
      </c>
      <c r="C878" s="24" t="s">
        <v>91</v>
      </c>
      <c r="D878" s="23" t="s">
        <v>486</v>
      </c>
      <c r="E878" s="23" t="s">
        <v>333</v>
      </c>
      <c r="F878" s="25" t="s">
        <v>655</v>
      </c>
    </row>
    <row r="879" spans="1:6" x14ac:dyDescent="0.25">
      <c r="A879" s="27">
        <v>43112</v>
      </c>
      <c r="B879" s="23" t="s">
        <v>1284</v>
      </c>
      <c r="C879" s="24" t="s">
        <v>6</v>
      </c>
      <c r="D879" s="23" t="s">
        <v>628</v>
      </c>
      <c r="E879" s="23" t="s">
        <v>333</v>
      </c>
      <c r="F879" s="25" t="s">
        <v>1175</v>
      </c>
    </row>
    <row r="880" spans="1:6" x14ac:dyDescent="0.25">
      <c r="A880" s="27">
        <v>43116</v>
      </c>
      <c r="B880" s="23" t="s">
        <v>1285</v>
      </c>
      <c r="C880" s="24" t="s">
        <v>752</v>
      </c>
      <c r="D880" s="23" t="s">
        <v>438</v>
      </c>
      <c r="E880" s="23" t="s">
        <v>333</v>
      </c>
      <c r="F880" s="25" t="s">
        <v>407</v>
      </c>
    </row>
    <row r="881" spans="1:6" ht="30.75" x14ac:dyDescent="0.25">
      <c r="A881" s="27">
        <v>43118</v>
      </c>
      <c r="B881" s="23" t="s">
        <v>1286</v>
      </c>
      <c r="C881" s="24" t="s">
        <v>1287</v>
      </c>
      <c r="D881" s="23" t="s">
        <v>486</v>
      </c>
      <c r="E881" s="23" t="s">
        <v>333</v>
      </c>
      <c r="F881" s="25" t="s">
        <v>1288</v>
      </c>
    </row>
    <row r="882" spans="1:6" x14ac:dyDescent="0.25">
      <c r="A882" s="27">
        <v>43118</v>
      </c>
      <c r="B882" s="23" t="s">
        <v>1289</v>
      </c>
      <c r="C882" s="24" t="s">
        <v>19</v>
      </c>
      <c r="D882" s="23" t="s">
        <v>352</v>
      </c>
      <c r="E882" s="23" t="s">
        <v>328</v>
      </c>
    </row>
    <row r="883" spans="1:6" x14ac:dyDescent="0.25">
      <c r="A883" s="27">
        <v>43118</v>
      </c>
      <c r="B883" s="23" t="s">
        <v>1290</v>
      </c>
      <c r="C883" s="24" t="s">
        <v>180</v>
      </c>
      <c r="D883" s="23" t="s">
        <v>352</v>
      </c>
      <c r="E883" s="23" t="s">
        <v>333</v>
      </c>
      <c r="F883" s="25" t="s">
        <v>530</v>
      </c>
    </row>
    <row r="884" spans="1:6" x14ac:dyDescent="0.25">
      <c r="A884" s="27">
        <v>43118</v>
      </c>
      <c r="B884" s="23" t="s">
        <v>1291</v>
      </c>
      <c r="C884" s="24" t="s">
        <v>180</v>
      </c>
      <c r="D884" s="23" t="s">
        <v>550</v>
      </c>
      <c r="E884" s="23" t="s">
        <v>333</v>
      </c>
      <c r="F884" s="25" t="s">
        <v>1292</v>
      </c>
    </row>
    <row r="885" spans="1:6" x14ac:dyDescent="0.25">
      <c r="A885" s="27">
        <v>43118</v>
      </c>
      <c r="B885" s="23" t="s">
        <v>1293</v>
      </c>
      <c r="C885" s="24" t="s">
        <v>17</v>
      </c>
      <c r="D885" s="23" t="s">
        <v>439</v>
      </c>
      <c r="E885" s="23" t="s">
        <v>333</v>
      </c>
      <c r="F885" s="25" t="s">
        <v>853</v>
      </c>
    </row>
    <row r="886" spans="1:6" x14ac:dyDescent="0.25">
      <c r="A886" s="27">
        <v>43118</v>
      </c>
      <c r="B886" s="23" t="s">
        <v>1294</v>
      </c>
      <c r="C886" s="24" t="s">
        <v>6</v>
      </c>
      <c r="D886" s="23" t="s">
        <v>528</v>
      </c>
      <c r="E886" s="23" t="s">
        <v>1030</v>
      </c>
    </row>
    <row r="887" spans="1:6" x14ac:dyDescent="0.25">
      <c r="A887" s="27">
        <v>43119</v>
      </c>
      <c r="B887" s="23" t="s">
        <v>1295</v>
      </c>
      <c r="C887" s="24" t="s">
        <v>1297</v>
      </c>
      <c r="D887" s="23" t="s">
        <v>413</v>
      </c>
      <c r="E887" s="23" t="s">
        <v>333</v>
      </c>
      <c r="F887" s="25" t="s">
        <v>1296</v>
      </c>
    </row>
    <row r="888" spans="1:6" x14ac:dyDescent="0.25">
      <c r="A888" s="27">
        <v>43119</v>
      </c>
      <c r="B888" s="23" t="s">
        <v>1298</v>
      </c>
      <c r="C888" s="24" t="s">
        <v>6</v>
      </c>
      <c r="D888" s="23" t="s">
        <v>439</v>
      </c>
      <c r="E888" s="23" t="s">
        <v>333</v>
      </c>
      <c r="F888" s="25" t="s">
        <v>1299</v>
      </c>
    </row>
    <row r="889" spans="1:6" x14ac:dyDescent="0.25">
      <c r="A889" s="27">
        <v>43119</v>
      </c>
      <c r="B889" s="23" t="s">
        <v>1300</v>
      </c>
      <c r="C889" s="24" t="s">
        <v>1301</v>
      </c>
      <c r="D889" s="23" t="s">
        <v>438</v>
      </c>
      <c r="E889" s="23" t="s">
        <v>333</v>
      </c>
      <c r="F889" s="25" t="s">
        <v>1302</v>
      </c>
    </row>
    <row r="890" spans="1:6" x14ac:dyDescent="0.25">
      <c r="A890" s="27">
        <v>43119</v>
      </c>
      <c r="B890" s="23" t="s">
        <v>1303</v>
      </c>
      <c r="C890" s="24" t="s">
        <v>1304</v>
      </c>
      <c r="D890" s="23" t="s">
        <v>438</v>
      </c>
      <c r="E890" s="23" t="s">
        <v>333</v>
      </c>
    </row>
    <row r="891" spans="1:6" x14ac:dyDescent="0.25">
      <c r="A891" s="27">
        <v>43119</v>
      </c>
      <c r="B891" s="23" t="s">
        <v>1305</v>
      </c>
      <c r="C891" s="24" t="s">
        <v>17</v>
      </c>
      <c r="D891" s="23" t="s">
        <v>336</v>
      </c>
      <c r="E891" s="23" t="s">
        <v>333</v>
      </c>
      <c r="F891" s="25" t="s">
        <v>1306</v>
      </c>
    </row>
    <row r="892" spans="1:6" x14ac:dyDescent="0.25">
      <c r="A892" s="27">
        <v>43119</v>
      </c>
      <c r="B892" s="23" t="s">
        <v>1307</v>
      </c>
      <c r="C892" s="24" t="s">
        <v>241</v>
      </c>
      <c r="D892" s="23" t="s">
        <v>438</v>
      </c>
      <c r="E892" s="23" t="s">
        <v>333</v>
      </c>
      <c r="F892" s="25" t="s">
        <v>339</v>
      </c>
    </row>
    <row r="893" spans="1:6" ht="30.75" x14ac:dyDescent="0.25">
      <c r="A893" s="27">
        <v>43119</v>
      </c>
      <c r="B893" s="23" t="s">
        <v>1308</v>
      </c>
      <c r="C893" s="24" t="s">
        <v>1309</v>
      </c>
      <c r="D893" s="23" t="s">
        <v>438</v>
      </c>
      <c r="E893" s="23" t="s">
        <v>333</v>
      </c>
      <c r="F893" s="25" t="s">
        <v>1119</v>
      </c>
    </row>
    <row r="894" spans="1:6" x14ac:dyDescent="0.25">
      <c r="A894" s="27">
        <v>43122</v>
      </c>
      <c r="B894" s="23" t="s">
        <v>1310</v>
      </c>
      <c r="C894" s="24" t="s">
        <v>1311</v>
      </c>
      <c r="D894" s="23" t="s">
        <v>352</v>
      </c>
      <c r="E894" s="23" t="s">
        <v>333</v>
      </c>
      <c r="F894" s="25" t="s">
        <v>655</v>
      </c>
    </row>
    <row r="895" spans="1:6" ht="75.75" x14ac:dyDescent="0.25">
      <c r="A895" s="27">
        <v>43122</v>
      </c>
      <c r="B895" s="23" t="s">
        <v>1312</v>
      </c>
      <c r="C895" s="24" t="s">
        <v>1313</v>
      </c>
      <c r="D895" s="23" t="s">
        <v>438</v>
      </c>
      <c r="E895" s="23" t="s">
        <v>333</v>
      </c>
      <c r="F895" s="25" t="s">
        <v>497</v>
      </c>
    </row>
    <row r="896" spans="1:6" ht="30.75" x14ac:dyDescent="0.25">
      <c r="A896" s="27">
        <v>43123</v>
      </c>
      <c r="B896" s="23" t="s">
        <v>1314</v>
      </c>
      <c r="C896" s="24" t="s">
        <v>1315</v>
      </c>
    </row>
    <row r="897" spans="1:6" x14ac:dyDescent="0.25">
      <c r="A897" s="27">
        <v>43123</v>
      </c>
      <c r="B897" s="23" t="s">
        <v>1316</v>
      </c>
      <c r="C897" s="24" t="s">
        <v>6</v>
      </c>
      <c r="D897" s="23" t="s">
        <v>438</v>
      </c>
      <c r="E897" s="23" t="s">
        <v>333</v>
      </c>
      <c r="F897" s="25" t="s">
        <v>1296</v>
      </c>
    </row>
    <row r="898" spans="1:6" x14ac:dyDescent="0.25">
      <c r="A898" s="27">
        <v>43123</v>
      </c>
      <c r="B898" s="23" t="s">
        <v>1317</v>
      </c>
      <c r="C898" s="24" t="s">
        <v>6</v>
      </c>
      <c r="D898" s="23" t="s">
        <v>352</v>
      </c>
      <c r="E898" s="23" t="s">
        <v>333</v>
      </c>
      <c r="F898" s="25" t="s">
        <v>399</v>
      </c>
    </row>
    <row r="899" spans="1:6" x14ac:dyDescent="0.25">
      <c r="A899" s="27">
        <v>43123</v>
      </c>
      <c r="B899" s="23" t="s">
        <v>1318</v>
      </c>
      <c r="C899" s="24" t="s">
        <v>1160</v>
      </c>
      <c r="D899" s="23" t="s">
        <v>352</v>
      </c>
      <c r="E899" s="23" t="s">
        <v>333</v>
      </c>
      <c r="F899" s="25" t="s">
        <v>530</v>
      </c>
    </row>
    <row r="900" spans="1:6" x14ac:dyDescent="0.25">
      <c r="A900" s="27">
        <v>43123</v>
      </c>
      <c r="B900" s="23" t="s">
        <v>1319</v>
      </c>
      <c r="C900" s="24" t="s">
        <v>6</v>
      </c>
      <c r="D900" s="23" t="s">
        <v>528</v>
      </c>
      <c r="E900" s="23" t="s">
        <v>1030</v>
      </c>
    </row>
    <row r="901" spans="1:6" x14ac:dyDescent="0.25">
      <c r="A901" s="27">
        <v>43123</v>
      </c>
      <c r="B901" s="23" t="s">
        <v>1320</v>
      </c>
      <c r="C901" s="24" t="s">
        <v>6</v>
      </c>
      <c r="D901" s="23" t="s">
        <v>441</v>
      </c>
      <c r="E901" s="23" t="s">
        <v>333</v>
      </c>
      <c r="F901" s="25" t="s">
        <v>375</v>
      </c>
    </row>
    <row r="902" spans="1:6" x14ac:dyDescent="0.25">
      <c r="A902" s="27">
        <v>43123</v>
      </c>
      <c r="B902" s="23" t="s">
        <v>1321</v>
      </c>
      <c r="C902" s="24" t="s">
        <v>6</v>
      </c>
      <c r="E902" s="23" t="s">
        <v>1030</v>
      </c>
    </row>
    <row r="903" spans="1:6" x14ac:dyDescent="0.25">
      <c r="A903" s="27">
        <v>43123</v>
      </c>
      <c r="B903" s="23" t="s">
        <v>1322</v>
      </c>
      <c r="C903" s="24" t="s">
        <v>6</v>
      </c>
      <c r="D903" s="23" t="s">
        <v>352</v>
      </c>
      <c r="E903" s="23" t="s">
        <v>333</v>
      </c>
      <c r="F903" s="25" t="s">
        <v>399</v>
      </c>
    </row>
    <row r="904" spans="1:6" x14ac:dyDescent="0.25">
      <c r="A904" s="27">
        <v>43123</v>
      </c>
      <c r="B904" s="23" t="s">
        <v>1323</v>
      </c>
      <c r="C904" s="24" t="s">
        <v>39</v>
      </c>
      <c r="D904" s="23" t="s">
        <v>486</v>
      </c>
      <c r="E904" s="23" t="s">
        <v>333</v>
      </c>
      <c r="F904" s="25" t="s">
        <v>533</v>
      </c>
    </row>
    <row r="905" spans="1:6" ht="30.75" x14ac:dyDescent="0.25">
      <c r="A905" s="27">
        <v>43124</v>
      </c>
      <c r="B905" s="23" t="s">
        <v>1324</v>
      </c>
      <c r="C905" s="24" t="s">
        <v>1325</v>
      </c>
      <c r="D905" s="23" t="s">
        <v>387</v>
      </c>
      <c r="E905" s="23" t="s">
        <v>333</v>
      </c>
      <c r="F905" s="25" t="s">
        <v>1326</v>
      </c>
    </row>
    <row r="906" spans="1:6" x14ac:dyDescent="0.25">
      <c r="A906" s="27">
        <v>43126</v>
      </c>
      <c r="B906" s="23" t="s">
        <v>1327</v>
      </c>
      <c r="C906" s="24" t="s">
        <v>6</v>
      </c>
      <c r="D906" s="23" t="s">
        <v>550</v>
      </c>
      <c r="E906" s="23" t="s">
        <v>333</v>
      </c>
      <c r="F906" s="25" t="s">
        <v>399</v>
      </c>
    </row>
    <row r="907" spans="1:6" x14ac:dyDescent="0.25">
      <c r="A907" s="27">
        <v>43126</v>
      </c>
      <c r="B907" s="23" t="s">
        <v>1328</v>
      </c>
      <c r="C907" s="24" t="s">
        <v>39</v>
      </c>
      <c r="D907" s="23" t="s">
        <v>352</v>
      </c>
      <c r="E907" s="23" t="s">
        <v>333</v>
      </c>
      <c r="F907" s="25" t="s">
        <v>377</v>
      </c>
    </row>
    <row r="908" spans="1:6" x14ac:dyDescent="0.25">
      <c r="A908" s="27">
        <v>43126</v>
      </c>
      <c r="B908" s="23" t="s">
        <v>1329</v>
      </c>
      <c r="C908" s="24" t="s">
        <v>91</v>
      </c>
      <c r="D908" s="23" t="s">
        <v>486</v>
      </c>
      <c r="E908" s="23" t="s">
        <v>333</v>
      </c>
      <c r="F908" s="25" t="s">
        <v>1330</v>
      </c>
    </row>
    <row r="909" spans="1:6" s="45" customFormat="1" x14ac:dyDescent="0.25">
      <c r="A909" s="41">
        <v>43126</v>
      </c>
      <c r="B909" s="42" t="s">
        <v>1037</v>
      </c>
      <c r="C909" s="43" t="s">
        <v>6</v>
      </c>
      <c r="D909" s="42" t="s">
        <v>352</v>
      </c>
      <c r="E909" s="42" t="s">
        <v>333</v>
      </c>
      <c r="F909" s="44" t="s">
        <v>1331</v>
      </c>
    </row>
    <row r="910" spans="1:6" x14ac:dyDescent="0.25">
      <c r="A910" s="27">
        <v>43126</v>
      </c>
      <c r="B910" s="23" t="s">
        <v>1332</v>
      </c>
      <c r="C910" s="24" t="s">
        <v>39</v>
      </c>
      <c r="D910" s="23" t="s">
        <v>486</v>
      </c>
      <c r="E910" s="23" t="s">
        <v>333</v>
      </c>
      <c r="F910" s="25" t="s">
        <v>609</v>
      </c>
    </row>
    <row r="911" spans="1:6" x14ac:dyDescent="0.25">
      <c r="A911" s="27">
        <v>43126</v>
      </c>
      <c r="B911" s="23" t="s">
        <v>1333</v>
      </c>
      <c r="D911" s="23" t="s">
        <v>352</v>
      </c>
      <c r="E911" s="23" t="s">
        <v>333</v>
      </c>
      <c r="F911" s="25" t="s">
        <v>655</v>
      </c>
    </row>
    <row r="912" spans="1:6" x14ac:dyDescent="0.25">
      <c r="A912" s="27">
        <v>43126</v>
      </c>
      <c r="B912" s="23" t="s">
        <v>1334</v>
      </c>
      <c r="C912" s="24" t="s">
        <v>17</v>
      </c>
      <c r="D912" s="23" t="s">
        <v>486</v>
      </c>
      <c r="E912" s="23" t="s">
        <v>333</v>
      </c>
      <c r="F912" s="25" t="s">
        <v>1335</v>
      </c>
    </row>
    <row r="913" spans="1:6" x14ac:dyDescent="0.25">
      <c r="A913" s="27">
        <v>43126</v>
      </c>
      <c r="B913" s="23" t="s">
        <v>1336</v>
      </c>
      <c r="C913" s="24" t="s">
        <v>39</v>
      </c>
      <c r="D913" s="23" t="s">
        <v>352</v>
      </c>
      <c r="E913" s="23" t="s">
        <v>333</v>
      </c>
      <c r="F913" s="25" t="s">
        <v>655</v>
      </c>
    </row>
    <row r="914" spans="1:6" x14ac:dyDescent="0.25">
      <c r="A914" s="27">
        <v>43126</v>
      </c>
      <c r="B914" s="23" t="s">
        <v>1337</v>
      </c>
      <c r="C914" s="24" t="s">
        <v>1340</v>
      </c>
      <c r="D914" s="23" t="s">
        <v>484</v>
      </c>
      <c r="E914" s="23" t="s">
        <v>410</v>
      </c>
      <c r="F914" s="25" t="s">
        <v>1338</v>
      </c>
    </row>
    <row r="915" spans="1:6" x14ac:dyDescent="0.25">
      <c r="A915" s="27">
        <v>43126</v>
      </c>
      <c r="B915" s="23" t="s">
        <v>1339</v>
      </c>
      <c r="C915" s="24" t="s">
        <v>6</v>
      </c>
      <c r="D915" s="23" t="s">
        <v>413</v>
      </c>
      <c r="E915" s="23" t="s">
        <v>333</v>
      </c>
      <c r="F915" s="25" t="s">
        <v>1021</v>
      </c>
    </row>
    <row r="916" spans="1:6" x14ac:dyDescent="0.25">
      <c r="A916" s="27">
        <v>43126</v>
      </c>
      <c r="B916" s="23" t="s">
        <v>1341</v>
      </c>
      <c r="C916" s="24" t="s">
        <v>6</v>
      </c>
      <c r="D916" s="23" t="s">
        <v>413</v>
      </c>
      <c r="E916" s="23" t="s">
        <v>333</v>
      </c>
      <c r="F916" s="25" t="s">
        <v>1021</v>
      </c>
    </row>
    <row r="917" spans="1:6" x14ac:dyDescent="0.25">
      <c r="A917" s="27">
        <v>43126</v>
      </c>
      <c r="B917" s="23" t="s">
        <v>1342</v>
      </c>
      <c r="C917" s="24" t="s">
        <v>6</v>
      </c>
      <c r="D917" s="23" t="s">
        <v>516</v>
      </c>
      <c r="E917" s="23" t="s">
        <v>333</v>
      </c>
      <c r="F917" s="25" t="s">
        <v>1343</v>
      </c>
    </row>
    <row r="918" spans="1:6" x14ac:dyDescent="0.25">
      <c r="A918" s="27">
        <v>43126</v>
      </c>
      <c r="B918" s="23" t="s">
        <v>1344</v>
      </c>
      <c r="C918" s="24" t="s">
        <v>6</v>
      </c>
      <c r="D918" s="23" t="s">
        <v>413</v>
      </c>
      <c r="E918" s="23" t="s">
        <v>333</v>
      </c>
      <c r="F918" s="25" t="s">
        <v>1345</v>
      </c>
    </row>
    <row r="919" spans="1:6" ht="30.75" x14ac:dyDescent="0.25">
      <c r="A919" s="27">
        <v>43126</v>
      </c>
      <c r="B919" s="23" t="s">
        <v>1346</v>
      </c>
      <c r="C919" s="24" t="s">
        <v>1347</v>
      </c>
      <c r="D919" s="23" t="s">
        <v>387</v>
      </c>
      <c r="E919" s="23" t="s">
        <v>333</v>
      </c>
      <c r="F919" s="25" t="s">
        <v>1348</v>
      </c>
    </row>
    <row r="920" spans="1:6" x14ac:dyDescent="0.25">
      <c r="A920" s="27">
        <v>43126</v>
      </c>
      <c r="B920" s="23" t="s">
        <v>1349</v>
      </c>
      <c r="C920" s="24" t="s">
        <v>6</v>
      </c>
      <c r="D920" s="23" t="s">
        <v>387</v>
      </c>
      <c r="E920" s="23" t="s">
        <v>333</v>
      </c>
      <c r="F920" s="25" t="s">
        <v>1350</v>
      </c>
    </row>
    <row r="921" spans="1:6" x14ac:dyDescent="0.25">
      <c r="A921" s="27">
        <v>43126</v>
      </c>
      <c r="B921" s="23" t="s">
        <v>1351</v>
      </c>
      <c r="C921" s="24" t="s">
        <v>91</v>
      </c>
      <c r="D921" s="23" t="s">
        <v>439</v>
      </c>
      <c r="E921" s="23" t="s">
        <v>333</v>
      </c>
      <c r="F921" s="25" t="s">
        <v>1352</v>
      </c>
    </row>
    <row r="922" spans="1:6" x14ac:dyDescent="0.25">
      <c r="A922" s="27">
        <v>43126</v>
      </c>
      <c r="B922" s="23" t="s">
        <v>1353</v>
      </c>
      <c r="C922" s="24" t="s">
        <v>23</v>
      </c>
      <c r="D922" s="23" t="s">
        <v>336</v>
      </c>
      <c r="E922" s="23" t="s">
        <v>333</v>
      </c>
      <c r="F922" s="25" t="s">
        <v>1277</v>
      </c>
    </row>
    <row r="923" spans="1:6" x14ac:dyDescent="0.25">
      <c r="A923" s="27">
        <v>43126</v>
      </c>
      <c r="B923" s="23" t="s">
        <v>1354</v>
      </c>
      <c r="C923" s="24" t="s">
        <v>19</v>
      </c>
      <c r="D923" s="23" t="s">
        <v>352</v>
      </c>
      <c r="E923" s="23" t="s">
        <v>333</v>
      </c>
      <c r="F923" s="25" t="s">
        <v>1355</v>
      </c>
    </row>
    <row r="924" spans="1:6" x14ac:dyDescent="0.25">
      <c r="A924" s="27">
        <v>43126</v>
      </c>
      <c r="B924" s="23" t="s">
        <v>1356</v>
      </c>
      <c r="C924" s="24" t="s">
        <v>6</v>
      </c>
      <c r="D924" s="23" t="s">
        <v>327</v>
      </c>
      <c r="E924" s="23" t="s">
        <v>333</v>
      </c>
      <c r="F924" s="25" t="s">
        <v>1357</v>
      </c>
    </row>
    <row r="925" spans="1:6" x14ac:dyDescent="0.25">
      <c r="A925" s="27">
        <v>43126</v>
      </c>
      <c r="B925" s="23" t="s">
        <v>1358</v>
      </c>
      <c r="C925" s="24" t="s">
        <v>6</v>
      </c>
      <c r="D925" s="23" t="s">
        <v>327</v>
      </c>
      <c r="E925" s="23" t="s">
        <v>333</v>
      </c>
      <c r="F925" s="25" t="s">
        <v>344</v>
      </c>
    </row>
    <row r="926" spans="1:6" x14ac:dyDescent="0.25">
      <c r="A926" s="27">
        <v>43129</v>
      </c>
      <c r="B926" s="23" t="s">
        <v>1359</v>
      </c>
      <c r="C926" s="24" t="s">
        <v>91</v>
      </c>
      <c r="D926" s="23" t="s">
        <v>343</v>
      </c>
      <c r="E926" s="23" t="s">
        <v>1030</v>
      </c>
    </row>
    <row r="927" spans="1:6" x14ac:dyDescent="0.25">
      <c r="A927" s="27">
        <v>43129</v>
      </c>
      <c r="B927" s="23" t="s">
        <v>1360</v>
      </c>
      <c r="C927" s="24" t="s">
        <v>6</v>
      </c>
      <c r="D927" s="23" t="s">
        <v>439</v>
      </c>
      <c r="E927" s="23" t="s">
        <v>333</v>
      </c>
      <c r="F927" s="25" t="s">
        <v>399</v>
      </c>
    </row>
    <row r="928" spans="1:6" x14ac:dyDescent="0.25">
      <c r="A928" s="27">
        <v>43129</v>
      </c>
      <c r="B928" s="23" t="s">
        <v>1361</v>
      </c>
      <c r="C928" s="24" t="s">
        <v>409</v>
      </c>
      <c r="D928" s="23" t="s">
        <v>484</v>
      </c>
      <c r="E928" s="23" t="s">
        <v>333</v>
      </c>
      <c r="F928" s="25" t="s">
        <v>1362</v>
      </c>
    </row>
    <row r="929" spans="1:6" x14ac:dyDescent="0.25">
      <c r="A929" s="27">
        <v>43129</v>
      </c>
      <c r="B929" s="23" t="s">
        <v>1363</v>
      </c>
      <c r="C929" s="24" t="s">
        <v>6</v>
      </c>
      <c r="D929" s="23" t="s">
        <v>327</v>
      </c>
      <c r="E929" s="23" t="s">
        <v>333</v>
      </c>
      <c r="F929" s="25" t="s">
        <v>1170</v>
      </c>
    </row>
    <row r="930" spans="1:6" x14ac:dyDescent="0.25">
      <c r="A930" s="27">
        <v>43129</v>
      </c>
      <c r="B930" s="23" t="s">
        <v>1333</v>
      </c>
      <c r="C930" s="24" t="s">
        <v>6</v>
      </c>
      <c r="D930" s="23" t="s">
        <v>352</v>
      </c>
      <c r="E930" s="23" t="s">
        <v>333</v>
      </c>
      <c r="F930" s="25" t="s">
        <v>655</v>
      </c>
    </row>
    <row r="931" spans="1:6" x14ac:dyDescent="0.25">
      <c r="A931" s="27">
        <v>43129</v>
      </c>
      <c r="B931" s="23" t="s">
        <v>1364</v>
      </c>
      <c r="C931" s="24" t="s">
        <v>6</v>
      </c>
      <c r="E931" s="23" t="s">
        <v>1365</v>
      </c>
    </row>
    <row r="932" spans="1:6" x14ac:dyDescent="0.25">
      <c r="A932" s="27">
        <v>43130</v>
      </c>
      <c r="B932" s="23" t="s">
        <v>1366</v>
      </c>
      <c r="C932" s="24" t="s">
        <v>6</v>
      </c>
      <c r="D932" s="23" t="s">
        <v>542</v>
      </c>
      <c r="E932" s="23" t="s">
        <v>1367</v>
      </c>
    </row>
    <row r="933" spans="1:6" ht="45.75" x14ac:dyDescent="0.25">
      <c r="A933" s="27">
        <v>43130</v>
      </c>
      <c r="B933" s="23" t="s">
        <v>1368</v>
      </c>
      <c r="C933" s="24" t="s">
        <v>1369</v>
      </c>
    </row>
    <row r="934" spans="1:6" x14ac:dyDescent="0.25">
      <c r="A934" s="27">
        <v>43130</v>
      </c>
      <c r="B934" s="23" t="s">
        <v>1370</v>
      </c>
      <c r="C934" s="24" t="s">
        <v>19</v>
      </c>
      <c r="D934" s="23" t="s">
        <v>470</v>
      </c>
      <c r="E934" s="23" t="s">
        <v>328</v>
      </c>
    </row>
    <row r="935" spans="1:6" x14ac:dyDescent="0.25">
      <c r="A935" s="27">
        <v>43131</v>
      </c>
      <c r="B935" s="23" t="s">
        <v>1371</v>
      </c>
      <c r="C935" s="24" t="s">
        <v>6</v>
      </c>
      <c r="D935" s="23" t="s">
        <v>343</v>
      </c>
      <c r="E935" s="23" t="s">
        <v>341</v>
      </c>
    </row>
    <row r="936" spans="1:6" x14ac:dyDescent="0.25">
      <c r="A936" s="27">
        <v>43131</v>
      </c>
      <c r="B936" s="23" t="s">
        <v>1372</v>
      </c>
      <c r="C936" s="24" t="s">
        <v>6</v>
      </c>
      <c r="D936" s="23" t="s">
        <v>438</v>
      </c>
      <c r="E936" s="23" t="s">
        <v>333</v>
      </c>
      <c r="F936" s="25" t="s">
        <v>1373</v>
      </c>
    </row>
    <row r="937" spans="1:6" x14ac:dyDescent="0.25">
      <c r="A937" s="27">
        <v>43131</v>
      </c>
      <c r="B937" s="23" t="s">
        <v>1374</v>
      </c>
      <c r="C937" s="24" t="s">
        <v>6</v>
      </c>
      <c r="D937" s="23" t="s">
        <v>438</v>
      </c>
      <c r="E937" s="23" t="s">
        <v>333</v>
      </c>
      <c r="F937" s="25" t="s">
        <v>1296</v>
      </c>
    </row>
    <row r="938" spans="1:6" x14ac:dyDescent="0.25">
      <c r="A938" s="27">
        <v>43131</v>
      </c>
      <c r="B938" s="23" t="s">
        <v>1375</v>
      </c>
      <c r="C938" s="24" t="s">
        <v>122</v>
      </c>
      <c r="D938" s="23" t="s">
        <v>438</v>
      </c>
      <c r="E938" s="23" t="s">
        <v>333</v>
      </c>
      <c r="F938" s="25" t="s">
        <v>1376</v>
      </c>
    </row>
    <row r="939" spans="1:6" x14ac:dyDescent="0.25">
      <c r="A939" s="27">
        <v>43131</v>
      </c>
      <c r="B939" s="23" t="s">
        <v>1377</v>
      </c>
      <c r="C939" s="24" t="s">
        <v>6</v>
      </c>
      <c r="D939" s="23" t="s">
        <v>516</v>
      </c>
      <c r="E939" s="23" t="s">
        <v>333</v>
      </c>
      <c r="F939" s="25" t="s">
        <v>1343</v>
      </c>
    </row>
    <row r="940" spans="1:6" x14ac:dyDescent="0.25">
      <c r="A940" s="27">
        <v>43131</v>
      </c>
      <c r="B940" s="23" t="s">
        <v>1378</v>
      </c>
      <c r="C940" s="24" t="s">
        <v>19</v>
      </c>
      <c r="D940" s="23" t="s">
        <v>327</v>
      </c>
      <c r="E940" s="23" t="s">
        <v>333</v>
      </c>
      <c r="F940" s="25" t="s">
        <v>1357</v>
      </c>
    </row>
    <row r="941" spans="1:6" x14ac:dyDescent="0.25">
      <c r="A941" s="27">
        <v>43131</v>
      </c>
      <c r="B941" s="23" t="s">
        <v>1379</v>
      </c>
      <c r="C941" s="24" t="s">
        <v>19</v>
      </c>
      <c r="D941" s="23" t="s">
        <v>438</v>
      </c>
      <c r="E941" s="23" t="s">
        <v>333</v>
      </c>
      <c r="F941" s="25" t="s">
        <v>1380</v>
      </c>
    </row>
    <row r="942" spans="1:6" x14ac:dyDescent="0.25">
      <c r="A942" s="27">
        <v>43132</v>
      </c>
      <c r="B942" s="23" t="s">
        <v>1381</v>
      </c>
      <c r="C942" s="24" t="s">
        <v>19</v>
      </c>
      <c r="D942" s="23" t="s">
        <v>343</v>
      </c>
      <c r="E942" s="23" t="s">
        <v>341</v>
      </c>
    </row>
    <row r="943" spans="1:6" x14ac:dyDescent="0.25">
      <c r="A943" s="27">
        <v>43132</v>
      </c>
      <c r="B943" s="23" t="s">
        <v>1382</v>
      </c>
      <c r="C943" s="24" t="s">
        <v>6</v>
      </c>
      <c r="D943" s="23" t="s">
        <v>413</v>
      </c>
      <c r="E943" s="23" t="s">
        <v>333</v>
      </c>
      <c r="F943" s="25" t="s">
        <v>1021</v>
      </c>
    </row>
    <row r="944" spans="1:6" x14ac:dyDescent="0.25">
      <c r="A944" s="27">
        <v>43132</v>
      </c>
      <c r="B944" s="23" t="s">
        <v>1383</v>
      </c>
      <c r="C944" s="24" t="s">
        <v>6</v>
      </c>
      <c r="D944" s="23" t="s">
        <v>357</v>
      </c>
      <c r="E944" s="23" t="s">
        <v>333</v>
      </c>
      <c r="F944" s="25" t="s">
        <v>1384</v>
      </c>
    </row>
    <row r="945" spans="1:6" x14ac:dyDescent="0.25">
      <c r="A945" s="27">
        <v>43132</v>
      </c>
      <c r="B945" s="23" t="s">
        <v>1310</v>
      </c>
      <c r="C945" s="24" t="s">
        <v>39</v>
      </c>
      <c r="D945" s="23" t="s">
        <v>352</v>
      </c>
      <c r="E945" s="23" t="s">
        <v>333</v>
      </c>
      <c r="F945" s="25" t="s">
        <v>655</v>
      </c>
    </row>
    <row r="946" spans="1:6" x14ac:dyDescent="0.25">
      <c r="A946" s="27">
        <v>43132</v>
      </c>
      <c r="B946" s="23" t="s">
        <v>1385</v>
      </c>
      <c r="C946" s="24" t="s">
        <v>6</v>
      </c>
      <c r="D946" s="23" t="s">
        <v>439</v>
      </c>
      <c r="E946" s="23" t="s">
        <v>333</v>
      </c>
      <c r="F946" s="25" t="s">
        <v>377</v>
      </c>
    </row>
    <row r="947" spans="1:6" x14ac:dyDescent="0.25">
      <c r="A947" s="27">
        <v>43133</v>
      </c>
      <c r="B947" s="23" t="s">
        <v>1386</v>
      </c>
      <c r="C947" s="24" t="s">
        <v>91</v>
      </c>
      <c r="D947" s="23" t="s">
        <v>388</v>
      </c>
      <c r="E947" s="23" t="s">
        <v>333</v>
      </c>
      <c r="F947" s="25" t="s">
        <v>346</v>
      </c>
    </row>
    <row r="948" spans="1:6" x14ac:dyDescent="0.25">
      <c r="A948" s="27">
        <v>43133</v>
      </c>
      <c r="B948" s="23" t="s">
        <v>1387</v>
      </c>
      <c r="C948" s="24" t="s">
        <v>6</v>
      </c>
      <c r="D948" s="23" t="s">
        <v>441</v>
      </c>
      <c r="E948" s="23" t="s">
        <v>333</v>
      </c>
      <c r="F948" s="25" t="s">
        <v>1388</v>
      </c>
    </row>
    <row r="949" spans="1:6" x14ac:dyDescent="0.25">
      <c r="A949" s="27">
        <v>43133</v>
      </c>
      <c r="B949" s="23" t="s">
        <v>1389</v>
      </c>
      <c r="C949" s="24" t="s">
        <v>6</v>
      </c>
      <c r="D949" s="23" t="s">
        <v>387</v>
      </c>
      <c r="E949" s="23" t="s">
        <v>333</v>
      </c>
      <c r="F949" s="25" t="s">
        <v>346</v>
      </c>
    </row>
    <row r="950" spans="1:6" x14ac:dyDescent="0.25">
      <c r="A950" s="27">
        <v>43133</v>
      </c>
      <c r="B950" s="23" t="s">
        <v>1390</v>
      </c>
      <c r="C950" s="24" t="s">
        <v>19</v>
      </c>
      <c r="D950" s="23" t="s">
        <v>628</v>
      </c>
      <c r="E950" s="23" t="s">
        <v>1367</v>
      </c>
    </row>
    <row r="951" spans="1:6" x14ac:dyDescent="0.25">
      <c r="A951" s="27">
        <v>43133</v>
      </c>
      <c r="B951" s="23" t="s">
        <v>1391</v>
      </c>
      <c r="C951" s="24" t="s">
        <v>19</v>
      </c>
      <c r="D951" s="23" t="s">
        <v>441</v>
      </c>
      <c r="E951" s="23" t="s">
        <v>333</v>
      </c>
      <c r="F951" s="25" t="s">
        <v>1296</v>
      </c>
    </row>
    <row r="952" spans="1:6" x14ac:dyDescent="0.25">
      <c r="A952" s="27">
        <v>43133</v>
      </c>
      <c r="B952" s="23" t="s">
        <v>1392</v>
      </c>
      <c r="C952" s="24" t="s">
        <v>19</v>
      </c>
      <c r="D952" s="23" t="s">
        <v>486</v>
      </c>
      <c r="E952" s="23" t="s">
        <v>333</v>
      </c>
      <c r="F952" s="25" t="s">
        <v>968</v>
      </c>
    </row>
    <row r="953" spans="1:6" x14ac:dyDescent="0.25">
      <c r="A953" s="27">
        <v>43133</v>
      </c>
      <c r="B953" s="23" t="s">
        <v>1393</v>
      </c>
      <c r="C953" s="24" t="s">
        <v>6</v>
      </c>
      <c r="D953" s="23" t="s">
        <v>336</v>
      </c>
      <c r="E953" s="23" t="s">
        <v>333</v>
      </c>
      <c r="F953" s="25" t="s">
        <v>1394</v>
      </c>
    </row>
    <row r="954" spans="1:6" x14ac:dyDescent="0.25">
      <c r="A954" s="27">
        <v>43133</v>
      </c>
      <c r="B954" s="23" t="s">
        <v>1395</v>
      </c>
      <c r="C954" s="24" t="s">
        <v>6</v>
      </c>
      <c r="D954" s="23" t="s">
        <v>352</v>
      </c>
      <c r="E954" s="23" t="s">
        <v>333</v>
      </c>
      <c r="F954" s="25" t="s">
        <v>1355</v>
      </c>
    </row>
    <row r="955" spans="1:6" x14ac:dyDescent="0.25">
      <c r="A955" s="27">
        <v>43133</v>
      </c>
      <c r="B955" s="23" t="s">
        <v>1396</v>
      </c>
      <c r="C955" s="24" t="s">
        <v>6</v>
      </c>
      <c r="D955" s="23" t="s">
        <v>439</v>
      </c>
      <c r="E955" s="23" t="s">
        <v>333</v>
      </c>
      <c r="F955" s="25" t="s">
        <v>399</v>
      </c>
    </row>
    <row r="956" spans="1:6" x14ac:dyDescent="0.25">
      <c r="A956" s="27">
        <v>43133</v>
      </c>
      <c r="B956" s="23" t="s">
        <v>1397</v>
      </c>
      <c r="C956" s="24" t="s">
        <v>39</v>
      </c>
      <c r="D956" s="23" t="s">
        <v>486</v>
      </c>
      <c r="E956" s="23" t="s">
        <v>333</v>
      </c>
      <c r="F956" s="25" t="s">
        <v>1355</v>
      </c>
    </row>
    <row r="957" spans="1:6" x14ac:dyDescent="0.25">
      <c r="A957" s="27">
        <v>43133</v>
      </c>
      <c r="B957" s="23" t="s">
        <v>1398</v>
      </c>
      <c r="C957" s="24" t="s">
        <v>409</v>
      </c>
      <c r="D957" s="23" t="s">
        <v>550</v>
      </c>
      <c r="E957" s="23" t="s">
        <v>333</v>
      </c>
      <c r="F957" s="25" t="s">
        <v>399</v>
      </c>
    </row>
    <row r="958" spans="1:6" x14ac:dyDescent="0.25">
      <c r="A958" s="27">
        <v>43133</v>
      </c>
      <c r="B958" s="23" t="s">
        <v>1399</v>
      </c>
      <c r="C958" s="24" t="s">
        <v>6</v>
      </c>
      <c r="D958" s="23" t="s">
        <v>352</v>
      </c>
      <c r="E958" s="23" t="s">
        <v>333</v>
      </c>
      <c r="F958" s="25" t="s">
        <v>399</v>
      </c>
    </row>
    <row r="959" spans="1:6" x14ac:dyDescent="0.25">
      <c r="A959" s="27">
        <v>43136</v>
      </c>
      <c r="B959" s="23" t="s">
        <v>1400</v>
      </c>
      <c r="C959" s="24" t="s">
        <v>80</v>
      </c>
      <c r="D959" s="23" t="s">
        <v>413</v>
      </c>
      <c r="E959" s="23" t="s">
        <v>333</v>
      </c>
      <c r="F959" s="25" t="s">
        <v>375</v>
      </c>
    </row>
    <row r="960" spans="1:6" x14ac:dyDescent="0.25">
      <c r="A960" s="27">
        <v>43136</v>
      </c>
      <c r="B960" s="23" t="s">
        <v>1401</v>
      </c>
      <c r="C960" s="24" t="s">
        <v>6</v>
      </c>
      <c r="D960" s="23" t="s">
        <v>470</v>
      </c>
      <c r="E960" s="23" t="s">
        <v>333</v>
      </c>
      <c r="F960" s="25" t="s">
        <v>1402</v>
      </c>
    </row>
    <row r="961" spans="1:6" x14ac:dyDescent="0.25">
      <c r="A961" s="27">
        <v>43136</v>
      </c>
      <c r="B961" s="23" t="s">
        <v>1403</v>
      </c>
      <c r="C961" s="24" t="s">
        <v>6</v>
      </c>
      <c r="D961" s="23" t="s">
        <v>352</v>
      </c>
      <c r="E961" s="23" t="s">
        <v>333</v>
      </c>
      <c r="F961" s="25" t="s">
        <v>655</v>
      </c>
    </row>
    <row r="962" spans="1:6" x14ac:dyDescent="0.25">
      <c r="A962" s="27">
        <v>43136</v>
      </c>
      <c r="B962" s="23" t="s">
        <v>1404</v>
      </c>
      <c r="C962" s="24" t="s">
        <v>241</v>
      </c>
      <c r="D962" s="23" t="s">
        <v>486</v>
      </c>
      <c r="E962" s="23" t="s">
        <v>333</v>
      </c>
      <c r="F962" s="25" t="s">
        <v>1405</v>
      </c>
    </row>
    <row r="963" spans="1:6" x14ac:dyDescent="0.25">
      <c r="A963" s="27">
        <v>43136</v>
      </c>
      <c r="B963" s="23" t="s">
        <v>1406</v>
      </c>
      <c r="C963" s="24" t="s">
        <v>6</v>
      </c>
      <c r="D963" s="23" t="s">
        <v>439</v>
      </c>
      <c r="E963" s="23" t="s">
        <v>333</v>
      </c>
      <c r="F963" s="25" t="s">
        <v>655</v>
      </c>
    </row>
    <row r="964" spans="1:6" x14ac:dyDescent="0.25">
      <c r="A964" s="27">
        <v>43136</v>
      </c>
      <c r="B964" s="23" t="s">
        <v>1407</v>
      </c>
      <c r="C964" s="24" t="s">
        <v>1408</v>
      </c>
      <c r="D964" s="23" t="s">
        <v>357</v>
      </c>
      <c r="E964" s="23" t="s">
        <v>333</v>
      </c>
      <c r="F964" s="25" t="s">
        <v>1021</v>
      </c>
    </row>
    <row r="965" spans="1:6" x14ac:dyDescent="0.25">
      <c r="A965" s="27">
        <v>43136</v>
      </c>
      <c r="B965" s="23" t="s">
        <v>174</v>
      </c>
      <c r="C965" s="24" t="s">
        <v>6</v>
      </c>
      <c r="D965" s="23" t="s">
        <v>486</v>
      </c>
      <c r="E965" s="23" t="s">
        <v>1409</v>
      </c>
    </row>
    <row r="966" spans="1:6" x14ac:dyDescent="0.25">
      <c r="A966" s="27">
        <v>43137</v>
      </c>
      <c r="B966" s="23" t="s">
        <v>1410</v>
      </c>
      <c r="C966" s="24" t="s">
        <v>6</v>
      </c>
      <c r="D966" s="23" t="s">
        <v>486</v>
      </c>
      <c r="E966" s="23" t="s">
        <v>333</v>
      </c>
      <c r="F966" s="25" t="s">
        <v>1411</v>
      </c>
    </row>
    <row r="967" spans="1:6" x14ac:dyDescent="0.25">
      <c r="A967" s="27">
        <v>43137</v>
      </c>
      <c r="B967" s="23" t="s">
        <v>1412</v>
      </c>
      <c r="C967" s="24" t="s">
        <v>17</v>
      </c>
      <c r="D967" s="23" t="s">
        <v>352</v>
      </c>
      <c r="E967" s="23" t="s">
        <v>333</v>
      </c>
      <c r="F967" s="25" t="s">
        <v>1355</v>
      </c>
    </row>
    <row r="968" spans="1:6" ht="30.75" x14ac:dyDescent="0.25">
      <c r="A968" s="27">
        <v>43138</v>
      </c>
      <c r="B968" s="23" t="s">
        <v>1413</v>
      </c>
      <c r="C968" s="24" t="s">
        <v>1414</v>
      </c>
      <c r="D968" s="23" t="s">
        <v>352</v>
      </c>
      <c r="E968" s="23" t="s">
        <v>333</v>
      </c>
      <c r="F968" s="25" t="s">
        <v>530</v>
      </c>
    </row>
    <row r="969" spans="1:6" x14ac:dyDescent="0.25">
      <c r="A969" s="27">
        <v>43138</v>
      </c>
      <c r="B969" s="23" t="s">
        <v>1415</v>
      </c>
      <c r="C969" s="24" t="s">
        <v>91</v>
      </c>
      <c r="D969" s="23" t="s">
        <v>470</v>
      </c>
      <c r="E969" s="23" t="s">
        <v>333</v>
      </c>
      <c r="F969" s="25" t="s">
        <v>375</v>
      </c>
    </row>
    <row r="970" spans="1:6" x14ac:dyDescent="0.25">
      <c r="A970" s="27">
        <v>43138</v>
      </c>
      <c r="B970" s="23" t="s">
        <v>1416</v>
      </c>
      <c r="C970" s="24" t="s">
        <v>1417</v>
      </c>
      <c r="D970" s="23" t="s">
        <v>486</v>
      </c>
      <c r="E970" s="23" t="s">
        <v>333</v>
      </c>
      <c r="F970" s="25" t="s">
        <v>1418</v>
      </c>
    </row>
    <row r="971" spans="1:6" x14ac:dyDescent="0.25">
      <c r="A971" s="27">
        <v>43138</v>
      </c>
      <c r="B971" s="23" t="s">
        <v>1419</v>
      </c>
      <c r="C971" s="24" t="s">
        <v>17</v>
      </c>
      <c r="D971" s="23" t="s">
        <v>352</v>
      </c>
      <c r="E971" s="23" t="s">
        <v>333</v>
      </c>
      <c r="F971" s="25" t="s">
        <v>1296</v>
      </c>
    </row>
    <row r="972" spans="1:6" x14ac:dyDescent="0.25">
      <c r="A972" s="27">
        <v>43138</v>
      </c>
      <c r="B972" s="23" t="s">
        <v>1420</v>
      </c>
      <c r="C972" s="24" t="s">
        <v>17</v>
      </c>
      <c r="D972" s="23" t="s">
        <v>336</v>
      </c>
      <c r="E972" s="23" t="s">
        <v>333</v>
      </c>
      <c r="F972" s="25" t="s">
        <v>399</v>
      </c>
    </row>
    <row r="973" spans="1:6" x14ac:dyDescent="0.25">
      <c r="A973" s="27">
        <v>43138</v>
      </c>
      <c r="B973" s="23" t="s">
        <v>1421</v>
      </c>
      <c r="C973" s="24" t="s">
        <v>1422</v>
      </c>
      <c r="D973" s="23" t="s">
        <v>352</v>
      </c>
      <c r="E973" s="23" t="s">
        <v>333</v>
      </c>
      <c r="F973" s="25" t="s">
        <v>1423</v>
      </c>
    </row>
    <row r="974" spans="1:6" ht="30.75" x14ac:dyDescent="0.25">
      <c r="A974" s="27">
        <v>43138</v>
      </c>
      <c r="B974" s="23" t="s">
        <v>1424</v>
      </c>
      <c r="C974" s="24" t="s">
        <v>1425</v>
      </c>
      <c r="D974" s="23" t="s">
        <v>352</v>
      </c>
      <c r="E974" s="23" t="s">
        <v>333</v>
      </c>
      <c r="F974" s="25" t="s">
        <v>655</v>
      </c>
    </row>
    <row r="975" spans="1:6" x14ac:dyDescent="0.25">
      <c r="A975" s="27">
        <v>43138</v>
      </c>
      <c r="B975" s="23" t="s">
        <v>1426</v>
      </c>
      <c r="C975" s="24" t="s">
        <v>91</v>
      </c>
      <c r="D975" s="23" t="s">
        <v>470</v>
      </c>
      <c r="E975" s="23" t="s">
        <v>333</v>
      </c>
      <c r="F975" s="25" t="s">
        <v>591</v>
      </c>
    </row>
    <row r="976" spans="1:6" x14ac:dyDescent="0.25">
      <c r="A976" s="27">
        <v>43138</v>
      </c>
      <c r="B976" s="23" t="s">
        <v>1427</v>
      </c>
      <c r="C976" s="24" t="s">
        <v>17</v>
      </c>
      <c r="D976" s="23" t="s">
        <v>486</v>
      </c>
      <c r="E976" s="23" t="s">
        <v>333</v>
      </c>
      <c r="F976" s="25" t="s">
        <v>1428</v>
      </c>
    </row>
    <row r="977" spans="1:6" x14ac:dyDescent="0.25">
      <c r="A977" s="27">
        <v>43138</v>
      </c>
      <c r="B977" s="23" t="s">
        <v>1429</v>
      </c>
      <c r="C977" s="24" t="s">
        <v>91</v>
      </c>
      <c r="D977" s="23" t="s">
        <v>486</v>
      </c>
      <c r="E977" s="23" t="s">
        <v>333</v>
      </c>
      <c r="F977" s="25" t="s">
        <v>1430</v>
      </c>
    </row>
    <row r="978" spans="1:6" x14ac:dyDescent="0.25">
      <c r="A978" s="27">
        <v>43138</v>
      </c>
      <c r="B978" s="23" t="s">
        <v>1431</v>
      </c>
      <c r="C978" s="24" t="s">
        <v>91</v>
      </c>
      <c r="D978" s="23" t="s">
        <v>352</v>
      </c>
      <c r="E978" s="23" t="s">
        <v>333</v>
      </c>
      <c r="F978" s="25" t="s">
        <v>1384</v>
      </c>
    </row>
    <row r="979" spans="1:6" x14ac:dyDescent="0.25">
      <c r="A979" s="27">
        <v>43138</v>
      </c>
      <c r="B979" s="23" t="s">
        <v>1432</v>
      </c>
      <c r="C979" s="24" t="s">
        <v>17</v>
      </c>
      <c r="D979" s="23" t="s">
        <v>352</v>
      </c>
      <c r="E979" s="23" t="s">
        <v>333</v>
      </c>
      <c r="F979" s="25" t="s">
        <v>1433</v>
      </c>
    </row>
    <row r="980" spans="1:6" x14ac:dyDescent="0.25">
      <c r="A980" s="27">
        <v>43138</v>
      </c>
      <c r="B980" s="23" t="s">
        <v>1434</v>
      </c>
      <c r="C980" s="24" t="s">
        <v>17</v>
      </c>
      <c r="D980" s="23" t="s">
        <v>336</v>
      </c>
      <c r="E980" s="23" t="s">
        <v>333</v>
      </c>
      <c r="F980" s="25" t="s">
        <v>1277</v>
      </c>
    </row>
    <row r="981" spans="1:6" x14ac:dyDescent="0.25">
      <c r="A981" s="27">
        <v>43138</v>
      </c>
      <c r="B981" s="23" t="s">
        <v>1435</v>
      </c>
      <c r="C981" s="24" t="s">
        <v>19</v>
      </c>
      <c r="D981" s="23" t="s">
        <v>352</v>
      </c>
      <c r="E981" s="23" t="s">
        <v>333</v>
      </c>
      <c r="F981" s="25" t="s">
        <v>1436</v>
      </c>
    </row>
    <row r="982" spans="1:6" x14ac:dyDescent="0.25">
      <c r="A982" s="27">
        <v>43138</v>
      </c>
      <c r="B982" s="23" t="s">
        <v>1437</v>
      </c>
      <c r="C982" s="24" t="s">
        <v>39</v>
      </c>
      <c r="D982" s="23" t="s">
        <v>352</v>
      </c>
      <c r="E982" s="23" t="s">
        <v>333</v>
      </c>
      <c r="F982" s="25" t="s">
        <v>1438</v>
      </c>
    </row>
    <row r="983" spans="1:6" x14ac:dyDescent="0.25">
      <c r="A983" s="27">
        <v>43138</v>
      </c>
      <c r="B983" s="23" t="s">
        <v>1439</v>
      </c>
      <c r="C983" s="24" t="s">
        <v>6</v>
      </c>
      <c r="D983" s="23" t="s">
        <v>352</v>
      </c>
      <c r="E983" s="23" t="s">
        <v>333</v>
      </c>
      <c r="F983" s="25" t="s">
        <v>530</v>
      </c>
    </row>
    <row r="984" spans="1:6" x14ac:dyDescent="0.25">
      <c r="A984" s="27">
        <v>43138</v>
      </c>
      <c r="B984" s="23" t="s">
        <v>1440</v>
      </c>
      <c r="C984" s="24" t="s">
        <v>1268</v>
      </c>
      <c r="D984" s="23" t="s">
        <v>387</v>
      </c>
      <c r="E984" s="23" t="s">
        <v>333</v>
      </c>
      <c r="F984" s="25" t="s">
        <v>346</v>
      </c>
    </row>
    <row r="985" spans="1:6" x14ac:dyDescent="0.25">
      <c r="A985" s="27">
        <v>43138</v>
      </c>
      <c r="B985" s="23" t="s">
        <v>1441</v>
      </c>
      <c r="C985" s="24" t="s">
        <v>91</v>
      </c>
      <c r="D985" s="23" t="s">
        <v>343</v>
      </c>
      <c r="E985" s="23" t="s">
        <v>333</v>
      </c>
    </row>
    <row r="986" spans="1:6" x14ac:dyDescent="0.25">
      <c r="A986" s="27">
        <v>43138</v>
      </c>
      <c r="B986" s="23" t="s">
        <v>1442</v>
      </c>
      <c r="C986" s="24" t="s">
        <v>19</v>
      </c>
      <c r="D986" s="23" t="s">
        <v>387</v>
      </c>
      <c r="E986" s="23" t="s">
        <v>333</v>
      </c>
      <c r="F986" s="25" t="s">
        <v>918</v>
      </c>
    </row>
    <row r="987" spans="1:6" ht="30.75" x14ac:dyDescent="0.25">
      <c r="A987" s="27">
        <v>43138</v>
      </c>
      <c r="B987" s="23" t="s">
        <v>1443</v>
      </c>
      <c r="C987" s="24" t="s">
        <v>1444</v>
      </c>
      <c r="D987" s="23" t="s">
        <v>387</v>
      </c>
      <c r="E987" s="23" t="s">
        <v>333</v>
      </c>
      <c r="F987" s="25" t="s">
        <v>837</v>
      </c>
    </row>
    <row r="988" spans="1:6" x14ac:dyDescent="0.25">
      <c r="A988" s="27">
        <v>43138</v>
      </c>
      <c r="B988" s="23" t="s">
        <v>1445</v>
      </c>
      <c r="C988" s="24" t="s">
        <v>23</v>
      </c>
      <c r="D988" s="23" t="s">
        <v>334</v>
      </c>
      <c r="E988" s="23" t="s">
        <v>333</v>
      </c>
      <c r="F988" s="25" t="s">
        <v>942</v>
      </c>
    </row>
    <row r="989" spans="1:6" x14ac:dyDescent="0.25">
      <c r="A989" s="27">
        <v>43138</v>
      </c>
      <c r="B989" s="23" t="s">
        <v>1446</v>
      </c>
      <c r="C989" s="24" t="s">
        <v>6</v>
      </c>
      <c r="D989" s="23" t="s">
        <v>334</v>
      </c>
      <c r="E989" s="23" t="s">
        <v>333</v>
      </c>
      <c r="F989" s="25" t="s">
        <v>942</v>
      </c>
    </row>
    <row r="990" spans="1:6" x14ac:dyDescent="0.25">
      <c r="A990" s="27">
        <v>43138</v>
      </c>
      <c r="B990" s="23" t="s">
        <v>1447</v>
      </c>
      <c r="C990" s="24" t="s">
        <v>409</v>
      </c>
      <c r="D990" s="23" t="s">
        <v>628</v>
      </c>
      <c r="E990" s="23" t="s">
        <v>333</v>
      </c>
      <c r="F990" s="25" t="s">
        <v>1448</v>
      </c>
    </row>
    <row r="991" spans="1:6" x14ac:dyDescent="0.25">
      <c r="A991" s="27">
        <v>43138</v>
      </c>
      <c r="B991" s="23" t="s">
        <v>1449</v>
      </c>
      <c r="C991" s="24" t="s">
        <v>39</v>
      </c>
      <c r="D991" s="23" t="s">
        <v>528</v>
      </c>
      <c r="E991" s="23" t="s">
        <v>410</v>
      </c>
    </row>
    <row r="992" spans="1:6" x14ac:dyDescent="0.25">
      <c r="A992" s="27">
        <v>43138</v>
      </c>
      <c r="B992" s="23" t="s">
        <v>1450</v>
      </c>
      <c r="C992" s="24" t="s">
        <v>91</v>
      </c>
      <c r="D992" s="23" t="s">
        <v>441</v>
      </c>
      <c r="E992" s="23" t="s">
        <v>333</v>
      </c>
      <c r="F992" s="25" t="s">
        <v>377</v>
      </c>
    </row>
    <row r="993" spans="1:6" x14ac:dyDescent="0.25">
      <c r="A993" s="27">
        <v>43138</v>
      </c>
      <c r="B993" s="23" t="s">
        <v>1451</v>
      </c>
      <c r="C993" s="24" t="s">
        <v>6</v>
      </c>
      <c r="D993" s="23" t="s">
        <v>441</v>
      </c>
      <c r="E993" s="23" t="s">
        <v>333</v>
      </c>
      <c r="F993" s="25" t="s">
        <v>718</v>
      </c>
    </row>
    <row r="994" spans="1:6" x14ac:dyDescent="0.25">
      <c r="A994" s="27">
        <v>43138</v>
      </c>
      <c r="B994" s="23" t="s">
        <v>1351</v>
      </c>
      <c r="C994" s="24" t="s">
        <v>6</v>
      </c>
      <c r="D994" s="23" t="s">
        <v>439</v>
      </c>
      <c r="E994" s="23" t="s">
        <v>333</v>
      </c>
      <c r="F994" s="25" t="s">
        <v>1452</v>
      </c>
    </row>
    <row r="995" spans="1:6" x14ac:dyDescent="0.25">
      <c r="A995" s="27">
        <v>43138</v>
      </c>
      <c r="B995" s="23" t="s">
        <v>1329</v>
      </c>
      <c r="C995" s="24" t="s">
        <v>91</v>
      </c>
      <c r="D995" s="23" t="s">
        <v>486</v>
      </c>
      <c r="E995" s="23" t="s">
        <v>333</v>
      </c>
      <c r="F995" s="25" t="s">
        <v>1277</v>
      </c>
    </row>
    <row r="996" spans="1:6" x14ac:dyDescent="0.25">
      <c r="A996" s="27">
        <v>43138</v>
      </c>
      <c r="B996" s="23" t="s">
        <v>1453</v>
      </c>
      <c r="C996" s="24" t="s">
        <v>6</v>
      </c>
      <c r="D996" s="23" t="s">
        <v>441</v>
      </c>
      <c r="E996" s="23" t="s">
        <v>333</v>
      </c>
      <c r="F996" s="25" t="s">
        <v>718</v>
      </c>
    </row>
    <row r="997" spans="1:6" x14ac:dyDescent="0.25">
      <c r="A997" s="27">
        <v>43139</v>
      </c>
      <c r="B997" s="23" t="s">
        <v>1454</v>
      </c>
      <c r="C997" s="24" t="s">
        <v>80</v>
      </c>
      <c r="D997" s="23" t="s">
        <v>439</v>
      </c>
      <c r="E997" s="23" t="s">
        <v>333</v>
      </c>
      <c r="F997" s="25" t="s">
        <v>1455</v>
      </c>
    </row>
    <row r="998" spans="1:6" x14ac:dyDescent="0.25">
      <c r="A998" s="27">
        <v>43139</v>
      </c>
      <c r="B998" s="23" t="s">
        <v>1456</v>
      </c>
      <c r="C998" s="24" t="s">
        <v>80</v>
      </c>
      <c r="D998" s="23" t="s">
        <v>357</v>
      </c>
      <c r="E998" s="23" t="s">
        <v>333</v>
      </c>
      <c r="F998" s="25" t="s">
        <v>1457</v>
      </c>
    </row>
    <row r="999" spans="1:6" x14ac:dyDescent="0.25">
      <c r="A999" s="27">
        <v>43139</v>
      </c>
      <c r="B999" s="23" t="s">
        <v>1458</v>
      </c>
      <c r="C999" s="24" t="s">
        <v>241</v>
      </c>
      <c r="D999" s="23" t="s">
        <v>357</v>
      </c>
      <c r="E999" s="23" t="s">
        <v>333</v>
      </c>
      <c r="F999" s="25" t="s">
        <v>1459</v>
      </c>
    </row>
    <row r="1000" spans="1:6" x14ac:dyDescent="0.25">
      <c r="A1000" s="27">
        <v>43139</v>
      </c>
      <c r="B1000" s="23" t="s">
        <v>1460</v>
      </c>
      <c r="C1000" s="24" t="s">
        <v>91</v>
      </c>
      <c r="D1000" s="23" t="s">
        <v>334</v>
      </c>
      <c r="E1000" s="23" t="s">
        <v>333</v>
      </c>
      <c r="F1000" s="25" t="s">
        <v>1461</v>
      </c>
    </row>
    <row r="1001" spans="1:6" x14ac:dyDescent="0.25">
      <c r="A1001" s="27">
        <v>43140</v>
      </c>
      <c r="B1001" s="23" t="s">
        <v>1462</v>
      </c>
      <c r="C1001" s="24" t="s">
        <v>91</v>
      </c>
      <c r="D1001" s="23" t="s">
        <v>334</v>
      </c>
      <c r="E1001" s="23" t="s">
        <v>333</v>
      </c>
      <c r="F1001" s="25" t="s">
        <v>942</v>
      </c>
    </row>
    <row r="1002" spans="1:6" x14ac:dyDescent="0.25">
      <c r="A1002" s="27">
        <v>43140</v>
      </c>
      <c r="B1002" s="23" t="s">
        <v>1463</v>
      </c>
      <c r="C1002" s="24" t="s">
        <v>19</v>
      </c>
      <c r="D1002" s="23" t="s">
        <v>441</v>
      </c>
      <c r="E1002" s="23" t="s">
        <v>333</v>
      </c>
      <c r="F1002" s="25" t="s">
        <v>419</v>
      </c>
    </row>
    <row r="1003" spans="1:6" x14ac:dyDescent="0.25">
      <c r="A1003" s="27">
        <v>43140</v>
      </c>
      <c r="B1003" s="23" t="s">
        <v>1464</v>
      </c>
      <c r="C1003" s="24" t="s">
        <v>91</v>
      </c>
      <c r="D1003" s="23" t="s">
        <v>380</v>
      </c>
      <c r="E1003" s="23" t="s">
        <v>333</v>
      </c>
      <c r="F1003" s="25" t="s">
        <v>1296</v>
      </c>
    </row>
    <row r="1004" spans="1:6" x14ac:dyDescent="0.25">
      <c r="A1004" s="27">
        <v>43140</v>
      </c>
      <c r="B1004" s="23" t="s">
        <v>1465</v>
      </c>
      <c r="C1004" s="24" t="s">
        <v>6</v>
      </c>
      <c r="D1004" s="23" t="s">
        <v>357</v>
      </c>
      <c r="E1004" s="23" t="s">
        <v>333</v>
      </c>
      <c r="F1004" s="25" t="s">
        <v>1296</v>
      </c>
    </row>
    <row r="1005" spans="1:6" x14ac:dyDescent="0.25">
      <c r="A1005" s="27">
        <v>43140</v>
      </c>
      <c r="B1005" s="23" t="s">
        <v>1466</v>
      </c>
      <c r="C1005" s="24" t="s">
        <v>91</v>
      </c>
      <c r="D1005" s="23" t="s">
        <v>380</v>
      </c>
      <c r="E1005" s="23" t="s">
        <v>333</v>
      </c>
      <c r="F1005" s="25" t="s">
        <v>519</v>
      </c>
    </row>
    <row r="1006" spans="1:6" x14ac:dyDescent="0.25">
      <c r="A1006" s="27">
        <v>43140</v>
      </c>
      <c r="B1006" s="23" t="s">
        <v>1467</v>
      </c>
      <c r="C1006" s="24" t="s">
        <v>19</v>
      </c>
      <c r="D1006" s="23" t="s">
        <v>380</v>
      </c>
      <c r="E1006" s="23" t="s">
        <v>333</v>
      </c>
      <c r="F1006" s="25" t="s">
        <v>1296</v>
      </c>
    </row>
    <row r="1007" spans="1:6" x14ac:dyDescent="0.25">
      <c r="A1007" s="27">
        <v>43140</v>
      </c>
      <c r="B1007" s="23" t="s">
        <v>1468</v>
      </c>
      <c r="C1007" s="24" t="s">
        <v>17</v>
      </c>
      <c r="D1007" s="23" t="s">
        <v>380</v>
      </c>
      <c r="E1007" s="23" t="s">
        <v>333</v>
      </c>
      <c r="F1007" s="25" t="s">
        <v>399</v>
      </c>
    </row>
    <row r="1008" spans="1:6" x14ac:dyDescent="0.25">
      <c r="A1008" s="27">
        <v>43140</v>
      </c>
      <c r="B1008" s="23" t="s">
        <v>1469</v>
      </c>
      <c r="C1008" s="24" t="s">
        <v>6</v>
      </c>
      <c r="D1008" s="23" t="s">
        <v>380</v>
      </c>
      <c r="E1008" s="23" t="s">
        <v>333</v>
      </c>
      <c r="F1008" s="25" t="s">
        <v>399</v>
      </c>
    </row>
    <row r="1009" spans="1:6" x14ac:dyDescent="0.25">
      <c r="A1009" s="27">
        <v>43140</v>
      </c>
      <c r="B1009" s="23" t="s">
        <v>1470</v>
      </c>
      <c r="C1009" s="24" t="s">
        <v>91</v>
      </c>
      <c r="D1009" s="23" t="s">
        <v>343</v>
      </c>
      <c r="E1009" s="23" t="s">
        <v>333</v>
      </c>
      <c r="F1009" s="25" t="s">
        <v>1013</v>
      </c>
    </row>
    <row r="1010" spans="1:6" x14ac:dyDescent="0.25">
      <c r="A1010" s="27">
        <v>43140</v>
      </c>
      <c r="B1010" s="23" t="s">
        <v>1471</v>
      </c>
      <c r="C1010" s="24" t="s">
        <v>241</v>
      </c>
      <c r="D1010" s="23" t="s">
        <v>343</v>
      </c>
      <c r="E1010" s="23" t="s">
        <v>333</v>
      </c>
      <c r="F1010" s="25" t="s">
        <v>1472</v>
      </c>
    </row>
    <row r="1011" spans="1:6" x14ac:dyDescent="0.25">
      <c r="A1011" s="27">
        <v>43140</v>
      </c>
      <c r="B1011" s="23" t="s">
        <v>1473</v>
      </c>
      <c r="C1011" s="24" t="s">
        <v>91</v>
      </c>
      <c r="D1011" s="23" t="s">
        <v>406</v>
      </c>
      <c r="E1011" s="23" t="s">
        <v>333</v>
      </c>
      <c r="F1011" s="25" t="s">
        <v>497</v>
      </c>
    </row>
    <row r="1012" spans="1:6" x14ac:dyDescent="0.25">
      <c r="A1012" s="27">
        <v>43140</v>
      </c>
      <c r="B1012" s="23" t="s">
        <v>1474</v>
      </c>
      <c r="C1012" s="24" t="s">
        <v>1475</v>
      </c>
      <c r="D1012" s="23" t="s">
        <v>334</v>
      </c>
      <c r="E1012" s="23" t="s">
        <v>333</v>
      </c>
      <c r="F1012" s="25" t="s">
        <v>1476</v>
      </c>
    </row>
    <row r="1013" spans="1:6" ht="30.75" x14ac:dyDescent="0.25">
      <c r="A1013" s="27">
        <v>43140</v>
      </c>
      <c r="B1013" s="23" t="s">
        <v>1477</v>
      </c>
      <c r="C1013" s="24" t="s">
        <v>1478</v>
      </c>
      <c r="D1013" s="23" t="s">
        <v>334</v>
      </c>
      <c r="E1013" s="23" t="s">
        <v>333</v>
      </c>
      <c r="F1013" s="25" t="s">
        <v>373</v>
      </c>
    </row>
    <row r="1014" spans="1:6" x14ac:dyDescent="0.25">
      <c r="A1014" s="27">
        <v>43140</v>
      </c>
      <c r="B1014" s="23" t="s">
        <v>1479</v>
      </c>
      <c r="C1014" s="24" t="s">
        <v>6</v>
      </c>
      <c r="D1014" s="23" t="s">
        <v>387</v>
      </c>
      <c r="E1014" s="23" t="s">
        <v>333</v>
      </c>
      <c r="F1014" s="25" t="s">
        <v>1480</v>
      </c>
    </row>
    <row r="1015" spans="1:6" x14ac:dyDescent="0.25">
      <c r="A1015" s="27">
        <v>43140</v>
      </c>
      <c r="B1015" s="23" t="s">
        <v>1481</v>
      </c>
      <c r="C1015" s="24" t="s">
        <v>6</v>
      </c>
      <c r="D1015" s="23" t="s">
        <v>406</v>
      </c>
      <c r="E1015" s="23" t="s">
        <v>333</v>
      </c>
      <c r="F1015" s="25" t="s">
        <v>1482</v>
      </c>
    </row>
    <row r="1016" spans="1:6" x14ac:dyDescent="0.25">
      <c r="A1016" s="27">
        <v>43140</v>
      </c>
      <c r="B1016" s="23" t="s">
        <v>1483</v>
      </c>
      <c r="C1016" s="24" t="s">
        <v>6</v>
      </c>
      <c r="D1016" s="23" t="s">
        <v>343</v>
      </c>
      <c r="E1016" s="23" t="s">
        <v>333</v>
      </c>
      <c r="F1016" s="25" t="s">
        <v>1484</v>
      </c>
    </row>
    <row r="1017" spans="1:6" x14ac:dyDescent="0.25">
      <c r="A1017" s="27">
        <v>43140</v>
      </c>
      <c r="B1017" s="23" t="s">
        <v>1485</v>
      </c>
      <c r="C1017" s="24" t="s">
        <v>6</v>
      </c>
      <c r="D1017" s="23" t="s">
        <v>334</v>
      </c>
      <c r="E1017" s="23" t="s">
        <v>333</v>
      </c>
      <c r="F1017" s="25" t="s">
        <v>988</v>
      </c>
    </row>
    <row r="1018" spans="1:6" x14ac:dyDescent="0.25">
      <c r="A1018" s="27">
        <v>43140</v>
      </c>
      <c r="B1018" s="23" t="s">
        <v>1486</v>
      </c>
      <c r="C1018" s="24" t="s">
        <v>91</v>
      </c>
      <c r="D1018" s="23" t="s">
        <v>343</v>
      </c>
      <c r="E1018" s="23" t="s">
        <v>333</v>
      </c>
      <c r="F1018" s="25" t="s">
        <v>1472</v>
      </c>
    </row>
    <row r="1019" spans="1:6" x14ac:dyDescent="0.25">
      <c r="A1019" s="27">
        <v>43140</v>
      </c>
      <c r="B1019" s="23" t="s">
        <v>1487</v>
      </c>
      <c r="C1019" s="24" t="s">
        <v>6</v>
      </c>
      <c r="D1019" s="23" t="s">
        <v>470</v>
      </c>
      <c r="E1019" s="23" t="s">
        <v>333</v>
      </c>
      <c r="F1019" s="25" t="s">
        <v>1472</v>
      </c>
    </row>
    <row r="1020" spans="1:6" ht="45.75" x14ac:dyDescent="0.25">
      <c r="A1020" s="27">
        <v>43140</v>
      </c>
      <c r="B1020" s="23" t="s">
        <v>1488</v>
      </c>
      <c r="C1020" s="24" t="s">
        <v>1489</v>
      </c>
      <c r="D1020" s="23" t="s">
        <v>486</v>
      </c>
      <c r="E1020" s="23" t="s">
        <v>1490</v>
      </c>
    </row>
    <row r="1021" spans="1:6" x14ac:dyDescent="0.25">
      <c r="A1021" s="27">
        <v>43141</v>
      </c>
      <c r="B1021" s="23" t="s">
        <v>1491</v>
      </c>
      <c r="C1021" s="24" t="s">
        <v>6</v>
      </c>
      <c r="D1021" s="23" t="s">
        <v>380</v>
      </c>
      <c r="E1021" s="23" t="s">
        <v>333</v>
      </c>
      <c r="F1021" s="25" t="s">
        <v>1130</v>
      </c>
    </row>
    <row r="1022" spans="1:6" x14ac:dyDescent="0.25">
      <c r="A1022" s="27">
        <v>43145</v>
      </c>
      <c r="B1022" s="23" t="s">
        <v>1329</v>
      </c>
      <c r="C1022" s="24" t="s">
        <v>17</v>
      </c>
      <c r="D1022" s="23" t="s">
        <v>486</v>
      </c>
      <c r="E1022" s="23" t="s">
        <v>333</v>
      </c>
      <c r="F1022" s="25" t="s">
        <v>1492</v>
      </c>
    </row>
    <row r="1023" spans="1:6" x14ac:dyDescent="0.25">
      <c r="A1023" s="27">
        <v>43145</v>
      </c>
      <c r="B1023" s="23" t="s">
        <v>1429</v>
      </c>
      <c r="C1023" s="24" t="s">
        <v>39</v>
      </c>
      <c r="D1023" s="23" t="s">
        <v>486</v>
      </c>
      <c r="E1023" s="23" t="s">
        <v>333</v>
      </c>
      <c r="F1023" s="25" t="s">
        <v>1493</v>
      </c>
    </row>
    <row r="1024" spans="1:6" x14ac:dyDescent="0.25">
      <c r="A1024" s="27">
        <v>43146</v>
      </c>
      <c r="B1024" s="23" t="s">
        <v>1494</v>
      </c>
      <c r="C1024" s="24" t="s">
        <v>6</v>
      </c>
      <c r="D1024" s="23" t="s">
        <v>486</v>
      </c>
      <c r="E1024" s="23" t="s">
        <v>1495</v>
      </c>
    </row>
    <row r="1025" spans="1:6" x14ac:dyDescent="0.25">
      <c r="A1025" s="27">
        <v>43146</v>
      </c>
      <c r="B1025" s="23" t="s">
        <v>1496</v>
      </c>
      <c r="C1025" s="24" t="s">
        <v>39</v>
      </c>
      <c r="D1025" s="23" t="s">
        <v>470</v>
      </c>
      <c r="E1025" s="23" t="s">
        <v>333</v>
      </c>
      <c r="F1025" s="25" t="s">
        <v>1021</v>
      </c>
    </row>
    <row r="1026" spans="1:6" ht="30.75" x14ac:dyDescent="0.25">
      <c r="A1026" s="27">
        <v>43147</v>
      </c>
      <c r="B1026" s="23" t="s">
        <v>1497</v>
      </c>
      <c r="C1026" s="24" t="s">
        <v>1498</v>
      </c>
      <c r="D1026" s="23" t="s">
        <v>438</v>
      </c>
      <c r="E1026" s="23" t="s">
        <v>333</v>
      </c>
      <c r="F1026" s="25" t="s">
        <v>807</v>
      </c>
    </row>
    <row r="1027" spans="1:6" x14ac:dyDescent="0.25">
      <c r="A1027" s="27">
        <v>43147</v>
      </c>
      <c r="B1027" s="23" t="s">
        <v>1499</v>
      </c>
      <c r="C1027" s="24" t="s">
        <v>17</v>
      </c>
      <c r="D1027" s="23" t="s">
        <v>357</v>
      </c>
      <c r="E1027" s="23" t="s">
        <v>333</v>
      </c>
      <c r="F1027" s="25" t="s">
        <v>339</v>
      </c>
    </row>
    <row r="1028" spans="1:6" x14ac:dyDescent="0.25">
      <c r="A1028" s="27">
        <v>43147</v>
      </c>
      <c r="B1028" s="23" t="s">
        <v>1500</v>
      </c>
      <c r="C1028" s="24" t="s">
        <v>19</v>
      </c>
      <c r="D1028" s="23" t="s">
        <v>516</v>
      </c>
      <c r="E1028" s="23" t="s">
        <v>333</v>
      </c>
      <c r="F1028" s="25" t="s">
        <v>1501</v>
      </c>
    </row>
    <row r="1029" spans="1:6" ht="30.75" x14ac:dyDescent="0.25">
      <c r="A1029" s="27">
        <v>43147</v>
      </c>
      <c r="B1029" s="23" t="s">
        <v>1502</v>
      </c>
      <c r="C1029" s="24" t="s">
        <v>1503</v>
      </c>
      <c r="D1029" s="23" t="s">
        <v>516</v>
      </c>
      <c r="E1029" s="23" t="s">
        <v>333</v>
      </c>
      <c r="F1029" s="25" t="s">
        <v>1343</v>
      </c>
    </row>
    <row r="1030" spans="1:6" x14ac:dyDescent="0.25">
      <c r="A1030" s="27">
        <v>43147</v>
      </c>
      <c r="B1030" s="23" t="s">
        <v>1504</v>
      </c>
      <c r="C1030" s="24" t="s">
        <v>80</v>
      </c>
      <c r="D1030" s="23" t="s">
        <v>516</v>
      </c>
      <c r="E1030" s="23" t="s">
        <v>333</v>
      </c>
      <c r="F1030" s="25" t="s">
        <v>1343</v>
      </c>
    </row>
    <row r="1031" spans="1:6" ht="30.75" x14ac:dyDescent="0.25">
      <c r="A1031" s="27">
        <v>43147</v>
      </c>
      <c r="B1031" s="23" t="s">
        <v>1505</v>
      </c>
      <c r="C1031" s="24" t="s">
        <v>1506</v>
      </c>
      <c r="D1031" s="23" t="s">
        <v>438</v>
      </c>
      <c r="E1031" s="23" t="s">
        <v>333</v>
      </c>
      <c r="F1031" s="25" t="s">
        <v>1343</v>
      </c>
    </row>
    <row r="1032" spans="1:6" x14ac:dyDescent="0.25">
      <c r="A1032" s="27">
        <v>43147</v>
      </c>
      <c r="B1032" s="23" t="s">
        <v>1507</v>
      </c>
      <c r="C1032" s="24" t="s">
        <v>17</v>
      </c>
      <c r="D1032" s="23" t="s">
        <v>438</v>
      </c>
      <c r="E1032" s="23" t="s">
        <v>333</v>
      </c>
      <c r="F1032" s="25" t="s">
        <v>1472</v>
      </c>
    </row>
    <row r="1033" spans="1:6" x14ac:dyDescent="0.25">
      <c r="A1033" s="27">
        <v>43147</v>
      </c>
      <c r="B1033" s="23" t="s">
        <v>1508</v>
      </c>
      <c r="C1033" s="24" t="s">
        <v>17</v>
      </c>
      <c r="D1033" s="23" t="s">
        <v>438</v>
      </c>
      <c r="E1033" s="23" t="s">
        <v>333</v>
      </c>
      <c r="F1033" s="25" t="s">
        <v>1123</v>
      </c>
    </row>
    <row r="1034" spans="1:6" x14ac:dyDescent="0.25">
      <c r="A1034" s="27">
        <v>43147</v>
      </c>
      <c r="B1034" s="23" t="s">
        <v>1509</v>
      </c>
      <c r="C1034" s="24" t="s">
        <v>80</v>
      </c>
      <c r="D1034" s="23" t="s">
        <v>438</v>
      </c>
      <c r="E1034" s="23" t="s">
        <v>333</v>
      </c>
      <c r="F1034" s="25" t="s">
        <v>1510</v>
      </c>
    </row>
    <row r="1035" spans="1:6" x14ac:dyDescent="0.25">
      <c r="A1035" s="27">
        <v>43147</v>
      </c>
      <c r="B1035" s="23" t="s">
        <v>1511</v>
      </c>
      <c r="C1035" s="24" t="s">
        <v>6</v>
      </c>
      <c r="D1035" s="23" t="s">
        <v>380</v>
      </c>
      <c r="E1035" s="23" t="s">
        <v>333</v>
      </c>
      <c r="F1035" s="25" t="s">
        <v>399</v>
      </c>
    </row>
    <row r="1036" spans="1:6" x14ac:dyDescent="0.25">
      <c r="A1036" s="27">
        <v>43147</v>
      </c>
      <c r="B1036" s="23" t="s">
        <v>1512</v>
      </c>
      <c r="C1036" s="24" t="s">
        <v>6</v>
      </c>
      <c r="D1036" s="23" t="s">
        <v>438</v>
      </c>
      <c r="E1036" s="23" t="s">
        <v>333</v>
      </c>
      <c r="F1036" s="25" t="s">
        <v>1296</v>
      </c>
    </row>
    <row r="1037" spans="1:6" x14ac:dyDescent="0.25">
      <c r="A1037" s="27">
        <v>43147</v>
      </c>
      <c r="B1037" s="23" t="s">
        <v>1513</v>
      </c>
      <c r="C1037" s="24" t="s">
        <v>6</v>
      </c>
      <c r="D1037" s="23" t="s">
        <v>352</v>
      </c>
      <c r="E1037" s="23" t="s">
        <v>333</v>
      </c>
      <c r="F1037" s="25" t="s">
        <v>1514</v>
      </c>
    </row>
    <row r="1038" spans="1:6" x14ac:dyDescent="0.25">
      <c r="A1038" s="27">
        <v>43147</v>
      </c>
      <c r="B1038" s="23" t="s">
        <v>1515</v>
      </c>
      <c r="C1038" s="24" t="s">
        <v>241</v>
      </c>
      <c r="D1038" s="23" t="s">
        <v>550</v>
      </c>
      <c r="E1038" s="23" t="s">
        <v>333</v>
      </c>
      <c r="F1038" s="25" t="s">
        <v>519</v>
      </c>
    </row>
    <row r="1039" spans="1:6" ht="30.75" x14ac:dyDescent="0.25">
      <c r="A1039" s="27">
        <v>43147</v>
      </c>
      <c r="B1039" s="23" t="s">
        <v>1516</v>
      </c>
      <c r="C1039" s="24" t="s">
        <v>1517</v>
      </c>
      <c r="D1039" s="23" t="s">
        <v>406</v>
      </c>
      <c r="E1039" s="23" t="s">
        <v>333</v>
      </c>
      <c r="F1039" s="25" t="s">
        <v>399</v>
      </c>
    </row>
    <row r="1040" spans="1:6" x14ac:dyDescent="0.25">
      <c r="A1040" s="27">
        <v>43147</v>
      </c>
      <c r="B1040" s="23" t="s">
        <v>1441</v>
      </c>
      <c r="C1040" s="24" t="s">
        <v>680</v>
      </c>
      <c r="D1040" s="23" t="s">
        <v>343</v>
      </c>
      <c r="E1040" s="23" t="s">
        <v>333</v>
      </c>
      <c r="F1040" s="25" t="s">
        <v>1518</v>
      </c>
    </row>
    <row r="1041" spans="1:6" x14ac:dyDescent="0.25">
      <c r="A1041" s="27">
        <v>43147</v>
      </c>
      <c r="B1041" s="23" t="s">
        <v>1450</v>
      </c>
      <c r="C1041" s="24" t="s">
        <v>6</v>
      </c>
      <c r="D1041" s="23" t="s">
        <v>441</v>
      </c>
      <c r="E1041" s="23" t="s">
        <v>333</v>
      </c>
      <c r="F1041" s="25" t="s">
        <v>718</v>
      </c>
    </row>
    <row r="1042" spans="1:6" x14ac:dyDescent="0.25">
      <c r="A1042" s="27">
        <v>43147</v>
      </c>
      <c r="B1042" s="23" t="s">
        <v>1519</v>
      </c>
      <c r="C1042" s="24" t="s">
        <v>6</v>
      </c>
      <c r="D1042" s="23" t="s">
        <v>406</v>
      </c>
      <c r="E1042" s="23" t="s">
        <v>333</v>
      </c>
      <c r="F1042" s="25" t="s">
        <v>1070</v>
      </c>
    </row>
    <row r="1043" spans="1:6" x14ac:dyDescent="0.25">
      <c r="A1043" s="27">
        <v>43147</v>
      </c>
      <c r="B1043" s="23" t="s">
        <v>1520</v>
      </c>
      <c r="C1043" s="24" t="s">
        <v>39</v>
      </c>
      <c r="D1043" s="23" t="s">
        <v>334</v>
      </c>
      <c r="E1043" s="23" t="s">
        <v>333</v>
      </c>
      <c r="F1043" s="25" t="s">
        <v>1521</v>
      </c>
    </row>
    <row r="1044" spans="1:6" x14ac:dyDescent="0.25">
      <c r="A1044" s="27">
        <v>43147</v>
      </c>
      <c r="B1044" s="23" t="s">
        <v>1522</v>
      </c>
      <c r="C1044" s="24" t="s">
        <v>6</v>
      </c>
      <c r="D1044" s="23" t="s">
        <v>406</v>
      </c>
      <c r="E1044" s="23" t="s">
        <v>333</v>
      </c>
      <c r="F1044" s="25" t="s">
        <v>1296</v>
      </c>
    </row>
    <row r="1045" spans="1:6" x14ac:dyDescent="0.25">
      <c r="A1045" s="27">
        <v>43147</v>
      </c>
      <c r="B1045" s="23" t="s">
        <v>1523</v>
      </c>
      <c r="C1045" s="24" t="s">
        <v>91</v>
      </c>
      <c r="D1045" s="23" t="s">
        <v>441</v>
      </c>
      <c r="E1045" s="23" t="s">
        <v>333</v>
      </c>
      <c r="F1045" s="25" t="s">
        <v>1296</v>
      </c>
    </row>
    <row r="1046" spans="1:6" x14ac:dyDescent="0.25">
      <c r="A1046" s="27">
        <v>43147</v>
      </c>
      <c r="B1046" s="23" t="s">
        <v>1524</v>
      </c>
      <c r="C1046" s="24" t="s">
        <v>241</v>
      </c>
      <c r="D1046" s="23" t="s">
        <v>388</v>
      </c>
      <c r="E1046" s="23" t="s">
        <v>333</v>
      </c>
      <c r="F1046" s="25" t="s">
        <v>1296</v>
      </c>
    </row>
    <row r="1047" spans="1:6" x14ac:dyDescent="0.25">
      <c r="A1047" s="27">
        <v>43150</v>
      </c>
      <c r="B1047" s="23" t="s">
        <v>1525</v>
      </c>
      <c r="C1047" s="24" t="s">
        <v>6</v>
      </c>
      <c r="D1047" s="23" t="s">
        <v>387</v>
      </c>
      <c r="E1047" s="23" t="s">
        <v>333</v>
      </c>
      <c r="F1047" s="25" t="s">
        <v>918</v>
      </c>
    </row>
    <row r="1048" spans="1:6" x14ac:dyDescent="0.25">
      <c r="A1048" s="27">
        <v>43150</v>
      </c>
      <c r="B1048" s="23" t="s">
        <v>1526</v>
      </c>
      <c r="C1048" s="24" t="s">
        <v>39</v>
      </c>
      <c r="D1048" s="23" t="s">
        <v>343</v>
      </c>
      <c r="E1048" s="23" t="s">
        <v>333</v>
      </c>
      <c r="F1048" s="25" t="s">
        <v>530</v>
      </c>
    </row>
    <row r="1049" spans="1:6" x14ac:dyDescent="0.25">
      <c r="A1049" s="27">
        <v>43150</v>
      </c>
      <c r="B1049" s="23" t="s">
        <v>1462</v>
      </c>
      <c r="C1049" s="24" t="s">
        <v>6</v>
      </c>
      <c r="D1049" s="23" t="s">
        <v>334</v>
      </c>
      <c r="E1049" s="23" t="s">
        <v>333</v>
      </c>
      <c r="F1049" s="25" t="s">
        <v>1097</v>
      </c>
    </row>
    <row r="1050" spans="1:6" x14ac:dyDescent="0.25">
      <c r="A1050" s="27">
        <v>43150</v>
      </c>
      <c r="B1050" s="23" t="s">
        <v>1470</v>
      </c>
      <c r="C1050" s="24" t="s">
        <v>39</v>
      </c>
      <c r="D1050" s="23" t="s">
        <v>343</v>
      </c>
      <c r="E1050" s="23" t="s">
        <v>333</v>
      </c>
      <c r="F1050" s="25" t="s">
        <v>1013</v>
      </c>
    </row>
    <row r="1051" spans="1:6" x14ac:dyDescent="0.25">
      <c r="A1051" s="27">
        <v>43150</v>
      </c>
      <c r="B1051" s="23" t="s">
        <v>1527</v>
      </c>
      <c r="C1051" s="24" t="s">
        <v>80</v>
      </c>
      <c r="D1051" s="23" t="s">
        <v>380</v>
      </c>
      <c r="E1051" s="23" t="s">
        <v>1528</v>
      </c>
    </row>
    <row r="1052" spans="1:6" x14ac:dyDescent="0.25">
      <c r="A1052" s="27">
        <v>43150</v>
      </c>
      <c r="B1052" s="23" t="s">
        <v>1529</v>
      </c>
      <c r="C1052" s="24" t="s">
        <v>6</v>
      </c>
      <c r="D1052" s="23" t="s">
        <v>357</v>
      </c>
      <c r="E1052" s="23" t="s">
        <v>333</v>
      </c>
      <c r="F1052" s="25" t="s">
        <v>968</v>
      </c>
    </row>
    <row r="1053" spans="1:6" x14ac:dyDescent="0.25">
      <c r="A1053" s="27">
        <v>43150</v>
      </c>
      <c r="B1053" s="23" t="s">
        <v>1530</v>
      </c>
      <c r="C1053" s="24" t="s">
        <v>6</v>
      </c>
      <c r="D1053" s="23" t="s">
        <v>387</v>
      </c>
      <c r="E1053" s="23" t="s">
        <v>1531</v>
      </c>
    </row>
    <row r="1054" spans="1:6" ht="45.75" x14ac:dyDescent="0.25">
      <c r="A1054" s="27">
        <v>43151</v>
      </c>
      <c r="B1054" s="23" t="s">
        <v>1532</v>
      </c>
      <c r="C1054" s="24" t="s">
        <v>1533</v>
      </c>
      <c r="D1054" s="23" t="s">
        <v>516</v>
      </c>
      <c r="E1054" s="23" t="s">
        <v>333</v>
      </c>
      <c r="F1054" s="25" t="s">
        <v>1343</v>
      </c>
    </row>
    <row r="1055" spans="1:6" x14ac:dyDescent="0.25">
      <c r="A1055" s="27">
        <v>43151</v>
      </c>
      <c r="B1055" s="23" t="s">
        <v>1534</v>
      </c>
      <c r="C1055" s="24" t="s">
        <v>91</v>
      </c>
      <c r="D1055" s="23" t="s">
        <v>550</v>
      </c>
      <c r="E1055" s="23" t="s">
        <v>333</v>
      </c>
      <c r="F1055" s="25" t="s">
        <v>910</v>
      </c>
    </row>
    <row r="1056" spans="1:6" x14ac:dyDescent="0.25">
      <c r="A1056" s="27">
        <v>43151</v>
      </c>
      <c r="B1056" s="23" t="s">
        <v>1535</v>
      </c>
      <c r="C1056" s="24" t="s">
        <v>1108</v>
      </c>
      <c r="D1056" s="23" t="s">
        <v>470</v>
      </c>
      <c r="E1056" s="23" t="s">
        <v>333</v>
      </c>
      <c r="F1056" s="25" t="s">
        <v>918</v>
      </c>
    </row>
    <row r="1057" spans="1:6" x14ac:dyDescent="0.25">
      <c r="A1057" s="27">
        <v>43151</v>
      </c>
      <c r="B1057" s="23" t="s">
        <v>1536</v>
      </c>
      <c r="C1057" s="24" t="s">
        <v>6</v>
      </c>
      <c r="D1057" s="23" t="s">
        <v>387</v>
      </c>
      <c r="E1057" s="23" t="s">
        <v>333</v>
      </c>
      <c r="F1057" s="25" t="s">
        <v>1537</v>
      </c>
    </row>
    <row r="1058" spans="1:6" x14ac:dyDescent="0.25">
      <c r="A1058" s="27">
        <v>43151</v>
      </c>
      <c r="B1058" s="23" t="s">
        <v>1538</v>
      </c>
      <c r="C1058" s="24" t="s">
        <v>39</v>
      </c>
      <c r="D1058" s="23" t="s">
        <v>352</v>
      </c>
      <c r="E1058" s="23" t="s">
        <v>333</v>
      </c>
      <c r="F1058" s="25" t="s">
        <v>344</v>
      </c>
    </row>
    <row r="1059" spans="1:6" x14ac:dyDescent="0.25">
      <c r="A1059" s="27">
        <v>43151</v>
      </c>
      <c r="B1059" s="23" t="s">
        <v>1539</v>
      </c>
      <c r="C1059" s="24" t="s">
        <v>899</v>
      </c>
      <c r="D1059" s="23" t="s">
        <v>387</v>
      </c>
      <c r="E1059" s="23" t="s">
        <v>333</v>
      </c>
      <c r="F1059" s="25" t="s">
        <v>377</v>
      </c>
    </row>
    <row r="1060" spans="1:6" x14ac:dyDescent="0.25">
      <c r="A1060" s="27">
        <v>43152</v>
      </c>
      <c r="B1060" s="23" t="s">
        <v>1540</v>
      </c>
      <c r="C1060" s="24" t="s">
        <v>1541</v>
      </c>
      <c r="D1060" s="23" t="s">
        <v>352</v>
      </c>
      <c r="E1060" s="23" t="s">
        <v>333</v>
      </c>
      <c r="F1060" s="25" t="s">
        <v>1542</v>
      </c>
    </row>
    <row r="1061" spans="1:6" x14ac:dyDescent="0.25">
      <c r="A1061" s="27">
        <v>43152</v>
      </c>
      <c r="B1061" s="23" t="s">
        <v>1543</v>
      </c>
      <c r="C1061" s="24" t="s">
        <v>91</v>
      </c>
      <c r="D1061" s="23" t="s">
        <v>542</v>
      </c>
      <c r="E1061" s="23" t="s">
        <v>333</v>
      </c>
      <c r="F1061" s="25" t="s">
        <v>1542</v>
      </c>
    </row>
    <row r="1062" spans="1:6" x14ac:dyDescent="0.25">
      <c r="A1062" s="27">
        <v>43152</v>
      </c>
      <c r="B1062" s="23" t="s">
        <v>1544</v>
      </c>
      <c r="C1062" s="24" t="s">
        <v>39</v>
      </c>
      <c r="D1062" s="23" t="s">
        <v>352</v>
      </c>
      <c r="E1062" s="23" t="s">
        <v>333</v>
      </c>
      <c r="F1062" s="25" t="s">
        <v>367</v>
      </c>
    </row>
    <row r="1063" spans="1:6" x14ac:dyDescent="0.25">
      <c r="A1063" s="27">
        <v>43152</v>
      </c>
      <c r="B1063" s="23" t="s">
        <v>1545</v>
      </c>
      <c r="C1063" s="24" t="s">
        <v>91</v>
      </c>
      <c r="D1063" s="23" t="s">
        <v>352</v>
      </c>
      <c r="E1063" s="23" t="s">
        <v>333</v>
      </c>
      <c r="F1063" s="25" t="s">
        <v>1546</v>
      </c>
    </row>
    <row r="1064" spans="1:6" ht="30.75" x14ac:dyDescent="0.25">
      <c r="A1064" s="27">
        <v>43152</v>
      </c>
      <c r="B1064" s="23" t="s">
        <v>1547</v>
      </c>
      <c r="C1064" s="24" t="s">
        <v>1548</v>
      </c>
      <c r="D1064" s="23" t="s">
        <v>352</v>
      </c>
      <c r="E1064" s="23" t="s">
        <v>333</v>
      </c>
      <c r="F1064" s="25" t="s">
        <v>455</v>
      </c>
    </row>
    <row r="1065" spans="1:6" x14ac:dyDescent="0.25">
      <c r="A1065" s="27">
        <v>43152</v>
      </c>
      <c r="B1065" s="23" t="s">
        <v>1549</v>
      </c>
      <c r="C1065" s="24" t="s">
        <v>6</v>
      </c>
      <c r="D1065" s="23" t="s">
        <v>438</v>
      </c>
      <c r="E1065" s="23" t="s">
        <v>333</v>
      </c>
      <c r="F1065" s="25" t="s">
        <v>369</v>
      </c>
    </row>
    <row r="1066" spans="1:6" x14ac:dyDescent="0.25">
      <c r="A1066" s="27">
        <v>43152</v>
      </c>
      <c r="B1066" s="23" t="s">
        <v>1550</v>
      </c>
      <c r="C1066" s="24" t="s">
        <v>17</v>
      </c>
      <c r="D1066" s="23" t="s">
        <v>438</v>
      </c>
      <c r="E1066" s="23" t="s">
        <v>333</v>
      </c>
      <c r="F1066" s="25" t="s">
        <v>1551</v>
      </c>
    </row>
    <row r="1067" spans="1:6" x14ac:dyDescent="0.25">
      <c r="A1067" s="27">
        <v>43152</v>
      </c>
      <c r="B1067" s="23" t="s">
        <v>1552</v>
      </c>
      <c r="C1067" s="24" t="s">
        <v>6</v>
      </c>
      <c r="D1067" s="23" t="s">
        <v>357</v>
      </c>
      <c r="E1067" s="23" t="s">
        <v>333</v>
      </c>
      <c r="F1067" s="25" t="s">
        <v>1553</v>
      </c>
    </row>
    <row r="1068" spans="1:6" x14ac:dyDescent="0.25">
      <c r="A1068" s="27">
        <v>43152</v>
      </c>
      <c r="B1068" s="23" t="s">
        <v>1554</v>
      </c>
      <c r="C1068" s="24" t="s">
        <v>6</v>
      </c>
      <c r="D1068" s="23" t="s">
        <v>438</v>
      </c>
      <c r="E1068" s="23" t="s">
        <v>333</v>
      </c>
      <c r="F1068" s="25" t="s">
        <v>394</v>
      </c>
    </row>
    <row r="1069" spans="1:6" x14ac:dyDescent="0.25">
      <c r="A1069" s="27">
        <v>43152</v>
      </c>
      <c r="B1069" s="23" t="s">
        <v>1555</v>
      </c>
      <c r="C1069" s="24" t="s">
        <v>6</v>
      </c>
      <c r="D1069" s="23" t="s">
        <v>357</v>
      </c>
      <c r="E1069" s="23" t="s">
        <v>333</v>
      </c>
      <c r="F1069" s="25" t="s">
        <v>1556</v>
      </c>
    </row>
    <row r="1070" spans="1:6" x14ac:dyDescent="0.25">
      <c r="A1070" s="27">
        <v>43153</v>
      </c>
      <c r="B1070" s="23" t="s">
        <v>1557</v>
      </c>
      <c r="C1070" s="24" t="s">
        <v>6</v>
      </c>
      <c r="D1070" s="23" t="s">
        <v>352</v>
      </c>
      <c r="E1070" s="23" t="s">
        <v>333</v>
      </c>
      <c r="F1070" s="25" t="s">
        <v>1542</v>
      </c>
    </row>
    <row r="1071" spans="1:6" x14ac:dyDescent="0.25">
      <c r="A1071" s="27">
        <v>43153</v>
      </c>
      <c r="B1071" s="23" t="s">
        <v>1558</v>
      </c>
      <c r="C1071" s="24" t="s">
        <v>180</v>
      </c>
      <c r="D1071" s="23" t="s">
        <v>352</v>
      </c>
      <c r="E1071" s="23" t="s">
        <v>333</v>
      </c>
      <c r="F1071" s="25" t="s">
        <v>1542</v>
      </c>
    </row>
    <row r="1072" spans="1:6" x14ac:dyDescent="0.25">
      <c r="A1072" s="27">
        <v>43153</v>
      </c>
      <c r="B1072" s="23" t="s">
        <v>1559</v>
      </c>
      <c r="C1072" s="24" t="s">
        <v>51</v>
      </c>
      <c r="D1072" s="23" t="s">
        <v>352</v>
      </c>
      <c r="E1072" s="23" t="s">
        <v>333</v>
      </c>
      <c r="F1072" s="25" t="s">
        <v>1542</v>
      </c>
    </row>
    <row r="1073" spans="1:6" x14ac:dyDescent="0.25">
      <c r="A1073" s="27">
        <v>43154</v>
      </c>
      <c r="B1073" s="23" t="s">
        <v>1560</v>
      </c>
      <c r="C1073" s="24" t="s">
        <v>1563</v>
      </c>
      <c r="D1073" s="23" t="s">
        <v>334</v>
      </c>
      <c r="E1073" s="23" t="s">
        <v>1561</v>
      </c>
      <c r="F1073" s="25" t="s">
        <v>1562</v>
      </c>
    </row>
    <row r="1074" spans="1:6" x14ac:dyDescent="0.25">
      <c r="A1074" s="27">
        <v>43154</v>
      </c>
      <c r="B1074" s="23" t="s">
        <v>1564</v>
      </c>
      <c r="C1074" s="24" t="s">
        <v>51</v>
      </c>
      <c r="D1074" s="23" t="s">
        <v>352</v>
      </c>
      <c r="E1074" s="23" t="s">
        <v>333</v>
      </c>
      <c r="F1074" s="25" t="s">
        <v>1565</v>
      </c>
    </row>
    <row r="1075" spans="1:6" x14ac:dyDescent="0.25">
      <c r="A1075" s="27">
        <v>43154</v>
      </c>
      <c r="B1075" s="23" t="s">
        <v>1566</v>
      </c>
      <c r="C1075" s="24" t="s">
        <v>1563</v>
      </c>
      <c r="D1075" s="23" t="s">
        <v>352</v>
      </c>
      <c r="E1075" s="23" t="s">
        <v>333</v>
      </c>
      <c r="F1075" s="25" t="s">
        <v>1567</v>
      </c>
    </row>
    <row r="1076" spans="1:6" x14ac:dyDescent="0.25">
      <c r="A1076" s="27">
        <v>43154</v>
      </c>
      <c r="B1076" s="23" t="s">
        <v>1568</v>
      </c>
      <c r="C1076" s="24" t="s">
        <v>1569</v>
      </c>
      <c r="D1076" s="23" t="s">
        <v>352</v>
      </c>
      <c r="E1076" s="23" t="s">
        <v>333</v>
      </c>
      <c r="F1076" s="25" t="s">
        <v>1542</v>
      </c>
    </row>
    <row r="1077" spans="1:6" x14ac:dyDescent="0.25">
      <c r="A1077" s="27">
        <v>43154</v>
      </c>
      <c r="B1077" s="23" t="s">
        <v>1570</v>
      </c>
      <c r="C1077" s="26" t="s">
        <v>1571</v>
      </c>
      <c r="D1077" s="23" t="s">
        <v>352</v>
      </c>
      <c r="E1077" s="23" t="s">
        <v>333</v>
      </c>
      <c r="F1077" s="25" t="s">
        <v>1292</v>
      </c>
    </row>
    <row r="1078" spans="1:6" x14ac:dyDescent="0.25">
      <c r="A1078" s="27">
        <v>43154</v>
      </c>
      <c r="B1078" s="23" t="s">
        <v>1572</v>
      </c>
      <c r="C1078" s="24" t="s">
        <v>51</v>
      </c>
      <c r="D1078" s="23" t="s">
        <v>406</v>
      </c>
      <c r="E1078" s="23" t="s">
        <v>333</v>
      </c>
      <c r="F1078" s="25" t="s">
        <v>1573</v>
      </c>
    </row>
    <row r="1079" spans="1:6" x14ac:dyDescent="0.25">
      <c r="A1079" s="27">
        <v>43154</v>
      </c>
      <c r="B1079" s="23" t="s">
        <v>1574</v>
      </c>
      <c r="C1079" s="24" t="s">
        <v>51</v>
      </c>
      <c r="D1079" s="23" t="s">
        <v>628</v>
      </c>
      <c r="E1079" s="23" t="s">
        <v>333</v>
      </c>
      <c r="F1079" s="25" t="s">
        <v>1573</v>
      </c>
    </row>
    <row r="1080" spans="1:6" x14ac:dyDescent="0.25">
      <c r="A1080" s="27">
        <v>43154</v>
      </c>
      <c r="B1080" s="23" t="s">
        <v>1575</v>
      </c>
      <c r="C1080" s="24" t="s">
        <v>51</v>
      </c>
      <c r="D1080" s="23" t="s">
        <v>628</v>
      </c>
      <c r="E1080" s="23" t="s">
        <v>333</v>
      </c>
      <c r="F1080" s="25" t="s">
        <v>1573</v>
      </c>
    </row>
    <row r="1081" spans="1:6" x14ac:dyDescent="0.25">
      <c r="A1081" s="27">
        <v>43157</v>
      </c>
      <c r="B1081" s="23" t="s">
        <v>1576</v>
      </c>
      <c r="C1081" s="24" t="s">
        <v>51</v>
      </c>
      <c r="D1081" s="23" t="s">
        <v>380</v>
      </c>
      <c r="E1081" s="23" t="s">
        <v>333</v>
      </c>
      <c r="F1081" s="25" t="s">
        <v>1577</v>
      </c>
    </row>
    <row r="1082" spans="1:6" x14ac:dyDescent="0.25">
      <c r="A1082" s="27">
        <v>43159</v>
      </c>
      <c r="B1082" s="23" t="s">
        <v>1578</v>
      </c>
      <c r="C1082" s="24" t="s">
        <v>51</v>
      </c>
      <c r="D1082" s="23" t="s">
        <v>470</v>
      </c>
      <c r="E1082" s="23" t="s">
        <v>1579</v>
      </c>
      <c r="F1082" s="25" t="s">
        <v>1579</v>
      </c>
    </row>
    <row r="1083" spans="1:6" x14ac:dyDescent="0.25">
      <c r="A1083" s="27">
        <v>43159</v>
      </c>
      <c r="B1083" s="23" t="s">
        <v>1426</v>
      </c>
      <c r="C1083" s="24" t="s">
        <v>180</v>
      </c>
      <c r="D1083" s="23" t="s">
        <v>470</v>
      </c>
      <c r="E1083" s="23" t="s">
        <v>333</v>
      </c>
      <c r="F1083" s="25" t="s">
        <v>1573</v>
      </c>
    </row>
    <row r="1084" spans="1:6" x14ac:dyDescent="0.25">
      <c r="A1084" s="27">
        <v>43159</v>
      </c>
      <c r="B1084" s="23" t="s">
        <v>1580</v>
      </c>
      <c r="C1084" s="24" t="s">
        <v>1563</v>
      </c>
      <c r="D1084" s="23" t="s">
        <v>1581</v>
      </c>
      <c r="E1084" s="23" t="s">
        <v>1582</v>
      </c>
    </row>
    <row r="1085" spans="1:6" x14ac:dyDescent="0.25">
      <c r="A1085" s="27">
        <v>43159</v>
      </c>
      <c r="B1085" s="23" t="s">
        <v>1583</v>
      </c>
      <c r="C1085" s="24" t="s">
        <v>180</v>
      </c>
      <c r="D1085" s="23" t="s">
        <v>327</v>
      </c>
      <c r="E1085" s="23" t="s">
        <v>1584</v>
      </c>
    </row>
    <row r="1086" spans="1:6" x14ac:dyDescent="0.25">
      <c r="A1086" s="27">
        <v>43159</v>
      </c>
      <c r="B1086" s="23" t="s">
        <v>1585</v>
      </c>
      <c r="C1086" s="24" t="s">
        <v>180</v>
      </c>
      <c r="D1086" s="23" t="s">
        <v>1586</v>
      </c>
      <c r="E1086" s="23" t="s">
        <v>1587</v>
      </c>
    </row>
    <row r="1087" spans="1:6" x14ac:dyDescent="0.25">
      <c r="A1087" s="27">
        <v>43159</v>
      </c>
      <c r="B1087" s="23" t="s">
        <v>1588</v>
      </c>
      <c r="C1087" s="24" t="s">
        <v>1563</v>
      </c>
      <c r="D1087" s="23" t="s">
        <v>357</v>
      </c>
      <c r="E1087" s="23" t="s">
        <v>1587</v>
      </c>
    </row>
    <row r="1088" spans="1:6" x14ac:dyDescent="0.25">
      <c r="A1088" s="27">
        <v>43159</v>
      </c>
      <c r="B1088" s="23" t="s">
        <v>1589</v>
      </c>
      <c r="C1088" s="24" t="s">
        <v>180</v>
      </c>
      <c r="D1088" s="23" t="s">
        <v>1590</v>
      </c>
      <c r="E1088" s="23" t="s">
        <v>333</v>
      </c>
      <c r="F1088" s="25" t="s">
        <v>1591</v>
      </c>
    </row>
    <row r="1089" spans="1:6" x14ac:dyDescent="0.25">
      <c r="A1089" s="27">
        <v>43159</v>
      </c>
      <c r="B1089" s="23" t="s">
        <v>1386</v>
      </c>
      <c r="C1089" s="24" t="s">
        <v>180</v>
      </c>
      <c r="D1089" s="23" t="s">
        <v>388</v>
      </c>
      <c r="E1089" s="23" t="s">
        <v>333</v>
      </c>
      <c r="F1089" s="25" t="s">
        <v>1592</v>
      </c>
    </row>
    <row r="1090" spans="1:6" x14ac:dyDescent="0.25">
      <c r="A1090" s="27">
        <v>43160</v>
      </c>
      <c r="B1090" s="23" t="s">
        <v>1593</v>
      </c>
      <c r="C1090" s="24" t="s">
        <v>51</v>
      </c>
      <c r="D1090" s="23" t="s">
        <v>1594</v>
      </c>
      <c r="E1090" s="23" t="s">
        <v>1587</v>
      </c>
    </row>
    <row r="1091" spans="1:6" x14ac:dyDescent="0.25">
      <c r="A1091" s="27">
        <v>43160</v>
      </c>
      <c r="B1091" s="23" t="s">
        <v>1595</v>
      </c>
      <c r="C1091" s="24" t="s">
        <v>180</v>
      </c>
      <c r="D1091" s="23" t="s">
        <v>1586</v>
      </c>
      <c r="E1091" s="23" t="s">
        <v>1587</v>
      </c>
    </row>
    <row r="1092" spans="1:6" x14ac:dyDescent="0.25">
      <c r="A1092" s="27">
        <v>43160</v>
      </c>
      <c r="B1092" s="23" t="s">
        <v>1596</v>
      </c>
      <c r="C1092" s="24" t="s">
        <v>180</v>
      </c>
      <c r="D1092" s="23" t="s">
        <v>1597</v>
      </c>
      <c r="E1092" s="23" t="s">
        <v>333</v>
      </c>
      <c r="F1092" s="25" t="s">
        <v>1598</v>
      </c>
    </row>
    <row r="1093" spans="1:6" x14ac:dyDescent="0.25">
      <c r="A1093" s="27">
        <v>43160</v>
      </c>
      <c r="B1093" s="23" t="s">
        <v>1599</v>
      </c>
      <c r="C1093" s="24" t="s">
        <v>180</v>
      </c>
      <c r="D1093" s="23" t="s">
        <v>1600</v>
      </c>
      <c r="E1093" s="23" t="s">
        <v>1587</v>
      </c>
    </row>
    <row r="1094" spans="1:6" x14ac:dyDescent="0.25">
      <c r="A1094" s="27">
        <v>43160</v>
      </c>
      <c r="B1094" s="23" t="s">
        <v>1601</v>
      </c>
      <c r="C1094" s="24" t="s">
        <v>51</v>
      </c>
      <c r="D1094" s="23" t="s">
        <v>1594</v>
      </c>
      <c r="E1094" s="23" t="s">
        <v>1587</v>
      </c>
    </row>
  </sheetData>
  <autoFilter ref="A1:F1094"/>
  <pageMargins left="0.70866141732283472" right="0.70866141732283472" top="0.74803149606299213" bottom="0.74803149606299213" header="0.31496062992125984" footer="0.31496062992125984"/>
  <pageSetup scale="61" fitToHeight="4"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M2409"/>
  <sheetViews>
    <sheetView showGridLines="0" zoomScale="90" zoomScaleNormal="90" workbookViewId="0">
      <pane xSplit="2" ySplit="1" topLeftCell="C1917" activePane="bottomRight" state="frozen"/>
      <selection pane="topRight" activeCell="C1" sqref="C1"/>
      <selection pane="bottomLeft" activeCell="A2" sqref="A2"/>
      <selection pane="bottomRight" activeCell="C1929" sqref="C1929"/>
    </sheetView>
  </sheetViews>
  <sheetFormatPr baseColWidth="10" defaultRowHeight="15" x14ac:dyDescent="0.25"/>
  <cols>
    <col min="1" max="1" width="12" style="49" customWidth="1"/>
    <col min="2" max="2" width="14.28515625" style="50" customWidth="1"/>
    <col min="3" max="3" width="38" style="49" customWidth="1"/>
    <col min="4" max="4" width="5.5703125" style="49" customWidth="1"/>
    <col min="5" max="5" width="46.28515625" style="49" customWidth="1"/>
    <col min="6" max="6" width="9.42578125" style="49" bestFit="1" customWidth="1"/>
    <col min="7" max="7" width="14.85546875" style="49" customWidth="1"/>
    <col min="8" max="8" width="13.7109375" style="49" customWidth="1"/>
    <col min="9" max="9" width="14.140625" style="49" customWidth="1"/>
    <col min="10" max="10" width="22.7109375" style="49" customWidth="1"/>
    <col min="11" max="11" width="12.140625" style="49" customWidth="1"/>
    <col min="12" max="12" width="13.85546875" style="49" customWidth="1"/>
    <col min="13" max="16384" width="11.42578125" style="49"/>
  </cols>
  <sheetData>
    <row r="1" spans="1:13" x14ac:dyDescent="0.25">
      <c r="A1" s="49" t="s">
        <v>0</v>
      </c>
      <c r="B1" s="50" t="s">
        <v>3171</v>
      </c>
      <c r="C1" s="49" t="s">
        <v>1</v>
      </c>
      <c r="D1" s="49" t="s">
        <v>2</v>
      </c>
      <c r="E1" s="49" t="s">
        <v>3240</v>
      </c>
      <c r="F1" s="57" t="s">
        <v>3237</v>
      </c>
      <c r="G1" s="57" t="s">
        <v>3238</v>
      </c>
      <c r="H1" s="49" t="s">
        <v>326</v>
      </c>
      <c r="I1" s="49" t="s">
        <v>331</v>
      </c>
      <c r="J1" s="53" t="s">
        <v>2669</v>
      </c>
      <c r="K1" s="49" t="s">
        <v>2283</v>
      </c>
      <c r="L1" s="49" t="s">
        <v>3172</v>
      </c>
      <c r="M1" s="58" t="s">
        <v>4366</v>
      </c>
    </row>
    <row r="2" spans="1:13" x14ac:dyDescent="0.25">
      <c r="A2" s="51">
        <v>43104</v>
      </c>
      <c r="C2" s="49" t="s">
        <v>1274</v>
      </c>
      <c r="D2" s="49" t="s">
        <v>6</v>
      </c>
      <c r="F2" s="49" t="str">
        <f>IFERROR(IF(Tabla1[[#This Row],[CONCEPTO mx]]="","",VLOOKUP(Tabla1[[#This Row],[CONCEPTO mx]],Tabla2[#All],2,0)),"")</f>
        <v/>
      </c>
      <c r="G2" s="49" t="str">
        <f>IFERROR(IF(Tabla1[[#This Row],[CONCEPTO mx]]="","",VLOOKUP(Tabla1[[#This Row],[CONCEPTO mx]],Tabla2[#All],3,0)),"")</f>
        <v/>
      </c>
      <c r="H2" s="49" t="s">
        <v>438</v>
      </c>
      <c r="I2" s="49" t="s">
        <v>2298</v>
      </c>
      <c r="J2" s="53" t="s">
        <v>2670</v>
      </c>
    </row>
    <row r="3" spans="1:13" x14ac:dyDescent="0.25">
      <c r="A3" s="51">
        <v>43104</v>
      </c>
      <c r="C3" s="49" t="s">
        <v>1272</v>
      </c>
      <c r="D3" s="49" t="s">
        <v>1273</v>
      </c>
      <c r="F3" s="49" t="str">
        <f>IFERROR(IF(Tabla1[[#This Row],[CONCEPTO mx]]="","",VLOOKUP(Tabla1[[#This Row],[CONCEPTO mx]],Tabla2[#All],2,0)),"")</f>
        <v/>
      </c>
      <c r="G3" s="49" t="str">
        <f>IFERROR(IF(Tabla1[[#This Row],[CONCEPTO mx]]="","",VLOOKUP(Tabla1[[#This Row],[CONCEPTO mx]],Tabla2[#All],3,0)),"")</f>
        <v/>
      </c>
      <c r="H3" s="49" t="s">
        <v>334</v>
      </c>
      <c r="I3" s="49" t="s">
        <v>2320</v>
      </c>
      <c r="J3" s="53"/>
    </row>
    <row r="4" spans="1:13" x14ac:dyDescent="0.25">
      <c r="A4" s="51">
        <v>43104</v>
      </c>
      <c r="C4" s="49" t="s">
        <v>1276</v>
      </c>
      <c r="D4" s="49" t="s">
        <v>275</v>
      </c>
      <c r="F4" s="49" t="str">
        <f>IFERROR(IF(Tabla1[[#This Row],[CONCEPTO mx]]="","",VLOOKUP(Tabla1[[#This Row],[CONCEPTO mx]],Tabla2[#All],2,0)),"")</f>
        <v/>
      </c>
      <c r="G4" s="49" t="str">
        <f>IFERROR(IF(Tabla1[[#This Row],[CONCEPTO mx]]="","",VLOOKUP(Tabla1[[#This Row],[CONCEPTO mx]],Tabla2[#All],3,0)),"")</f>
        <v/>
      </c>
      <c r="H4" s="49" t="s">
        <v>486</v>
      </c>
      <c r="I4" s="49" t="s">
        <v>2298</v>
      </c>
      <c r="J4" s="53" t="s">
        <v>2671</v>
      </c>
    </row>
    <row r="5" spans="1:13" x14ac:dyDescent="0.25">
      <c r="A5" s="51">
        <v>43110</v>
      </c>
      <c r="C5" s="49" t="s">
        <v>1278</v>
      </c>
      <c r="D5" s="49" t="s">
        <v>6</v>
      </c>
      <c r="F5" s="49" t="str">
        <f>IFERROR(IF(Tabla1[[#This Row],[CONCEPTO mx]]="","",VLOOKUP(Tabla1[[#This Row],[CONCEPTO mx]],Tabla2[#All],2,0)),"")</f>
        <v/>
      </c>
      <c r="G5" s="49" t="str">
        <f>IFERROR(IF(Tabla1[[#This Row],[CONCEPTO mx]]="","",VLOOKUP(Tabla1[[#This Row],[CONCEPTO mx]],Tabla2[#All],3,0)),"")</f>
        <v/>
      </c>
      <c r="H5" s="49" t="s">
        <v>486</v>
      </c>
      <c r="I5" s="49" t="s">
        <v>2298</v>
      </c>
      <c r="J5" s="53" t="s">
        <v>2672</v>
      </c>
    </row>
    <row r="6" spans="1:13" x14ac:dyDescent="0.25">
      <c r="A6" s="51">
        <v>43111</v>
      </c>
      <c r="C6" s="49" t="s">
        <v>1280</v>
      </c>
      <c r="D6" s="49" t="s">
        <v>1281</v>
      </c>
      <c r="F6" s="49" t="str">
        <f>IFERROR(IF(Tabla1[[#This Row],[CONCEPTO mx]]="","",VLOOKUP(Tabla1[[#This Row],[CONCEPTO mx]],Tabla2[#All],2,0)),"")</f>
        <v/>
      </c>
      <c r="G6" s="49" t="str">
        <f>IFERROR(IF(Tabla1[[#This Row],[CONCEPTO mx]]="","",VLOOKUP(Tabla1[[#This Row],[CONCEPTO mx]],Tabla2[#All],3,0)),"")</f>
        <v/>
      </c>
      <c r="H6" s="49" t="s">
        <v>486</v>
      </c>
      <c r="I6" s="49" t="s">
        <v>2298</v>
      </c>
      <c r="J6" s="53" t="s">
        <v>2671</v>
      </c>
    </row>
    <row r="7" spans="1:13" x14ac:dyDescent="0.25">
      <c r="A7" s="51">
        <v>43112</v>
      </c>
      <c r="C7" s="49" t="s">
        <v>1284</v>
      </c>
      <c r="D7" s="49" t="s">
        <v>51</v>
      </c>
      <c r="F7" s="49" t="str">
        <f>IFERROR(IF(Tabla1[[#This Row],[CONCEPTO mx]]="","",VLOOKUP(Tabla1[[#This Row],[CONCEPTO mx]],Tabla2[#All],2,0)),"")</f>
        <v/>
      </c>
      <c r="G7" s="49" t="str">
        <f>IFERROR(IF(Tabla1[[#This Row],[CONCEPTO mx]]="","",VLOOKUP(Tabla1[[#This Row],[CONCEPTO mx]],Tabla2[#All],3,0)),"")</f>
        <v/>
      </c>
      <c r="H7" s="49" t="s">
        <v>628</v>
      </c>
      <c r="I7" s="49" t="s">
        <v>2298</v>
      </c>
      <c r="J7" s="53" t="s">
        <v>2674</v>
      </c>
      <c r="L7" s="49" t="s">
        <v>2514</v>
      </c>
    </row>
    <row r="8" spans="1:13" x14ac:dyDescent="0.25">
      <c r="A8" s="51">
        <v>43112</v>
      </c>
      <c r="B8" s="59">
        <v>1028012158</v>
      </c>
      <c r="C8" s="49" t="s">
        <v>90</v>
      </c>
      <c r="E8" s="49" t="s">
        <v>2355</v>
      </c>
      <c r="F8" s="49" t="str">
        <f>IFERROR(IF(Tabla1[[#This Row],[CONCEPTO mx]]="","",VLOOKUP(Tabla1[[#This Row],[CONCEPTO mx]],Tabla2[#All],2,0)),"")</f>
        <v>CM13</v>
      </c>
      <c r="G8" s="49" t="str">
        <f>IFERROR(IF(Tabla1[[#This Row],[CONCEPTO mx]]="","",VLOOKUP(Tabla1[[#This Row],[CONCEPTO mx]],Tabla2[#All],3,0)),"")</f>
        <v>Gestión Humana</v>
      </c>
      <c r="H8" s="49" t="s">
        <v>486</v>
      </c>
      <c r="I8" s="49" t="s">
        <v>2298</v>
      </c>
      <c r="J8" s="53" t="s">
        <v>2673</v>
      </c>
    </row>
    <row r="9" spans="1:13" x14ac:dyDescent="0.25">
      <c r="A9" s="51">
        <v>43112</v>
      </c>
      <c r="C9" s="49" t="s">
        <v>1282</v>
      </c>
      <c r="D9" s="49" t="s">
        <v>180</v>
      </c>
      <c r="E9" s="49" t="s">
        <v>3198</v>
      </c>
      <c r="F9" s="49" t="str">
        <f>IFERROR(IF(Tabla1[[#This Row],[CONCEPTO mx]]="","",VLOOKUP(Tabla1[[#This Row],[CONCEPTO mx]],Tabla2[#All],2,0)),"")</f>
        <v>CM6</v>
      </c>
      <c r="G9" s="49" t="str">
        <f>IFERROR(IF(Tabla1[[#This Row],[CONCEPTO mx]]="","",VLOOKUP(Tabla1[[#This Row],[CONCEPTO mx]],Tabla2[#All],3,0)),"")</f>
        <v>SST</v>
      </c>
      <c r="H9" s="49" t="s">
        <v>486</v>
      </c>
      <c r="I9" s="49" t="s">
        <v>2298</v>
      </c>
      <c r="J9" s="53" t="s">
        <v>2671</v>
      </c>
      <c r="L9" s="49" t="s">
        <v>3663</v>
      </c>
    </row>
    <row r="10" spans="1:13" x14ac:dyDescent="0.25">
      <c r="A10" s="51">
        <v>43116</v>
      </c>
      <c r="C10" s="49" t="s">
        <v>1285</v>
      </c>
      <c r="D10" s="49" t="s">
        <v>752</v>
      </c>
      <c r="F10" s="49" t="str">
        <f>IFERROR(IF(Tabla1[[#This Row],[CONCEPTO mx]]="","",VLOOKUP(Tabla1[[#This Row],[CONCEPTO mx]],Tabla2[#All],2,0)),"")</f>
        <v/>
      </c>
      <c r="G10" s="49" t="str">
        <f>IFERROR(IF(Tabla1[[#This Row],[CONCEPTO mx]]="","",VLOOKUP(Tabla1[[#This Row],[CONCEPTO mx]],Tabla2[#All],3,0)),"")</f>
        <v/>
      </c>
      <c r="H10" s="49" t="s">
        <v>438</v>
      </c>
      <c r="I10" s="49" t="s">
        <v>2298</v>
      </c>
      <c r="J10" s="53" t="s">
        <v>2675</v>
      </c>
    </row>
    <row r="11" spans="1:13" x14ac:dyDescent="0.25">
      <c r="A11" s="51">
        <v>43118</v>
      </c>
      <c r="C11" s="49" t="s">
        <v>1293</v>
      </c>
      <c r="D11" s="49" t="s">
        <v>17</v>
      </c>
      <c r="F11" s="49" t="str">
        <f>IFERROR(IF(Tabla1[[#This Row],[CONCEPTO mx]]="","",VLOOKUP(Tabla1[[#This Row],[CONCEPTO mx]],Tabla2[#All],2,0)),"")</f>
        <v/>
      </c>
      <c r="G11" s="49" t="str">
        <f>IFERROR(IF(Tabla1[[#This Row],[CONCEPTO mx]]="","",VLOOKUP(Tabla1[[#This Row],[CONCEPTO mx]],Tabla2[#All],3,0)),"")</f>
        <v/>
      </c>
      <c r="H11" s="49" t="s">
        <v>439</v>
      </c>
      <c r="I11" s="49" t="s">
        <v>2298</v>
      </c>
      <c r="J11" s="53" t="s">
        <v>2678</v>
      </c>
    </row>
    <row r="12" spans="1:13" x14ac:dyDescent="0.25">
      <c r="A12" s="51">
        <v>43118</v>
      </c>
      <c r="C12" s="49" t="s">
        <v>1294</v>
      </c>
      <c r="D12" s="49" t="s">
        <v>6</v>
      </c>
      <c r="F12" s="49" t="str">
        <f>IFERROR(IF(Tabla1[[#This Row],[CONCEPTO mx]]="","",VLOOKUP(Tabla1[[#This Row],[CONCEPTO mx]],Tabla2[#All],2,0)),"")</f>
        <v/>
      </c>
      <c r="G12" s="49" t="str">
        <f>IFERROR(IF(Tabla1[[#This Row],[CONCEPTO mx]]="","",VLOOKUP(Tabla1[[#This Row],[CONCEPTO mx]],Tabla2[#All],3,0)),"")</f>
        <v/>
      </c>
      <c r="H12" s="49" t="s">
        <v>528</v>
      </c>
      <c r="I12" s="49" t="s">
        <v>2339</v>
      </c>
      <c r="J12" s="53"/>
    </row>
    <row r="13" spans="1:13" x14ac:dyDescent="0.25">
      <c r="A13" s="51">
        <v>43118</v>
      </c>
      <c r="C13" s="49" t="s">
        <v>1291</v>
      </c>
      <c r="D13" s="49" t="s">
        <v>2273</v>
      </c>
      <c r="F13" s="49" t="str">
        <f>IFERROR(IF(Tabla1[[#This Row],[CONCEPTO mx]]="","",VLOOKUP(Tabla1[[#This Row],[CONCEPTO mx]],Tabla2[#All],2,0)),"")</f>
        <v/>
      </c>
      <c r="G13" s="49" t="str">
        <f>IFERROR(IF(Tabla1[[#This Row],[CONCEPTO mx]]="","",VLOOKUP(Tabla1[[#This Row],[CONCEPTO mx]],Tabla2[#All],3,0)),"")</f>
        <v/>
      </c>
      <c r="H13" s="49" t="s">
        <v>550</v>
      </c>
      <c r="I13" s="49" t="s">
        <v>2298</v>
      </c>
      <c r="J13" s="53" t="s">
        <v>2302</v>
      </c>
    </row>
    <row r="14" spans="1:13" x14ac:dyDescent="0.25">
      <c r="A14" s="51">
        <v>43118</v>
      </c>
      <c r="C14" s="49" t="s">
        <v>1289</v>
      </c>
      <c r="D14" s="49" t="s">
        <v>19</v>
      </c>
      <c r="F14" s="49" t="str">
        <f>IFERROR(IF(Tabla1[[#This Row],[CONCEPTO mx]]="","",VLOOKUP(Tabla1[[#This Row],[CONCEPTO mx]],Tabla2[#All],2,0)),"")</f>
        <v/>
      </c>
      <c r="G14" s="49" t="str">
        <f>IFERROR(IF(Tabla1[[#This Row],[CONCEPTO mx]]="","",VLOOKUP(Tabla1[[#This Row],[CONCEPTO mx]],Tabla2[#All],3,0)),"")</f>
        <v/>
      </c>
      <c r="H14" s="49" t="s">
        <v>352</v>
      </c>
      <c r="I14" s="49" t="s">
        <v>2328</v>
      </c>
      <c r="J14" s="53"/>
    </row>
    <row r="15" spans="1:13" x14ac:dyDescent="0.25">
      <c r="A15" s="51">
        <v>43118</v>
      </c>
      <c r="C15" s="49" t="s">
        <v>1290</v>
      </c>
      <c r="D15" s="49" t="s">
        <v>2273</v>
      </c>
      <c r="F15" s="49" t="str">
        <f>IFERROR(IF(Tabla1[[#This Row],[CONCEPTO mx]]="","",VLOOKUP(Tabla1[[#This Row],[CONCEPTO mx]],Tabla2[#All],2,0)),"")</f>
        <v/>
      </c>
      <c r="G15" s="49" t="str">
        <f>IFERROR(IF(Tabla1[[#This Row],[CONCEPTO mx]]="","",VLOOKUP(Tabla1[[#This Row],[CONCEPTO mx]],Tabla2[#All],3,0)),"")</f>
        <v/>
      </c>
      <c r="H15" s="49" t="s">
        <v>352</v>
      </c>
      <c r="I15" s="49" t="s">
        <v>2298</v>
      </c>
      <c r="J15" s="53" t="s">
        <v>2677</v>
      </c>
    </row>
    <row r="16" spans="1:13" x14ac:dyDescent="0.25">
      <c r="A16" s="51">
        <v>43118</v>
      </c>
      <c r="C16" s="49" t="s">
        <v>1286</v>
      </c>
      <c r="D16" s="49" t="s">
        <v>1287</v>
      </c>
      <c r="F16" s="49" t="str">
        <f>IFERROR(IF(Tabla1[[#This Row],[CONCEPTO mx]]="","",VLOOKUP(Tabla1[[#This Row],[CONCEPTO mx]],Tabla2[#All],2,0)),"")</f>
        <v/>
      </c>
      <c r="G16" s="49" t="str">
        <f>IFERROR(IF(Tabla1[[#This Row],[CONCEPTO mx]]="","",VLOOKUP(Tabla1[[#This Row],[CONCEPTO mx]],Tabla2[#All],3,0)),"")</f>
        <v/>
      </c>
      <c r="H16" s="49" t="s">
        <v>486</v>
      </c>
      <c r="I16" s="49" t="s">
        <v>2298</v>
      </c>
      <c r="J16" s="53" t="s">
        <v>2676</v>
      </c>
    </row>
    <row r="17" spans="1:11" x14ac:dyDescent="0.25">
      <c r="A17" s="51">
        <v>43119</v>
      </c>
      <c r="C17" s="49" t="s">
        <v>1303</v>
      </c>
      <c r="D17" s="49" t="s">
        <v>1304</v>
      </c>
      <c r="F17" s="49" t="str">
        <f>IFERROR(IF(Tabla1[[#This Row],[CONCEPTO mx]]="","",VLOOKUP(Tabla1[[#This Row],[CONCEPTO mx]],Tabla2[#All],2,0)),"")</f>
        <v/>
      </c>
      <c r="G17" s="49" t="str">
        <f>IFERROR(IF(Tabla1[[#This Row],[CONCEPTO mx]]="","",VLOOKUP(Tabla1[[#This Row],[CONCEPTO mx]],Tabla2[#All],3,0)),"")</f>
        <v/>
      </c>
      <c r="H17" s="49" t="s">
        <v>438</v>
      </c>
      <c r="I17" s="49" t="s">
        <v>2298</v>
      </c>
      <c r="J17" s="53"/>
    </row>
    <row r="18" spans="1:11" x14ac:dyDescent="0.25">
      <c r="A18" s="51">
        <v>43119</v>
      </c>
      <c r="C18" s="49" t="s">
        <v>1300</v>
      </c>
      <c r="D18" s="49" t="s">
        <v>1301</v>
      </c>
      <c r="F18" s="49" t="str">
        <f>IFERROR(IF(Tabla1[[#This Row],[CONCEPTO mx]]="","",VLOOKUP(Tabla1[[#This Row],[CONCEPTO mx]],Tabla2[#All],2,0)),"")</f>
        <v/>
      </c>
      <c r="G18" s="49" t="str">
        <f>IFERROR(IF(Tabla1[[#This Row],[CONCEPTO mx]]="","",VLOOKUP(Tabla1[[#This Row],[CONCEPTO mx]],Tabla2[#All],3,0)),"")</f>
        <v/>
      </c>
      <c r="H18" s="49" t="s">
        <v>438</v>
      </c>
      <c r="I18" s="49" t="s">
        <v>2298</v>
      </c>
      <c r="J18" s="53" t="s">
        <v>2681</v>
      </c>
    </row>
    <row r="19" spans="1:11" x14ac:dyDescent="0.25">
      <c r="A19" s="51">
        <v>43119</v>
      </c>
      <c r="C19" s="49" t="s">
        <v>1295</v>
      </c>
      <c r="D19" s="49" t="s">
        <v>180</v>
      </c>
      <c r="E19" s="49" t="s">
        <v>3188</v>
      </c>
      <c r="F19" s="49" t="str">
        <f>IFERROR(IF(Tabla1[[#This Row],[CONCEPTO mx]]="","",VLOOKUP(Tabla1[[#This Row],[CONCEPTO mx]],Tabla2[#All],2,0)),"")</f>
        <v>CM7</v>
      </c>
      <c r="G19" s="49" t="str">
        <f>IFERROR(IF(Tabla1[[#This Row],[CONCEPTO mx]]="","",VLOOKUP(Tabla1[[#This Row],[CONCEPTO mx]],Tabla2[#All],3,0)),"")</f>
        <v>SST</v>
      </c>
      <c r="H19" s="49" t="s">
        <v>413</v>
      </c>
      <c r="I19" s="49" t="s">
        <v>2298</v>
      </c>
      <c r="J19" s="53" t="s">
        <v>2679</v>
      </c>
    </row>
    <row r="20" spans="1:11" x14ac:dyDescent="0.25">
      <c r="A20" s="51">
        <v>43119</v>
      </c>
      <c r="C20" s="49" t="s">
        <v>1307</v>
      </c>
      <c r="D20" s="49" t="s">
        <v>241</v>
      </c>
      <c r="F20" s="49" t="str">
        <f>IFERROR(IF(Tabla1[[#This Row],[CONCEPTO mx]]="","",VLOOKUP(Tabla1[[#This Row],[CONCEPTO mx]],Tabla2[#All],2,0)),"")</f>
        <v/>
      </c>
      <c r="G20" s="49" t="str">
        <f>IFERROR(IF(Tabla1[[#This Row],[CONCEPTO mx]]="","",VLOOKUP(Tabla1[[#This Row],[CONCEPTO mx]],Tabla2[#All],3,0)),"")</f>
        <v/>
      </c>
      <c r="H20" s="49" t="s">
        <v>438</v>
      </c>
      <c r="I20" s="49" t="s">
        <v>2298</v>
      </c>
      <c r="J20" s="53" t="s">
        <v>2683</v>
      </c>
    </row>
    <row r="21" spans="1:11" x14ac:dyDescent="0.25">
      <c r="A21" s="51">
        <v>43119</v>
      </c>
      <c r="C21" s="49" t="s">
        <v>1298</v>
      </c>
      <c r="D21" s="49" t="s">
        <v>6</v>
      </c>
      <c r="F21" s="49" t="str">
        <f>IFERROR(IF(Tabla1[[#This Row],[CONCEPTO mx]]="","",VLOOKUP(Tabla1[[#This Row],[CONCEPTO mx]],Tabla2[#All],2,0)),"")</f>
        <v/>
      </c>
      <c r="G21" s="49" t="str">
        <f>IFERROR(IF(Tabla1[[#This Row],[CONCEPTO mx]]="","",VLOOKUP(Tabla1[[#This Row],[CONCEPTO mx]],Tabla2[#All],3,0)),"")</f>
        <v/>
      </c>
      <c r="H21" s="49" t="s">
        <v>439</v>
      </c>
      <c r="I21" s="49" t="s">
        <v>2298</v>
      </c>
      <c r="J21" s="53" t="s">
        <v>2680</v>
      </c>
    </row>
    <row r="22" spans="1:11" x14ac:dyDescent="0.25">
      <c r="A22" s="51">
        <v>43119</v>
      </c>
      <c r="C22" s="49" t="s">
        <v>1308</v>
      </c>
      <c r="D22" s="49" t="s">
        <v>1309</v>
      </c>
      <c r="F22" s="49" t="str">
        <f>IFERROR(IF(Tabla1[[#This Row],[CONCEPTO mx]]="","",VLOOKUP(Tabla1[[#This Row],[CONCEPTO mx]],Tabla2[#All],2,0)),"")</f>
        <v/>
      </c>
      <c r="G22" s="49" t="str">
        <f>IFERROR(IF(Tabla1[[#This Row],[CONCEPTO mx]]="","",VLOOKUP(Tabla1[[#This Row],[CONCEPTO mx]],Tabla2[#All],3,0)),"")</f>
        <v/>
      </c>
      <c r="H22" s="49" t="s">
        <v>438</v>
      </c>
      <c r="I22" s="49" t="s">
        <v>2298</v>
      </c>
      <c r="J22" s="53" t="s">
        <v>2684</v>
      </c>
    </row>
    <row r="23" spans="1:11" x14ac:dyDescent="0.25">
      <c r="A23" s="51">
        <v>43119</v>
      </c>
      <c r="C23" s="49" t="s">
        <v>1305</v>
      </c>
      <c r="D23" s="49" t="s">
        <v>17</v>
      </c>
      <c r="F23" s="49" t="str">
        <f>IFERROR(IF(Tabla1[[#This Row],[CONCEPTO mx]]="","",VLOOKUP(Tabla1[[#This Row],[CONCEPTO mx]],Tabla2[#All],2,0)),"")</f>
        <v/>
      </c>
      <c r="G23" s="49" t="str">
        <f>IFERROR(IF(Tabla1[[#This Row],[CONCEPTO mx]]="","",VLOOKUP(Tabla1[[#This Row],[CONCEPTO mx]],Tabla2[#All],3,0)),"")</f>
        <v/>
      </c>
      <c r="H23" s="49" t="s">
        <v>2394</v>
      </c>
      <c r="I23" s="49" t="s">
        <v>2298</v>
      </c>
      <c r="J23" s="53" t="s">
        <v>2682</v>
      </c>
    </row>
    <row r="24" spans="1:11" x14ac:dyDescent="0.25">
      <c r="A24" s="51">
        <v>43122</v>
      </c>
      <c r="C24" s="49" t="s">
        <v>1310</v>
      </c>
      <c r="E24" s="49" t="s">
        <v>2355</v>
      </c>
      <c r="F24" s="49" t="str">
        <f>IFERROR(IF(Tabla1[[#This Row],[CONCEPTO mx]]="","",VLOOKUP(Tabla1[[#This Row],[CONCEPTO mx]],Tabla2[#All],2,0)),"")</f>
        <v>CM13</v>
      </c>
      <c r="G24" s="49" t="str">
        <f>IFERROR(IF(Tabla1[[#This Row],[CONCEPTO mx]]="","",VLOOKUP(Tabla1[[#This Row],[CONCEPTO mx]],Tabla2[#All],3,0)),"")</f>
        <v>Gestión Humana</v>
      </c>
      <c r="H24" s="49" t="s">
        <v>352</v>
      </c>
      <c r="I24" s="49" t="s">
        <v>2298</v>
      </c>
      <c r="J24" s="53" t="s">
        <v>2673</v>
      </c>
    </row>
    <row r="25" spans="1:11" x14ac:dyDescent="0.25">
      <c r="A25" s="51">
        <v>43122</v>
      </c>
      <c r="C25" s="49" t="s">
        <v>1312</v>
      </c>
      <c r="D25" s="49" t="s">
        <v>1313</v>
      </c>
      <c r="F25" s="49" t="str">
        <f>IFERROR(IF(Tabla1[[#This Row],[CONCEPTO mx]]="","",VLOOKUP(Tabla1[[#This Row],[CONCEPTO mx]],Tabla2[#All],2,0)),"")</f>
        <v/>
      </c>
      <c r="G25" s="49" t="str">
        <f>IFERROR(IF(Tabla1[[#This Row],[CONCEPTO mx]]="","",VLOOKUP(Tabla1[[#This Row],[CONCEPTO mx]],Tabla2[#All],3,0)),"")</f>
        <v/>
      </c>
      <c r="H25" s="49" t="s">
        <v>438</v>
      </c>
      <c r="I25" s="49" t="s">
        <v>2298</v>
      </c>
      <c r="J25" s="53" t="s">
        <v>2685</v>
      </c>
    </row>
    <row r="26" spans="1:11" x14ac:dyDescent="0.25">
      <c r="A26" s="51">
        <v>43123</v>
      </c>
      <c r="C26" s="49" t="s">
        <v>1321</v>
      </c>
      <c r="D26" s="49" t="s">
        <v>6</v>
      </c>
      <c r="F26" s="49" t="str">
        <f>IFERROR(IF(Tabla1[[#This Row],[CONCEPTO mx]]="","",VLOOKUP(Tabla1[[#This Row],[CONCEPTO mx]],Tabla2[#All],2,0)),"")</f>
        <v/>
      </c>
      <c r="G26" s="49" t="str">
        <f>IFERROR(IF(Tabla1[[#This Row],[CONCEPTO mx]]="","",VLOOKUP(Tabla1[[#This Row],[CONCEPTO mx]],Tabla2[#All],3,0)),"")</f>
        <v/>
      </c>
      <c r="I26" s="49" t="s">
        <v>2339</v>
      </c>
      <c r="J26" s="53"/>
    </row>
    <row r="27" spans="1:11" x14ac:dyDescent="0.25">
      <c r="A27" s="51">
        <v>43123</v>
      </c>
      <c r="C27" s="49" t="s">
        <v>1318</v>
      </c>
      <c r="D27" s="49" t="s">
        <v>180</v>
      </c>
      <c r="E27" s="49" t="s">
        <v>3188</v>
      </c>
      <c r="F27" s="49" t="str">
        <f>IFERROR(IF(Tabla1[[#This Row],[CONCEPTO mx]]="","",VLOOKUP(Tabla1[[#This Row],[CONCEPTO mx]],Tabla2[#All],2,0)),"")</f>
        <v>CM7</v>
      </c>
      <c r="G27" s="49" t="str">
        <f>IFERROR(IF(Tabla1[[#This Row],[CONCEPTO mx]]="","",VLOOKUP(Tabla1[[#This Row],[CONCEPTO mx]],Tabla2[#All],3,0)),"")</f>
        <v>SST</v>
      </c>
      <c r="H27" s="49" t="s">
        <v>352</v>
      </c>
      <c r="I27" s="49" t="s">
        <v>2298</v>
      </c>
      <c r="J27" s="53" t="s">
        <v>2677</v>
      </c>
      <c r="K27" s="51">
        <v>43483</v>
      </c>
    </row>
    <row r="28" spans="1:11" x14ac:dyDescent="0.25">
      <c r="A28" s="51">
        <v>43123</v>
      </c>
      <c r="C28" s="49" t="s">
        <v>1319</v>
      </c>
      <c r="D28" s="49" t="s">
        <v>6</v>
      </c>
      <c r="F28" s="49" t="str">
        <f>IFERROR(IF(Tabla1[[#This Row],[CONCEPTO mx]]="","",VLOOKUP(Tabla1[[#This Row],[CONCEPTO mx]],Tabla2[#All],2,0)),"")</f>
        <v/>
      </c>
      <c r="G28" s="49" t="str">
        <f>IFERROR(IF(Tabla1[[#This Row],[CONCEPTO mx]]="","",VLOOKUP(Tabla1[[#This Row],[CONCEPTO mx]],Tabla2[#All],3,0)),"")</f>
        <v/>
      </c>
      <c r="H28" s="49" t="s">
        <v>528</v>
      </c>
      <c r="I28" s="49" t="s">
        <v>2339</v>
      </c>
      <c r="J28" s="53"/>
    </row>
    <row r="29" spans="1:11" x14ac:dyDescent="0.25">
      <c r="A29" s="51">
        <v>43123</v>
      </c>
      <c r="C29" s="49" t="s">
        <v>1317</v>
      </c>
      <c r="D29" s="49" t="s">
        <v>6</v>
      </c>
      <c r="F29" s="49" t="str">
        <f>IFERROR(IF(Tabla1[[#This Row],[CONCEPTO mx]]="","",VLOOKUP(Tabla1[[#This Row],[CONCEPTO mx]],Tabla2[#All],2,0)),"")</f>
        <v/>
      </c>
      <c r="G29" s="49" t="str">
        <f>IFERROR(IF(Tabla1[[#This Row],[CONCEPTO mx]]="","",VLOOKUP(Tabla1[[#This Row],[CONCEPTO mx]],Tabla2[#All],3,0)),"")</f>
        <v/>
      </c>
      <c r="H29" s="49" t="s">
        <v>352</v>
      </c>
      <c r="I29" s="49" t="s">
        <v>2298</v>
      </c>
      <c r="J29" s="53" t="s">
        <v>2302</v>
      </c>
    </row>
    <row r="30" spans="1:11" x14ac:dyDescent="0.25">
      <c r="A30" s="51">
        <v>43123</v>
      </c>
      <c r="C30" s="49" t="s">
        <v>1316</v>
      </c>
      <c r="D30" s="49" t="s">
        <v>6</v>
      </c>
      <c r="F30" s="49" t="str">
        <f>IFERROR(IF(Tabla1[[#This Row],[CONCEPTO mx]]="","",VLOOKUP(Tabla1[[#This Row],[CONCEPTO mx]],Tabla2[#All],2,0)),"")</f>
        <v/>
      </c>
      <c r="G30" s="49" t="str">
        <f>IFERROR(IF(Tabla1[[#This Row],[CONCEPTO mx]]="","",VLOOKUP(Tabla1[[#This Row],[CONCEPTO mx]],Tabla2[#All],3,0)),"")</f>
        <v/>
      </c>
      <c r="H30" s="49" t="s">
        <v>438</v>
      </c>
      <c r="I30" s="49" t="s">
        <v>2298</v>
      </c>
      <c r="J30" s="53" t="s">
        <v>2679</v>
      </c>
    </row>
    <row r="31" spans="1:11" x14ac:dyDescent="0.25">
      <c r="A31" s="51">
        <v>43123</v>
      </c>
      <c r="C31" s="49" t="s">
        <v>1322</v>
      </c>
      <c r="D31" s="49" t="s">
        <v>6</v>
      </c>
      <c r="F31" s="49" t="str">
        <f>IFERROR(IF(Tabla1[[#This Row],[CONCEPTO mx]]="","",VLOOKUP(Tabla1[[#This Row],[CONCEPTO mx]],Tabla2[#All],2,0)),"")</f>
        <v/>
      </c>
      <c r="G31" s="49" t="str">
        <f>IFERROR(IF(Tabla1[[#This Row],[CONCEPTO mx]]="","",VLOOKUP(Tabla1[[#This Row],[CONCEPTO mx]],Tabla2[#All],3,0)),"")</f>
        <v/>
      </c>
      <c r="H31" s="49" t="s">
        <v>352</v>
      </c>
      <c r="I31" s="49" t="s">
        <v>2298</v>
      </c>
      <c r="J31" s="53" t="s">
        <v>2302</v>
      </c>
    </row>
    <row r="32" spans="1:11" x14ac:dyDescent="0.25">
      <c r="A32" s="51">
        <v>43123</v>
      </c>
      <c r="C32" s="49" t="s">
        <v>1320</v>
      </c>
      <c r="D32" s="49" t="s">
        <v>6</v>
      </c>
      <c r="F32" s="49" t="str">
        <f>IFERROR(IF(Tabla1[[#This Row],[CONCEPTO mx]]="","",VLOOKUP(Tabla1[[#This Row],[CONCEPTO mx]],Tabla2[#All],2,0)),"")</f>
        <v/>
      </c>
      <c r="G32" s="49" t="str">
        <f>IFERROR(IF(Tabla1[[#This Row],[CONCEPTO mx]]="","",VLOOKUP(Tabla1[[#This Row],[CONCEPTO mx]],Tabla2[#All],3,0)),"")</f>
        <v/>
      </c>
      <c r="H32" s="49" t="s">
        <v>441</v>
      </c>
      <c r="I32" s="49" t="s">
        <v>2298</v>
      </c>
      <c r="J32" s="53" t="s">
        <v>2686</v>
      </c>
    </row>
    <row r="33" spans="1:12" x14ac:dyDescent="0.25">
      <c r="A33" s="51">
        <v>43123</v>
      </c>
      <c r="C33" s="49" t="s">
        <v>1323</v>
      </c>
      <c r="D33" s="49" t="s">
        <v>2273</v>
      </c>
      <c r="F33" s="49" t="str">
        <f>IFERROR(IF(Tabla1[[#This Row],[CONCEPTO mx]]="","",VLOOKUP(Tabla1[[#This Row],[CONCEPTO mx]],Tabla2[#All],2,0)),"")</f>
        <v/>
      </c>
      <c r="G33" s="49" t="str">
        <f>IFERROR(IF(Tabla1[[#This Row],[CONCEPTO mx]]="","",VLOOKUP(Tabla1[[#This Row],[CONCEPTO mx]],Tabla2[#All],3,0)),"")</f>
        <v/>
      </c>
      <c r="H33" s="49" t="s">
        <v>486</v>
      </c>
      <c r="I33" s="49" t="s">
        <v>2298</v>
      </c>
      <c r="J33" s="53" t="s">
        <v>2687</v>
      </c>
    </row>
    <row r="34" spans="1:12" x14ac:dyDescent="0.25">
      <c r="A34" s="51">
        <v>43123</v>
      </c>
      <c r="C34" s="49" t="s">
        <v>1314</v>
      </c>
      <c r="D34" s="49" t="s">
        <v>1315</v>
      </c>
      <c r="F34" s="49" t="str">
        <f>IFERROR(IF(Tabla1[[#This Row],[CONCEPTO mx]]="","",VLOOKUP(Tabla1[[#This Row],[CONCEPTO mx]],Tabla2[#All],2,0)),"")</f>
        <v/>
      </c>
      <c r="G34" s="49" t="str">
        <f>IFERROR(IF(Tabla1[[#This Row],[CONCEPTO mx]]="","",VLOOKUP(Tabla1[[#This Row],[CONCEPTO mx]],Tabla2[#All],3,0)),"")</f>
        <v/>
      </c>
      <c r="J34" s="53"/>
    </row>
    <row r="35" spans="1:12" x14ac:dyDescent="0.25">
      <c r="A35" s="51">
        <v>43124</v>
      </c>
      <c r="C35" s="49" t="s">
        <v>2315</v>
      </c>
      <c r="D35" s="49" t="s">
        <v>1325</v>
      </c>
      <c r="F35" s="49" t="str">
        <f>IFERROR(IF(Tabla1[[#This Row],[CONCEPTO mx]]="","",VLOOKUP(Tabla1[[#This Row],[CONCEPTO mx]],Tabla2[#All],2,0)),"")</f>
        <v/>
      </c>
      <c r="G35" s="49" t="str">
        <f>IFERROR(IF(Tabla1[[#This Row],[CONCEPTO mx]]="","",VLOOKUP(Tabla1[[#This Row],[CONCEPTO mx]],Tabla2[#All],3,0)),"")</f>
        <v/>
      </c>
      <c r="H35" s="49" t="s">
        <v>387</v>
      </c>
      <c r="I35" s="49" t="s">
        <v>2298</v>
      </c>
      <c r="J35" s="53" t="s">
        <v>2298</v>
      </c>
    </row>
    <row r="36" spans="1:12" s="60" customFormat="1" x14ac:dyDescent="0.25">
      <c r="A36" s="51">
        <v>43126</v>
      </c>
      <c r="B36" s="50"/>
      <c r="C36" s="49" t="s">
        <v>1346</v>
      </c>
      <c r="D36" s="49" t="s">
        <v>1347</v>
      </c>
      <c r="E36" s="49"/>
      <c r="F36" s="49" t="str">
        <f>IFERROR(IF(Tabla1[[#This Row],[CONCEPTO mx]]="","",VLOOKUP(Tabla1[[#This Row],[CONCEPTO mx]],Tabla2[#All],2,0)),"")</f>
        <v/>
      </c>
      <c r="G36" s="49" t="str">
        <f>IFERROR(IF(Tabla1[[#This Row],[CONCEPTO mx]]="","",VLOOKUP(Tabla1[[#This Row],[CONCEPTO mx]],Tabla2[#All],3,0)),"")</f>
        <v/>
      </c>
      <c r="H36" s="49" t="s">
        <v>387</v>
      </c>
      <c r="I36" s="49" t="s">
        <v>2298</v>
      </c>
      <c r="J36" s="53" t="s">
        <v>2696</v>
      </c>
      <c r="K36" s="49"/>
      <c r="L36" s="49"/>
    </row>
    <row r="37" spans="1:12" x14ac:dyDescent="0.25">
      <c r="A37" s="51">
        <v>43126</v>
      </c>
      <c r="C37" s="49" t="s">
        <v>1328</v>
      </c>
      <c r="D37" s="49" t="s">
        <v>2273</v>
      </c>
      <c r="F37" s="49" t="str">
        <f>IFERROR(IF(Tabla1[[#This Row],[CONCEPTO mx]]="","",VLOOKUP(Tabla1[[#This Row],[CONCEPTO mx]],Tabla2[#All],2,0)),"")</f>
        <v/>
      </c>
      <c r="G37" s="49" t="str">
        <f>IFERROR(IF(Tabla1[[#This Row],[CONCEPTO mx]]="","",VLOOKUP(Tabla1[[#This Row],[CONCEPTO mx]],Tabla2[#All],3,0)),"")</f>
        <v/>
      </c>
      <c r="H37" s="49" t="s">
        <v>352</v>
      </c>
      <c r="I37" s="49" t="s">
        <v>2298</v>
      </c>
      <c r="J37" s="53" t="s">
        <v>2688</v>
      </c>
    </row>
    <row r="38" spans="1:12" x14ac:dyDescent="0.25">
      <c r="A38" s="61">
        <v>43126</v>
      </c>
      <c r="B38" s="62"/>
      <c r="C38" s="60" t="s">
        <v>1037</v>
      </c>
      <c r="D38" s="60" t="s">
        <v>6</v>
      </c>
      <c r="E38" s="60"/>
      <c r="F38" s="60" t="str">
        <f>IFERROR(IF(Tabla1[[#This Row],[CONCEPTO mx]]="","",VLOOKUP(Tabla1[[#This Row],[CONCEPTO mx]],Tabla2[#All],2,0)),"")</f>
        <v/>
      </c>
      <c r="G38" s="60" t="str">
        <f>IFERROR(IF(Tabla1[[#This Row],[CONCEPTO mx]]="","",VLOOKUP(Tabla1[[#This Row],[CONCEPTO mx]],Tabla2[#All],3,0)),"")</f>
        <v/>
      </c>
      <c r="H38" s="60" t="s">
        <v>352</v>
      </c>
      <c r="I38" s="49" t="s">
        <v>2298</v>
      </c>
      <c r="J38" s="63" t="s">
        <v>2689</v>
      </c>
      <c r="K38" s="60"/>
      <c r="L38" s="60"/>
    </row>
    <row r="39" spans="1:12" x14ac:dyDescent="0.25">
      <c r="A39" s="51">
        <v>43126</v>
      </c>
      <c r="C39" s="49" t="s">
        <v>1353</v>
      </c>
      <c r="D39" s="49" t="s">
        <v>23</v>
      </c>
      <c r="F39" s="49" t="str">
        <f>IFERROR(IF(Tabla1[[#This Row],[CONCEPTO mx]]="","",VLOOKUP(Tabla1[[#This Row],[CONCEPTO mx]],Tabla2[#All],2,0)),"")</f>
        <v/>
      </c>
      <c r="G39" s="49" t="str">
        <f>IFERROR(IF(Tabla1[[#This Row],[CONCEPTO mx]]="","",VLOOKUP(Tabla1[[#This Row],[CONCEPTO mx]],Tabla2[#All],3,0)),"")</f>
        <v/>
      </c>
      <c r="H39" s="49" t="s">
        <v>2394</v>
      </c>
      <c r="I39" s="49" t="s">
        <v>2298</v>
      </c>
      <c r="J39" s="53" t="s">
        <v>2671</v>
      </c>
    </row>
    <row r="40" spans="1:12" x14ac:dyDescent="0.25">
      <c r="A40" s="51">
        <v>43126</v>
      </c>
      <c r="C40" s="49" t="s">
        <v>1329</v>
      </c>
      <c r="E40" s="49" t="s">
        <v>2355</v>
      </c>
      <c r="F40" s="49" t="str">
        <f>IFERROR(IF(Tabla1[[#This Row],[CONCEPTO mx]]="","",VLOOKUP(Tabla1[[#This Row],[CONCEPTO mx]],Tabla2[#All],2,0)),"")</f>
        <v>CM13</v>
      </c>
      <c r="G40" s="49" t="str">
        <f>IFERROR(IF(Tabla1[[#This Row],[CONCEPTO mx]]="","",VLOOKUP(Tabla1[[#This Row],[CONCEPTO mx]],Tabla2[#All],3,0)),"")</f>
        <v>Gestión Humana</v>
      </c>
      <c r="H40" s="49" t="s">
        <v>486</v>
      </c>
      <c r="I40" s="49" t="s">
        <v>2298</v>
      </c>
      <c r="J40" s="53" t="s">
        <v>2687</v>
      </c>
    </row>
    <row r="41" spans="1:12" x14ac:dyDescent="0.25">
      <c r="A41" s="51">
        <v>43126</v>
      </c>
      <c r="C41" s="49" t="s">
        <v>1349</v>
      </c>
      <c r="D41" s="49" t="s">
        <v>6</v>
      </c>
      <c r="F41" s="49" t="str">
        <f>IFERROR(IF(Tabla1[[#This Row],[CONCEPTO mx]]="","",VLOOKUP(Tabla1[[#This Row],[CONCEPTO mx]],Tabla2[#All],2,0)),"")</f>
        <v/>
      </c>
      <c r="G41" s="49" t="str">
        <f>IFERROR(IF(Tabla1[[#This Row],[CONCEPTO mx]]="","",VLOOKUP(Tabla1[[#This Row],[CONCEPTO mx]],Tabla2[#All],3,0)),"")</f>
        <v/>
      </c>
      <c r="H41" s="49" t="s">
        <v>387</v>
      </c>
      <c r="I41" s="49" t="s">
        <v>2298</v>
      </c>
      <c r="J41" s="53" t="s">
        <v>2697</v>
      </c>
    </row>
    <row r="42" spans="1:12" x14ac:dyDescent="0.25">
      <c r="A42" s="51">
        <v>43126</v>
      </c>
      <c r="C42" s="49" t="s">
        <v>1337</v>
      </c>
      <c r="D42" s="49" t="s">
        <v>1340</v>
      </c>
      <c r="F42" s="49" t="str">
        <f>IFERROR(IF(Tabla1[[#This Row],[CONCEPTO mx]]="","",VLOOKUP(Tabla1[[#This Row],[CONCEPTO mx]],Tabla2[#All],2,0)),"")</f>
        <v/>
      </c>
      <c r="G42" s="49" t="str">
        <f>IFERROR(IF(Tabla1[[#This Row],[CONCEPTO mx]]="","",VLOOKUP(Tabla1[[#This Row],[CONCEPTO mx]],Tabla2[#All],3,0)),"")</f>
        <v/>
      </c>
      <c r="H42" s="49" t="s">
        <v>484</v>
      </c>
      <c r="I42" s="49" t="s">
        <v>2320</v>
      </c>
      <c r="J42" s="53" t="s">
        <v>2692</v>
      </c>
    </row>
    <row r="43" spans="1:12" x14ac:dyDescent="0.25">
      <c r="A43" s="51">
        <v>43126</v>
      </c>
      <c r="C43" s="49" t="s">
        <v>1358</v>
      </c>
      <c r="D43" s="49" t="s">
        <v>6</v>
      </c>
      <c r="F43" s="49" t="str">
        <f>IFERROR(IF(Tabla1[[#This Row],[CONCEPTO mx]]="","",VLOOKUP(Tabla1[[#This Row],[CONCEPTO mx]],Tabla2[#All],2,0)),"")</f>
        <v/>
      </c>
      <c r="G43" s="49" t="str">
        <f>IFERROR(IF(Tabla1[[#This Row],[CONCEPTO mx]]="","",VLOOKUP(Tabla1[[#This Row],[CONCEPTO mx]],Tabla2[#All],3,0)),"")</f>
        <v/>
      </c>
      <c r="H43" s="49" t="s">
        <v>2393</v>
      </c>
      <c r="I43" s="49" t="s">
        <v>2298</v>
      </c>
      <c r="J43" s="53" t="s">
        <v>2314</v>
      </c>
    </row>
    <row r="44" spans="1:12" x14ac:dyDescent="0.25">
      <c r="A44" s="51">
        <v>43126</v>
      </c>
      <c r="C44" s="49" t="s">
        <v>1339</v>
      </c>
      <c r="D44" s="49" t="s">
        <v>6</v>
      </c>
      <c r="F44" s="49" t="str">
        <f>IFERROR(IF(Tabla1[[#This Row],[CONCEPTO mx]]="","",VLOOKUP(Tabla1[[#This Row],[CONCEPTO mx]],Tabla2[#All],2,0)),"")</f>
        <v/>
      </c>
      <c r="G44" s="49" t="str">
        <f>IFERROR(IF(Tabla1[[#This Row],[CONCEPTO mx]]="","",VLOOKUP(Tabla1[[#This Row],[CONCEPTO mx]],Tabla2[#All],3,0)),"")</f>
        <v/>
      </c>
      <c r="H44" s="49" t="s">
        <v>413</v>
      </c>
      <c r="I44" s="49" t="s">
        <v>2298</v>
      </c>
      <c r="J44" s="53" t="s">
        <v>2693</v>
      </c>
    </row>
    <row r="45" spans="1:12" x14ac:dyDescent="0.25">
      <c r="A45" s="51">
        <v>43126</v>
      </c>
      <c r="C45" s="49" t="s">
        <v>1344</v>
      </c>
      <c r="D45" s="49" t="s">
        <v>6</v>
      </c>
      <c r="F45" s="49" t="str">
        <f>IFERROR(IF(Tabla1[[#This Row],[CONCEPTO mx]]="","",VLOOKUP(Tabla1[[#This Row],[CONCEPTO mx]],Tabla2[#All],2,0)),"")</f>
        <v/>
      </c>
      <c r="G45" s="49" t="str">
        <f>IFERROR(IF(Tabla1[[#This Row],[CONCEPTO mx]]="","",VLOOKUP(Tabla1[[#This Row],[CONCEPTO mx]],Tabla2[#All],3,0)),"")</f>
        <v/>
      </c>
      <c r="H45" s="49" t="s">
        <v>413</v>
      </c>
      <c r="I45" s="49" t="s">
        <v>2298</v>
      </c>
      <c r="J45" s="53" t="s">
        <v>2695</v>
      </c>
    </row>
    <row r="46" spans="1:12" x14ac:dyDescent="0.25">
      <c r="A46" s="51">
        <v>43126</v>
      </c>
      <c r="C46" s="49" t="s">
        <v>1351</v>
      </c>
      <c r="E46" s="49" t="s">
        <v>2355</v>
      </c>
      <c r="F46" s="49" t="str">
        <f>IFERROR(IF(Tabla1[[#This Row],[CONCEPTO mx]]="","",VLOOKUP(Tabla1[[#This Row],[CONCEPTO mx]],Tabla2[#All],2,0)),"")</f>
        <v>CM13</v>
      </c>
      <c r="G46" s="49" t="str">
        <f>IFERROR(IF(Tabla1[[#This Row],[CONCEPTO mx]]="","",VLOOKUP(Tabla1[[#This Row],[CONCEPTO mx]],Tabla2[#All],3,0)),"")</f>
        <v>Gestión Humana</v>
      </c>
      <c r="H46" s="49" t="s">
        <v>439</v>
      </c>
      <c r="I46" s="49" t="s">
        <v>2298</v>
      </c>
      <c r="J46" s="53" t="s">
        <v>2698</v>
      </c>
    </row>
    <row r="47" spans="1:12" x14ac:dyDescent="0.25">
      <c r="A47" s="51">
        <v>43126</v>
      </c>
      <c r="C47" s="49" t="s">
        <v>1327</v>
      </c>
      <c r="D47" s="49" t="s">
        <v>6</v>
      </c>
      <c r="F47" s="49" t="str">
        <f>IFERROR(IF(Tabla1[[#This Row],[CONCEPTO mx]]="","",VLOOKUP(Tabla1[[#This Row],[CONCEPTO mx]],Tabla2[#All],2,0)),"")</f>
        <v/>
      </c>
      <c r="G47" s="49" t="str">
        <f>IFERROR(IF(Tabla1[[#This Row],[CONCEPTO mx]]="","",VLOOKUP(Tabla1[[#This Row],[CONCEPTO mx]],Tabla2[#All],3,0)),"")</f>
        <v/>
      </c>
      <c r="H47" s="49" t="s">
        <v>550</v>
      </c>
      <c r="I47" s="49" t="s">
        <v>2298</v>
      </c>
      <c r="J47" s="53" t="s">
        <v>2302</v>
      </c>
    </row>
    <row r="48" spans="1:12" x14ac:dyDescent="0.25">
      <c r="A48" s="51">
        <v>43126</v>
      </c>
      <c r="C48" s="49" t="s">
        <v>1356</v>
      </c>
      <c r="D48" s="49" t="s">
        <v>6</v>
      </c>
      <c r="F48" s="49" t="str">
        <f>IFERROR(IF(Tabla1[[#This Row],[CONCEPTO mx]]="","",VLOOKUP(Tabla1[[#This Row],[CONCEPTO mx]],Tabla2[#All],2,0)),"")</f>
        <v/>
      </c>
      <c r="G48" s="49" t="str">
        <f>IFERROR(IF(Tabla1[[#This Row],[CONCEPTO mx]]="","",VLOOKUP(Tabla1[[#This Row],[CONCEPTO mx]],Tabla2[#All],3,0)),"")</f>
        <v/>
      </c>
      <c r="H48" s="49" t="s">
        <v>2393</v>
      </c>
      <c r="I48" s="49" t="s">
        <v>2298</v>
      </c>
      <c r="J48" s="53" t="s">
        <v>2700</v>
      </c>
    </row>
    <row r="49" spans="1:10" x14ac:dyDescent="0.25">
      <c r="A49" s="51">
        <v>43126</v>
      </c>
      <c r="C49" s="49" t="s">
        <v>1342</v>
      </c>
      <c r="D49" s="49" t="s">
        <v>6</v>
      </c>
      <c r="F49" s="49" t="str">
        <f>IFERROR(IF(Tabla1[[#This Row],[CONCEPTO mx]]="","",VLOOKUP(Tabla1[[#This Row],[CONCEPTO mx]],Tabla2[#All],2,0)),"")</f>
        <v/>
      </c>
      <c r="G49" s="49" t="str">
        <f>IFERROR(IF(Tabla1[[#This Row],[CONCEPTO mx]]="","",VLOOKUP(Tabla1[[#This Row],[CONCEPTO mx]],Tabla2[#All],3,0)),"")</f>
        <v/>
      </c>
      <c r="H49" s="49" t="s">
        <v>516</v>
      </c>
      <c r="I49" s="49" t="s">
        <v>2298</v>
      </c>
      <c r="J49" s="53" t="s">
        <v>2694</v>
      </c>
    </row>
    <row r="50" spans="1:10" x14ac:dyDescent="0.25">
      <c r="A50" s="51">
        <v>43126</v>
      </c>
      <c r="C50" s="49" t="s">
        <v>1336</v>
      </c>
      <c r="D50" s="49" t="s">
        <v>2273</v>
      </c>
      <c r="F50" s="49" t="str">
        <f>IFERROR(IF(Tabla1[[#This Row],[CONCEPTO mx]]="","",VLOOKUP(Tabla1[[#This Row],[CONCEPTO mx]],Tabla2[#All],2,0)),"")</f>
        <v/>
      </c>
      <c r="G50" s="49" t="str">
        <f>IFERROR(IF(Tabla1[[#This Row],[CONCEPTO mx]]="","",VLOOKUP(Tabla1[[#This Row],[CONCEPTO mx]],Tabla2[#All],3,0)),"")</f>
        <v/>
      </c>
      <c r="H50" s="49" t="s">
        <v>352</v>
      </c>
      <c r="I50" s="49" t="s">
        <v>2298</v>
      </c>
      <c r="J50" s="53" t="s">
        <v>2673</v>
      </c>
    </row>
    <row r="51" spans="1:10" x14ac:dyDescent="0.25">
      <c r="A51" s="51">
        <v>43126</v>
      </c>
      <c r="C51" s="49" t="s">
        <v>1341</v>
      </c>
      <c r="D51" s="49" t="s">
        <v>6</v>
      </c>
      <c r="F51" s="49" t="str">
        <f>IFERROR(IF(Tabla1[[#This Row],[CONCEPTO mx]]="","",VLOOKUP(Tabla1[[#This Row],[CONCEPTO mx]],Tabla2[#All],2,0)),"")</f>
        <v/>
      </c>
      <c r="G51" s="49" t="str">
        <f>IFERROR(IF(Tabla1[[#This Row],[CONCEPTO mx]]="","",VLOOKUP(Tabla1[[#This Row],[CONCEPTO mx]],Tabla2[#All],3,0)),"")</f>
        <v/>
      </c>
      <c r="H51" s="49" t="s">
        <v>413</v>
      </c>
      <c r="I51" s="49" t="s">
        <v>2298</v>
      </c>
      <c r="J51" s="53" t="s">
        <v>2693</v>
      </c>
    </row>
    <row r="52" spans="1:10" x14ac:dyDescent="0.25">
      <c r="A52" s="51">
        <v>43126</v>
      </c>
      <c r="C52" s="49" t="s">
        <v>1354</v>
      </c>
      <c r="D52" s="49" t="s">
        <v>19</v>
      </c>
      <c r="F52" s="49" t="str">
        <f>IFERROR(IF(Tabla1[[#This Row],[CONCEPTO mx]]="","",VLOOKUP(Tabla1[[#This Row],[CONCEPTO mx]],Tabla2[#All],2,0)),"")</f>
        <v/>
      </c>
      <c r="G52" s="49" t="str">
        <f>IFERROR(IF(Tabla1[[#This Row],[CONCEPTO mx]]="","",VLOOKUP(Tabla1[[#This Row],[CONCEPTO mx]],Tabla2[#All],3,0)),"")</f>
        <v/>
      </c>
      <c r="H52" s="49" t="s">
        <v>352</v>
      </c>
      <c r="I52" s="49" t="s">
        <v>2298</v>
      </c>
      <c r="J52" s="53" t="s">
        <v>2699</v>
      </c>
    </row>
    <row r="53" spans="1:10" x14ac:dyDescent="0.25">
      <c r="A53" s="51">
        <v>43126</v>
      </c>
      <c r="C53" s="49" t="s">
        <v>1332</v>
      </c>
      <c r="D53" s="49" t="s">
        <v>2273</v>
      </c>
      <c r="F53" s="49" t="str">
        <f>IFERROR(IF(Tabla1[[#This Row],[CONCEPTO mx]]="","",VLOOKUP(Tabla1[[#This Row],[CONCEPTO mx]],Tabla2[#All],2,0)),"")</f>
        <v/>
      </c>
      <c r="G53" s="49" t="str">
        <f>IFERROR(IF(Tabla1[[#This Row],[CONCEPTO mx]]="","",VLOOKUP(Tabla1[[#This Row],[CONCEPTO mx]],Tabla2[#All],3,0)),"")</f>
        <v/>
      </c>
      <c r="H53" s="49" t="s">
        <v>486</v>
      </c>
      <c r="I53" s="49" t="s">
        <v>2298</v>
      </c>
      <c r="J53" s="53" t="s">
        <v>2690</v>
      </c>
    </row>
    <row r="54" spans="1:10" x14ac:dyDescent="0.25">
      <c r="A54" s="51">
        <v>43126</v>
      </c>
      <c r="C54" s="49" t="s">
        <v>1333</v>
      </c>
      <c r="F54" s="49" t="str">
        <f>IFERROR(IF(Tabla1[[#This Row],[CONCEPTO mx]]="","",VLOOKUP(Tabla1[[#This Row],[CONCEPTO mx]],Tabla2[#All],2,0)),"")</f>
        <v/>
      </c>
      <c r="G54" s="49" t="str">
        <f>IFERROR(IF(Tabla1[[#This Row],[CONCEPTO mx]]="","",VLOOKUP(Tabla1[[#This Row],[CONCEPTO mx]],Tabla2[#All],3,0)),"")</f>
        <v/>
      </c>
      <c r="H54" s="49" t="s">
        <v>352</v>
      </c>
      <c r="I54" s="49" t="s">
        <v>2298</v>
      </c>
      <c r="J54" s="53" t="s">
        <v>2673</v>
      </c>
    </row>
    <row r="55" spans="1:10" x14ac:dyDescent="0.25">
      <c r="A55" s="51">
        <v>43126</v>
      </c>
      <c r="C55" s="49" t="s">
        <v>1334</v>
      </c>
      <c r="D55" s="49" t="s">
        <v>17</v>
      </c>
      <c r="F55" s="49" t="str">
        <f>IFERROR(IF(Tabla1[[#This Row],[CONCEPTO mx]]="","",VLOOKUP(Tabla1[[#This Row],[CONCEPTO mx]],Tabla2[#All],2,0)),"")</f>
        <v/>
      </c>
      <c r="G55" s="49" t="str">
        <f>IFERROR(IF(Tabla1[[#This Row],[CONCEPTO mx]]="","",VLOOKUP(Tabla1[[#This Row],[CONCEPTO mx]],Tabla2[#All],3,0)),"")</f>
        <v/>
      </c>
      <c r="H55" s="49" t="s">
        <v>486</v>
      </c>
      <c r="I55" s="49" t="s">
        <v>2298</v>
      </c>
      <c r="J55" s="53" t="s">
        <v>2691</v>
      </c>
    </row>
    <row r="56" spans="1:10" x14ac:dyDescent="0.25">
      <c r="A56" s="51">
        <v>43129</v>
      </c>
      <c r="C56" s="49" t="s">
        <v>1361</v>
      </c>
      <c r="D56" s="49" t="s">
        <v>409</v>
      </c>
      <c r="F56" s="49" t="str">
        <f>IFERROR(IF(Tabla1[[#This Row],[CONCEPTO mx]]="","",VLOOKUP(Tabla1[[#This Row],[CONCEPTO mx]],Tabla2[#All],2,0)),"")</f>
        <v/>
      </c>
      <c r="G56" s="49" t="str">
        <f>IFERROR(IF(Tabla1[[#This Row],[CONCEPTO mx]]="","",VLOOKUP(Tabla1[[#This Row],[CONCEPTO mx]],Tabla2[#All],3,0)),"")</f>
        <v/>
      </c>
      <c r="H56" s="49" t="s">
        <v>484</v>
      </c>
      <c r="I56" s="49" t="s">
        <v>2298</v>
      </c>
      <c r="J56" s="53" t="s">
        <v>2701</v>
      </c>
    </row>
    <row r="57" spans="1:10" x14ac:dyDescent="0.25">
      <c r="A57" s="51">
        <v>43129</v>
      </c>
      <c r="C57" s="49" t="s">
        <v>1360</v>
      </c>
      <c r="D57" s="49" t="s">
        <v>6</v>
      </c>
      <c r="F57" s="49" t="str">
        <f>IFERROR(IF(Tabla1[[#This Row],[CONCEPTO mx]]="","",VLOOKUP(Tabla1[[#This Row],[CONCEPTO mx]],Tabla2[#All],2,0)),"")</f>
        <v/>
      </c>
      <c r="G57" s="49" t="str">
        <f>IFERROR(IF(Tabla1[[#This Row],[CONCEPTO mx]]="","",VLOOKUP(Tabla1[[#This Row],[CONCEPTO mx]],Tabla2[#All],3,0)),"")</f>
        <v/>
      </c>
      <c r="H57" s="49" t="s">
        <v>439</v>
      </c>
      <c r="I57" s="49" t="s">
        <v>2298</v>
      </c>
      <c r="J57" s="53" t="s">
        <v>2302</v>
      </c>
    </row>
    <row r="58" spans="1:10" x14ac:dyDescent="0.25">
      <c r="A58" s="51">
        <v>43129</v>
      </c>
      <c r="C58" s="49" t="s">
        <v>1359</v>
      </c>
      <c r="E58" s="49" t="s">
        <v>2355</v>
      </c>
      <c r="F58" s="49" t="str">
        <f>IFERROR(IF(Tabla1[[#This Row],[CONCEPTO mx]]="","",VLOOKUP(Tabla1[[#This Row],[CONCEPTO mx]],Tabla2[#All],2,0)),"")</f>
        <v>CM13</v>
      </c>
      <c r="G58" s="49" t="str">
        <f>IFERROR(IF(Tabla1[[#This Row],[CONCEPTO mx]]="","",VLOOKUP(Tabla1[[#This Row],[CONCEPTO mx]],Tabla2[#All],3,0)),"")</f>
        <v>Gestión Humana</v>
      </c>
      <c r="H58" s="49" t="s">
        <v>343</v>
      </c>
      <c r="I58" s="49" t="s">
        <v>2339</v>
      </c>
      <c r="J58" s="53"/>
    </row>
    <row r="59" spans="1:10" x14ac:dyDescent="0.25">
      <c r="A59" s="51">
        <v>43129</v>
      </c>
      <c r="C59" s="49" t="s">
        <v>1363</v>
      </c>
      <c r="D59" s="49" t="s">
        <v>6</v>
      </c>
      <c r="F59" s="49" t="str">
        <f>IFERROR(IF(Tabla1[[#This Row],[CONCEPTO mx]]="","",VLOOKUP(Tabla1[[#This Row],[CONCEPTO mx]],Tabla2[#All],2,0)),"")</f>
        <v/>
      </c>
      <c r="G59" s="49" t="str">
        <f>IFERROR(IF(Tabla1[[#This Row],[CONCEPTO mx]]="","",VLOOKUP(Tabla1[[#This Row],[CONCEPTO mx]],Tabla2[#All],3,0)),"")</f>
        <v/>
      </c>
      <c r="H59" s="49" t="s">
        <v>2393</v>
      </c>
      <c r="I59" s="49" t="s">
        <v>2298</v>
      </c>
      <c r="J59" s="53" t="s">
        <v>2702</v>
      </c>
    </row>
    <row r="60" spans="1:10" x14ac:dyDescent="0.25">
      <c r="A60" s="51">
        <v>43129</v>
      </c>
      <c r="C60" s="49" t="s">
        <v>1364</v>
      </c>
      <c r="D60" s="49" t="s">
        <v>6</v>
      </c>
      <c r="F60" s="49" t="str">
        <f>IFERROR(IF(Tabla1[[#This Row],[CONCEPTO mx]]="","",VLOOKUP(Tabla1[[#This Row],[CONCEPTO mx]],Tabla2[#All],2,0)),"")</f>
        <v/>
      </c>
      <c r="G60" s="49" t="str">
        <f>IFERROR(IF(Tabla1[[#This Row],[CONCEPTO mx]]="","",VLOOKUP(Tabla1[[#This Row],[CONCEPTO mx]],Tabla2[#All],3,0)),"")</f>
        <v/>
      </c>
      <c r="I60" s="49" t="s">
        <v>2419</v>
      </c>
      <c r="J60" s="53"/>
    </row>
    <row r="61" spans="1:10" x14ac:dyDescent="0.25">
      <c r="A61" s="51">
        <v>43129</v>
      </c>
      <c r="C61" s="49" t="s">
        <v>1333</v>
      </c>
      <c r="D61" s="49" t="s">
        <v>6</v>
      </c>
      <c r="F61" s="49" t="str">
        <f>IFERROR(IF(Tabla1[[#This Row],[CONCEPTO mx]]="","",VLOOKUP(Tabla1[[#This Row],[CONCEPTO mx]],Tabla2[#All],2,0)),"")</f>
        <v/>
      </c>
      <c r="G61" s="49" t="str">
        <f>IFERROR(IF(Tabla1[[#This Row],[CONCEPTO mx]]="","",VLOOKUP(Tabla1[[#This Row],[CONCEPTO mx]],Tabla2[#All],3,0)),"")</f>
        <v/>
      </c>
      <c r="H61" s="49" t="s">
        <v>352</v>
      </c>
      <c r="I61" s="49" t="s">
        <v>2298</v>
      </c>
      <c r="J61" s="53" t="s">
        <v>2673</v>
      </c>
    </row>
    <row r="62" spans="1:10" x14ac:dyDescent="0.25">
      <c r="A62" s="51">
        <v>43130</v>
      </c>
      <c r="C62" s="49" t="s">
        <v>1368</v>
      </c>
      <c r="D62" s="49" t="s">
        <v>1369</v>
      </c>
      <c r="F62" s="49" t="str">
        <f>IFERROR(IF(Tabla1[[#This Row],[CONCEPTO mx]]="","",VLOOKUP(Tabla1[[#This Row],[CONCEPTO mx]],Tabla2[#All],2,0)),"")</f>
        <v/>
      </c>
      <c r="G62" s="49" t="str">
        <f>IFERROR(IF(Tabla1[[#This Row],[CONCEPTO mx]]="","",VLOOKUP(Tabla1[[#This Row],[CONCEPTO mx]],Tabla2[#All],3,0)),"")</f>
        <v/>
      </c>
      <c r="J62" s="53"/>
    </row>
    <row r="63" spans="1:10" x14ac:dyDescent="0.25">
      <c r="A63" s="51">
        <v>43130</v>
      </c>
      <c r="C63" s="49" t="s">
        <v>1366</v>
      </c>
      <c r="D63" s="49" t="s">
        <v>6</v>
      </c>
      <c r="F63" s="49" t="str">
        <f>IFERROR(IF(Tabla1[[#This Row],[CONCEPTO mx]]="","",VLOOKUP(Tabla1[[#This Row],[CONCEPTO mx]],Tabla2[#All],2,0)),"")</f>
        <v/>
      </c>
      <c r="G63" s="49" t="str">
        <f>IFERROR(IF(Tabla1[[#This Row],[CONCEPTO mx]]="","",VLOOKUP(Tabla1[[#This Row],[CONCEPTO mx]],Tabla2[#All],3,0)),"")</f>
        <v/>
      </c>
      <c r="H63" s="49" t="s">
        <v>542</v>
      </c>
      <c r="I63" s="49" t="s">
        <v>2323</v>
      </c>
      <c r="J63" s="53"/>
    </row>
    <row r="64" spans="1:10" x14ac:dyDescent="0.25">
      <c r="A64" s="51">
        <v>43130</v>
      </c>
      <c r="C64" s="49" t="s">
        <v>1370</v>
      </c>
      <c r="D64" s="49" t="s">
        <v>19</v>
      </c>
      <c r="F64" s="49" t="str">
        <f>IFERROR(IF(Tabla1[[#This Row],[CONCEPTO mx]]="","",VLOOKUP(Tabla1[[#This Row],[CONCEPTO mx]],Tabla2[#All],2,0)),"")</f>
        <v/>
      </c>
      <c r="G64" s="49" t="str">
        <f>IFERROR(IF(Tabla1[[#This Row],[CONCEPTO mx]]="","",VLOOKUP(Tabla1[[#This Row],[CONCEPTO mx]],Tabla2[#All],3,0)),"")</f>
        <v/>
      </c>
      <c r="H64" s="49" t="s">
        <v>470</v>
      </c>
      <c r="I64" s="49" t="s">
        <v>2328</v>
      </c>
      <c r="J64" s="53"/>
    </row>
    <row r="65" spans="1:10" x14ac:dyDescent="0.25">
      <c r="A65" s="51">
        <v>43131</v>
      </c>
      <c r="C65" s="49" t="s">
        <v>1377</v>
      </c>
      <c r="D65" s="49" t="s">
        <v>51</v>
      </c>
      <c r="F65" s="49" t="str">
        <f>IFERROR(IF(Tabla1[[#This Row],[CONCEPTO mx]]="","",VLOOKUP(Tabla1[[#This Row],[CONCEPTO mx]],Tabla2[#All],2,0)),"")</f>
        <v/>
      </c>
      <c r="G65" s="49" t="str">
        <f>IFERROR(IF(Tabla1[[#This Row],[CONCEPTO mx]]="","",VLOOKUP(Tabla1[[#This Row],[CONCEPTO mx]],Tabla2[#All],3,0)),"")</f>
        <v/>
      </c>
      <c r="H65" s="49" t="s">
        <v>516</v>
      </c>
      <c r="I65" s="49" t="s">
        <v>2298</v>
      </c>
      <c r="J65" s="53" t="s">
        <v>2694</v>
      </c>
    </row>
    <row r="66" spans="1:10" x14ac:dyDescent="0.25">
      <c r="A66" s="51">
        <v>43131</v>
      </c>
      <c r="C66" s="49" t="s">
        <v>1375</v>
      </c>
      <c r="D66" s="49" t="s">
        <v>122</v>
      </c>
      <c r="F66" s="49" t="str">
        <f>IFERROR(IF(Tabla1[[#This Row],[CONCEPTO mx]]="","",VLOOKUP(Tabla1[[#This Row],[CONCEPTO mx]],Tabla2[#All],2,0)),"")</f>
        <v/>
      </c>
      <c r="G66" s="49" t="str">
        <f>IFERROR(IF(Tabla1[[#This Row],[CONCEPTO mx]]="","",VLOOKUP(Tabla1[[#This Row],[CONCEPTO mx]],Tabla2[#All],3,0)),"")</f>
        <v/>
      </c>
      <c r="H66" s="49" t="s">
        <v>438</v>
      </c>
      <c r="I66" s="49" t="s">
        <v>2298</v>
      </c>
      <c r="J66" s="53" t="s">
        <v>2704</v>
      </c>
    </row>
    <row r="67" spans="1:10" x14ac:dyDescent="0.25">
      <c r="A67" s="51">
        <v>43131</v>
      </c>
      <c r="C67" s="49" t="s">
        <v>1379</v>
      </c>
      <c r="D67" s="49" t="s">
        <v>19</v>
      </c>
      <c r="F67" s="49" t="str">
        <f>IFERROR(IF(Tabla1[[#This Row],[CONCEPTO mx]]="","",VLOOKUP(Tabla1[[#This Row],[CONCEPTO mx]],Tabla2[#All],2,0)),"")</f>
        <v/>
      </c>
      <c r="G67" s="49" t="str">
        <f>IFERROR(IF(Tabla1[[#This Row],[CONCEPTO mx]]="","",VLOOKUP(Tabla1[[#This Row],[CONCEPTO mx]],Tabla2[#All],3,0)),"")</f>
        <v/>
      </c>
      <c r="H67" s="49" t="s">
        <v>438</v>
      </c>
      <c r="I67" s="49" t="s">
        <v>2298</v>
      </c>
      <c r="J67" s="53" t="s">
        <v>2705</v>
      </c>
    </row>
    <row r="68" spans="1:10" x14ac:dyDescent="0.25">
      <c r="A68" s="51">
        <v>43131</v>
      </c>
      <c r="C68" s="49" t="s">
        <v>1371</v>
      </c>
      <c r="D68" s="49" t="s">
        <v>6</v>
      </c>
      <c r="F68" s="49" t="str">
        <f>IFERROR(IF(Tabla1[[#This Row],[CONCEPTO mx]]="","",VLOOKUP(Tabla1[[#This Row],[CONCEPTO mx]],Tabla2[#All],2,0)),"")</f>
        <v/>
      </c>
      <c r="G68" s="49" t="str">
        <f>IFERROR(IF(Tabla1[[#This Row],[CONCEPTO mx]]="","",VLOOKUP(Tabla1[[#This Row],[CONCEPTO mx]],Tabla2[#All],3,0)),"")</f>
        <v/>
      </c>
      <c r="H68" s="49" t="s">
        <v>343</v>
      </c>
      <c r="I68" s="49" t="s">
        <v>2339</v>
      </c>
      <c r="J68" s="53"/>
    </row>
    <row r="69" spans="1:10" x14ac:dyDescent="0.25">
      <c r="A69" s="51">
        <v>43131</v>
      </c>
      <c r="C69" s="49" t="s">
        <v>1378</v>
      </c>
      <c r="D69" s="49" t="s">
        <v>19</v>
      </c>
      <c r="F69" s="49" t="str">
        <f>IFERROR(IF(Tabla1[[#This Row],[CONCEPTO mx]]="","",VLOOKUP(Tabla1[[#This Row],[CONCEPTO mx]],Tabla2[#All],2,0)),"")</f>
        <v/>
      </c>
      <c r="G69" s="49" t="str">
        <f>IFERROR(IF(Tabla1[[#This Row],[CONCEPTO mx]]="","",VLOOKUP(Tabla1[[#This Row],[CONCEPTO mx]],Tabla2[#All],3,0)),"")</f>
        <v/>
      </c>
      <c r="H69" s="49" t="s">
        <v>2393</v>
      </c>
      <c r="I69" s="49" t="s">
        <v>2298</v>
      </c>
      <c r="J69" s="53" t="s">
        <v>2700</v>
      </c>
    </row>
    <row r="70" spans="1:10" x14ac:dyDescent="0.25">
      <c r="A70" s="51">
        <v>43131</v>
      </c>
      <c r="C70" s="49" t="s">
        <v>1372</v>
      </c>
      <c r="D70" s="49" t="s">
        <v>6</v>
      </c>
      <c r="F70" s="49" t="str">
        <f>IFERROR(IF(Tabla1[[#This Row],[CONCEPTO mx]]="","",VLOOKUP(Tabla1[[#This Row],[CONCEPTO mx]],Tabla2[#All],2,0)),"")</f>
        <v/>
      </c>
      <c r="G70" s="49" t="str">
        <f>IFERROR(IF(Tabla1[[#This Row],[CONCEPTO mx]]="","",VLOOKUP(Tabla1[[#This Row],[CONCEPTO mx]],Tabla2[#All],3,0)),"")</f>
        <v/>
      </c>
      <c r="H70" s="49" t="s">
        <v>438</v>
      </c>
      <c r="I70" s="49" t="s">
        <v>2298</v>
      </c>
      <c r="J70" s="53" t="s">
        <v>2703</v>
      </c>
    </row>
    <row r="71" spans="1:10" x14ac:dyDescent="0.25">
      <c r="A71" s="51">
        <v>43131</v>
      </c>
      <c r="C71" s="49" t="s">
        <v>1374</v>
      </c>
      <c r="D71" s="49" t="s">
        <v>51</v>
      </c>
      <c r="F71" s="49" t="str">
        <f>IFERROR(IF(Tabla1[[#This Row],[CONCEPTO mx]]="","",VLOOKUP(Tabla1[[#This Row],[CONCEPTO mx]],Tabla2[#All],2,0)),"")</f>
        <v/>
      </c>
      <c r="G71" s="49" t="str">
        <f>IFERROR(IF(Tabla1[[#This Row],[CONCEPTO mx]]="","",VLOOKUP(Tabla1[[#This Row],[CONCEPTO mx]],Tabla2[#All],3,0)),"")</f>
        <v/>
      </c>
      <c r="H71" s="49" t="s">
        <v>438</v>
      </c>
      <c r="I71" s="49" t="s">
        <v>2298</v>
      </c>
      <c r="J71" s="53" t="s">
        <v>2679</v>
      </c>
    </row>
    <row r="72" spans="1:10" x14ac:dyDescent="0.25">
      <c r="A72" s="51">
        <v>43132</v>
      </c>
      <c r="C72" s="49" t="s">
        <v>1310</v>
      </c>
      <c r="D72" s="49" t="s">
        <v>2273</v>
      </c>
      <c r="F72" s="49" t="str">
        <f>IFERROR(IF(Tabla1[[#This Row],[CONCEPTO mx]]="","",VLOOKUP(Tabla1[[#This Row],[CONCEPTO mx]],Tabla2[#All],2,0)),"")</f>
        <v/>
      </c>
      <c r="G72" s="49" t="str">
        <f>IFERROR(IF(Tabla1[[#This Row],[CONCEPTO mx]]="","",VLOOKUP(Tabla1[[#This Row],[CONCEPTO mx]],Tabla2[#All],3,0)),"")</f>
        <v/>
      </c>
      <c r="H72" s="49" t="s">
        <v>352</v>
      </c>
      <c r="I72" s="49" t="s">
        <v>2298</v>
      </c>
      <c r="J72" s="53" t="s">
        <v>2673</v>
      </c>
    </row>
    <row r="73" spans="1:10" x14ac:dyDescent="0.25">
      <c r="A73" s="51">
        <v>43132</v>
      </c>
      <c r="C73" s="49" t="s">
        <v>1381</v>
      </c>
      <c r="D73" s="49" t="s">
        <v>19</v>
      </c>
      <c r="F73" s="49" t="str">
        <f>IFERROR(IF(Tabla1[[#This Row],[CONCEPTO mx]]="","",VLOOKUP(Tabla1[[#This Row],[CONCEPTO mx]],Tabla2[#All],2,0)),"")</f>
        <v/>
      </c>
      <c r="G73" s="49" t="str">
        <f>IFERROR(IF(Tabla1[[#This Row],[CONCEPTO mx]]="","",VLOOKUP(Tabla1[[#This Row],[CONCEPTO mx]],Tabla2[#All],3,0)),"")</f>
        <v/>
      </c>
      <c r="H73" s="49" t="s">
        <v>343</v>
      </c>
      <c r="I73" s="49" t="s">
        <v>2339</v>
      </c>
      <c r="J73" s="53"/>
    </row>
    <row r="74" spans="1:10" x14ac:dyDescent="0.25">
      <c r="A74" s="51">
        <v>43132</v>
      </c>
      <c r="C74" s="49" t="s">
        <v>1382</v>
      </c>
      <c r="D74" s="49" t="s">
        <v>51</v>
      </c>
      <c r="F74" s="49" t="str">
        <f>IFERROR(IF(Tabla1[[#This Row],[CONCEPTO mx]]="","",VLOOKUP(Tabla1[[#This Row],[CONCEPTO mx]],Tabla2[#All],2,0)),"")</f>
        <v/>
      </c>
      <c r="G74" s="49" t="str">
        <f>IFERROR(IF(Tabla1[[#This Row],[CONCEPTO mx]]="","",VLOOKUP(Tabla1[[#This Row],[CONCEPTO mx]],Tabla2[#All],3,0)),"")</f>
        <v/>
      </c>
      <c r="H74" s="49" t="s">
        <v>413</v>
      </c>
      <c r="I74" s="49" t="s">
        <v>2298</v>
      </c>
      <c r="J74" s="53" t="s">
        <v>2693</v>
      </c>
    </row>
    <row r="75" spans="1:10" x14ac:dyDescent="0.25">
      <c r="A75" s="51">
        <v>43132</v>
      </c>
      <c r="C75" s="49" t="s">
        <v>1385</v>
      </c>
      <c r="D75" s="49" t="s">
        <v>51</v>
      </c>
      <c r="F75" s="49" t="str">
        <f>IFERROR(IF(Tabla1[[#This Row],[CONCEPTO mx]]="","",VLOOKUP(Tabla1[[#This Row],[CONCEPTO mx]],Tabla2[#All],2,0)),"")</f>
        <v/>
      </c>
      <c r="G75" s="49" t="str">
        <f>IFERROR(IF(Tabla1[[#This Row],[CONCEPTO mx]]="","",VLOOKUP(Tabla1[[#This Row],[CONCEPTO mx]],Tabla2[#All],3,0)),"")</f>
        <v/>
      </c>
      <c r="H75" s="49" t="s">
        <v>439</v>
      </c>
      <c r="I75" s="49" t="s">
        <v>2298</v>
      </c>
      <c r="J75" s="53" t="s">
        <v>2688</v>
      </c>
    </row>
    <row r="76" spans="1:10" x14ac:dyDescent="0.25">
      <c r="A76" s="51">
        <v>43132</v>
      </c>
      <c r="C76" s="49" t="s">
        <v>1383</v>
      </c>
      <c r="D76" s="49" t="s">
        <v>51</v>
      </c>
      <c r="F76" s="49" t="str">
        <f>IFERROR(IF(Tabla1[[#This Row],[CONCEPTO mx]]="","",VLOOKUP(Tabla1[[#This Row],[CONCEPTO mx]],Tabla2[#All],2,0)),"")</f>
        <v/>
      </c>
      <c r="G76" s="49" t="str">
        <f>IFERROR(IF(Tabla1[[#This Row],[CONCEPTO mx]]="","",VLOOKUP(Tabla1[[#This Row],[CONCEPTO mx]],Tabla2[#All],3,0)),"")</f>
        <v/>
      </c>
      <c r="H76" s="49" t="s">
        <v>357</v>
      </c>
      <c r="I76" s="49" t="s">
        <v>2298</v>
      </c>
      <c r="J76" s="53" t="s">
        <v>2706</v>
      </c>
    </row>
    <row r="77" spans="1:10" x14ac:dyDescent="0.25">
      <c r="A77" s="51">
        <v>43133</v>
      </c>
      <c r="C77" s="49" t="s">
        <v>1397</v>
      </c>
      <c r="D77" s="49" t="s">
        <v>2273</v>
      </c>
      <c r="F77" s="49" t="str">
        <f>IFERROR(IF(Tabla1[[#This Row],[CONCEPTO mx]]="","",VLOOKUP(Tabla1[[#This Row],[CONCEPTO mx]],Tabla2[#All],2,0)),"")</f>
        <v/>
      </c>
      <c r="G77" s="49" t="str">
        <f>IFERROR(IF(Tabla1[[#This Row],[CONCEPTO mx]]="","",VLOOKUP(Tabla1[[#This Row],[CONCEPTO mx]],Tabla2[#All],3,0)),"")</f>
        <v/>
      </c>
      <c r="H77" s="49" t="s">
        <v>486</v>
      </c>
      <c r="I77" s="49" t="s">
        <v>2298</v>
      </c>
      <c r="J77" s="53" t="s">
        <v>2699</v>
      </c>
    </row>
    <row r="78" spans="1:10" x14ac:dyDescent="0.25">
      <c r="A78" s="51">
        <v>43133</v>
      </c>
      <c r="C78" s="49" t="s">
        <v>1393</v>
      </c>
      <c r="D78" s="49" t="s">
        <v>51</v>
      </c>
      <c r="F78" s="49" t="str">
        <f>IFERROR(IF(Tabla1[[#This Row],[CONCEPTO mx]]="","",VLOOKUP(Tabla1[[#This Row],[CONCEPTO mx]],Tabla2[#All],2,0)),"")</f>
        <v/>
      </c>
      <c r="G78" s="49" t="str">
        <f>IFERROR(IF(Tabla1[[#This Row],[CONCEPTO mx]]="","",VLOOKUP(Tabla1[[#This Row],[CONCEPTO mx]],Tabla2[#All],3,0)),"")</f>
        <v/>
      </c>
      <c r="H78" s="49" t="s">
        <v>2394</v>
      </c>
      <c r="I78" s="49" t="s">
        <v>2298</v>
      </c>
      <c r="J78" s="53" t="s">
        <v>2711</v>
      </c>
    </row>
    <row r="79" spans="1:10" x14ac:dyDescent="0.25">
      <c r="A79" s="51">
        <v>43133</v>
      </c>
      <c r="C79" s="49" t="s">
        <v>1392</v>
      </c>
      <c r="D79" s="49" t="s">
        <v>19</v>
      </c>
      <c r="F79" s="49" t="str">
        <f>IFERROR(IF(Tabla1[[#This Row],[CONCEPTO mx]]="","",VLOOKUP(Tabla1[[#This Row],[CONCEPTO mx]],Tabla2[#All],2,0)),"")</f>
        <v/>
      </c>
      <c r="G79" s="49" t="str">
        <f>IFERROR(IF(Tabla1[[#This Row],[CONCEPTO mx]]="","",VLOOKUP(Tabla1[[#This Row],[CONCEPTO mx]],Tabla2[#All],3,0)),"")</f>
        <v/>
      </c>
      <c r="H79" s="49" t="s">
        <v>486</v>
      </c>
      <c r="I79" s="49" t="s">
        <v>2298</v>
      </c>
      <c r="J79" s="53" t="s">
        <v>2710</v>
      </c>
    </row>
    <row r="80" spans="1:10" x14ac:dyDescent="0.25">
      <c r="A80" s="51">
        <v>43133</v>
      </c>
      <c r="C80" s="49" t="s">
        <v>1395</v>
      </c>
      <c r="D80" s="49" t="s">
        <v>51</v>
      </c>
      <c r="F80" s="49" t="str">
        <f>IFERROR(IF(Tabla1[[#This Row],[CONCEPTO mx]]="","",VLOOKUP(Tabla1[[#This Row],[CONCEPTO mx]],Tabla2[#All],2,0)),"")</f>
        <v/>
      </c>
      <c r="G80" s="49" t="str">
        <f>IFERROR(IF(Tabla1[[#This Row],[CONCEPTO mx]]="","",VLOOKUP(Tabla1[[#This Row],[CONCEPTO mx]],Tabla2[#All],3,0)),"")</f>
        <v/>
      </c>
      <c r="H80" s="49" t="s">
        <v>352</v>
      </c>
      <c r="I80" s="49" t="s">
        <v>2298</v>
      </c>
      <c r="J80" s="53" t="s">
        <v>2699</v>
      </c>
    </row>
    <row r="81" spans="1:12" x14ac:dyDescent="0.25">
      <c r="A81" s="51">
        <v>43133</v>
      </c>
      <c r="C81" s="49" t="s">
        <v>1399</v>
      </c>
      <c r="D81" s="49" t="s">
        <v>51</v>
      </c>
      <c r="F81" s="49" t="str">
        <f>IFERROR(IF(Tabla1[[#This Row],[CONCEPTO mx]]="","",VLOOKUP(Tabla1[[#This Row],[CONCEPTO mx]],Tabla2[#All],2,0)),"")</f>
        <v/>
      </c>
      <c r="G81" s="49" t="str">
        <f>IFERROR(IF(Tabla1[[#This Row],[CONCEPTO mx]]="","",VLOOKUP(Tabla1[[#This Row],[CONCEPTO mx]],Tabla2[#All],3,0)),"")</f>
        <v/>
      </c>
      <c r="H81" s="49" t="s">
        <v>352</v>
      </c>
      <c r="I81" s="49" t="s">
        <v>2298</v>
      </c>
      <c r="J81" s="53" t="s">
        <v>2302</v>
      </c>
    </row>
    <row r="82" spans="1:12" x14ac:dyDescent="0.25">
      <c r="A82" s="51">
        <v>43133</v>
      </c>
      <c r="C82" s="49" t="s">
        <v>1398</v>
      </c>
      <c r="D82" s="49" t="s">
        <v>409</v>
      </c>
      <c r="F82" s="49" t="str">
        <f>IFERROR(IF(Tabla1[[#This Row],[CONCEPTO mx]]="","",VLOOKUP(Tabla1[[#This Row],[CONCEPTO mx]],Tabla2[#All],2,0)),"")</f>
        <v/>
      </c>
      <c r="G82" s="49" t="str">
        <f>IFERROR(IF(Tabla1[[#This Row],[CONCEPTO mx]]="","",VLOOKUP(Tabla1[[#This Row],[CONCEPTO mx]],Tabla2[#All],3,0)),"")</f>
        <v/>
      </c>
      <c r="H82" s="49" t="s">
        <v>550</v>
      </c>
      <c r="I82" s="49" t="s">
        <v>2298</v>
      </c>
      <c r="J82" s="53" t="s">
        <v>2302</v>
      </c>
    </row>
    <row r="83" spans="1:12" x14ac:dyDescent="0.25">
      <c r="A83" s="51">
        <v>43133</v>
      </c>
      <c r="C83" s="49" t="s">
        <v>1390</v>
      </c>
      <c r="D83" s="49" t="s">
        <v>19</v>
      </c>
      <c r="F83" s="49" t="str">
        <f>IFERROR(IF(Tabla1[[#This Row],[CONCEPTO mx]]="","",VLOOKUP(Tabla1[[#This Row],[CONCEPTO mx]],Tabla2[#All],2,0)),"")</f>
        <v/>
      </c>
      <c r="G83" s="49" t="str">
        <f>IFERROR(IF(Tabla1[[#This Row],[CONCEPTO mx]]="","",VLOOKUP(Tabla1[[#This Row],[CONCEPTO mx]],Tabla2[#All],3,0)),"")</f>
        <v/>
      </c>
      <c r="H83" s="49" t="s">
        <v>628</v>
      </c>
      <c r="I83" s="49" t="s">
        <v>2323</v>
      </c>
      <c r="J83" s="53"/>
    </row>
    <row r="84" spans="1:12" x14ac:dyDescent="0.25">
      <c r="A84" s="51">
        <v>43133</v>
      </c>
      <c r="C84" s="49" t="s">
        <v>1391</v>
      </c>
      <c r="D84" s="49" t="s">
        <v>19</v>
      </c>
      <c r="F84" s="49" t="str">
        <f>IFERROR(IF(Tabla1[[#This Row],[CONCEPTO mx]]="","",VLOOKUP(Tabla1[[#This Row],[CONCEPTO mx]],Tabla2[#All],2,0)),"")</f>
        <v/>
      </c>
      <c r="G84" s="49" t="str">
        <f>IFERROR(IF(Tabla1[[#This Row],[CONCEPTO mx]]="","",VLOOKUP(Tabla1[[#This Row],[CONCEPTO mx]],Tabla2[#All],3,0)),"")</f>
        <v/>
      </c>
      <c r="H84" s="49" t="s">
        <v>441</v>
      </c>
      <c r="I84" s="49" t="s">
        <v>2298</v>
      </c>
      <c r="J84" s="53" t="s">
        <v>2679</v>
      </c>
    </row>
    <row r="85" spans="1:12" x14ac:dyDescent="0.25">
      <c r="A85" s="51">
        <v>43133</v>
      </c>
      <c r="C85" s="49" t="s">
        <v>1386</v>
      </c>
      <c r="E85" s="49" t="s">
        <v>2355</v>
      </c>
      <c r="F85" s="49" t="str">
        <f>IFERROR(IF(Tabla1[[#This Row],[CONCEPTO mx]]="","",VLOOKUP(Tabla1[[#This Row],[CONCEPTO mx]],Tabla2[#All],2,0)),"")</f>
        <v>CM13</v>
      </c>
      <c r="G85" s="49" t="str">
        <f>IFERROR(IF(Tabla1[[#This Row],[CONCEPTO mx]]="","",VLOOKUP(Tabla1[[#This Row],[CONCEPTO mx]],Tabla2[#All],3,0)),"")</f>
        <v>Gestión Humana</v>
      </c>
      <c r="H85" s="49" t="s">
        <v>388</v>
      </c>
      <c r="I85" s="49" t="s">
        <v>2298</v>
      </c>
      <c r="J85" s="53" t="s">
        <v>2707</v>
      </c>
    </row>
    <row r="86" spans="1:12" x14ac:dyDescent="0.25">
      <c r="A86" s="51">
        <v>43133</v>
      </c>
      <c r="C86" s="49" t="s">
        <v>1396</v>
      </c>
      <c r="D86" s="49" t="s">
        <v>51</v>
      </c>
      <c r="F86" s="49" t="str">
        <f>IFERROR(IF(Tabla1[[#This Row],[CONCEPTO mx]]="","",VLOOKUP(Tabla1[[#This Row],[CONCEPTO mx]],Tabla2[#All],2,0)),"")</f>
        <v/>
      </c>
      <c r="G86" s="49" t="str">
        <f>IFERROR(IF(Tabla1[[#This Row],[CONCEPTO mx]]="","",VLOOKUP(Tabla1[[#This Row],[CONCEPTO mx]],Tabla2[#All],3,0)),"")</f>
        <v/>
      </c>
      <c r="H86" s="49" t="s">
        <v>439</v>
      </c>
      <c r="I86" s="49" t="s">
        <v>2298</v>
      </c>
      <c r="J86" s="53" t="s">
        <v>2302</v>
      </c>
    </row>
    <row r="87" spans="1:12" x14ac:dyDescent="0.25">
      <c r="A87" s="51">
        <v>43133</v>
      </c>
      <c r="C87" s="49" t="s">
        <v>1387</v>
      </c>
      <c r="D87" s="49" t="s">
        <v>51</v>
      </c>
      <c r="F87" s="49" t="str">
        <f>IFERROR(IF(Tabla1[[#This Row],[CONCEPTO mx]]="","",VLOOKUP(Tabla1[[#This Row],[CONCEPTO mx]],Tabla2[#All],2,0)),"")</f>
        <v/>
      </c>
      <c r="G87" s="49" t="str">
        <f>IFERROR(IF(Tabla1[[#This Row],[CONCEPTO mx]]="","",VLOOKUP(Tabla1[[#This Row],[CONCEPTO mx]],Tabla2[#All],3,0)),"")</f>
        <v/>
      </c>
      <c r="H87" s="49" t="s">
        <v>441</v>
      </c>
      <c r="I87" s="49" t="s">
        <v>2298</v>
      </c>
      <c r="J87" s="53" t="s">
        <v>2708</v>
      </c>
    </row>
    <row r="88" spans="1:12" x14ac:dyDescent="0.25">
      <c r="A88" s="51">
        <v>43133</v>
      </c>
      <c r="C88" s="49" t="s">
        <v>1389</v>
      </c>
      <c r="D88" s="49" t="s">
        <v>51</v>
      </c>
      <c r="F88" s="49" t="str">
        <f>IFERROR(IF(Tabla1[[#This Row],[CONCEPTO mx]]="","",VLOOKUP(Tabla1[[#This Row],[CONCEPTO mx]],Tabla2[#All],2,0)),"")</f>
        <v/>
      </c>
      <c r="G88" s="49" t="str">
        <f>IFERROR(IF(Tabla1[[#This Row],[CONCEPTO mx]]="","",VLOOKUP(Tabla1[[#This Row],[CONCEPTO mx]],Tabla2[#All],3,0)),"")</f>
        <v/>
      </c>
      <c r="H88" s="49" t="s">
        <v>387</v>
      </c>
      <c r="I88" s="49" t="s">
        <v>2298</v>
      </c>
      <c r="J88" s="53" t="s">
        <v>2709</v>
      </c>
    </row>
    <row r="89" spans="1:12" x14ac:dyDescent="0.25">
      <c r="A89" s="51">
        <v>43136</v>
      </c>
      <c r="C89" s="49" t="s">
        <v>1406</v>
      </c>
      <c r="D89" s="49" t="s">
        <v>51</v>
      </c>
      <c r="F89" s="49" t="str">
        <f>IFERROR(IF(Tabla1[[#This Row],[CONCEPTO mx]]="","",VLOOKUP(Tabla1[[#This Row],[CONCEPTO mx]],Tabla2[#All],2,0)),"")</f>
        <v/>
      </c>
      <c r="G89" s="49" t="str">
        <f>IFERROR(IF(Tabla1[[#This Row],[CONCEPTO mx]]="","",VLOOKUP(Tabla1[[#This Row],[CONCEPTO mx]],Tabla2[#All],3,0)),"")</f>
        <v/>
      </c>
      <c r="H89" s="49" t="s">
        <v>439</v>
      </c>
      <c r="I89" s="49" t="s">
        <v>2298</v>
      </c>
      <c r="J89" s="53" t="s">
        <v>2673</v>
      </c>
    </row>
    <row r="90" spans="1:12" x14ac:dyDescent="0.25">
      <c r="A90" s="51">
        <v>43136</v>
      </c>
      <c r="C90" s="49" t="s">
        <v>1403</v>
      </c>
      <c r="D90" s="49" t="s">
        <v>51</v>
      </c>
      <c r="F90" s="49" t="str">
        <f>IFERROR(IF(Tabla1[[#This Row],[CONCEPTO mx]]="","",VLOOKUP(Tabla1[[#This Row],[CONCEPTO mx]],Tabla2[#All],2,0)),"")</f>
        <v/>
      </c>
      <c r="G90" s="49" t="str">
        <f>IFERROR(IF(Tabla1[[#This Row],[CONCEPTO mx]]="","",VLOOKUP(Tabla1[[#This Row],[CONCEPTO mx]],Tabla2[#All],3,0)),"")</f>
        <v/>
      </c>
      <c r="H90" s="49" t="s">
        <v>352</v>
      </c>
      <c r="I90" s="49" t="s">
        <v>2298</v>
      </c>
      <c r="J90" s="53" t="s">
        <v>2673</v>
      </c>
    </row>
    <row r="91" spans="1:12" x14ac:dyDescent="0.25">
      <c r="A91" s="51">
        <v>43136</v>
      </c>
      <c r="C91" s="49" t="s">
        <v>174</v>
      </c>
      <c r="D91" s="49" t="s">
        <v>51</v>
      </c>
      <c r="F91" s="49" t="str">
        <f>IFERROR(IF(Tabla1[[#This Row],[CONCEPTO mx]]="","",VLOOKUP(Tabla1[[#This Row],[CONCEPTO mx]],Tabla2[#All],2,0)),"")</f>
        <v/>
      </c>
      <c r="G91" s="49" t="str">
        <f>IFERROR(IF(Tabla1[[#This Row],[CONCEPTO mx]]="","",VLOOKUP(Tabla1[[#This Row],[CONCEPTO mx]],Tabla2[#All],3,0)),"")</f>
        <v/>
      </c>
      <c r="H91" s="49" t="s">
        <v>486</v>
      </c>
      <c r="I91" s="49" t="s">
        <v>2335</v>
      </c>
      <c r="J91" s="53"/>
    </row>
    <row r="92" spans="1:12" x14ac:dyDescent="0.25">
      <c r="A92" s="51">
        <v>43136</v>
      </c>
      <c r="C92" s="49" t="s">
        <v>1401</v>
      </c>
      <c r="D92" s="49" t="s">
        <v>51</v>
      </c>
      <c r="F92" s="49" t="str">
        <f>IFERROR(IF(Tabla1[[#This Row],[CONCEPTO mx]]="","",VLOOKUP(Tabla1[[#This Row],[CONCEPTO mx]],Tabla2[#All],2,0)),"")</f>
        <v/>
      </c>
      <c r="G92" s="49" t="str">
        <f>IFERROR(IF(Tabla1[[#This Row],[CONCEPTO mx]]="","",VLOOKUP(Tabla1[[#This Row],[CONCEPTO mx]],Tabla2[#All],3,0)),"")</f>
        <v/>
      </c>
      <c r="H92" s="49" t="s">
        <v>470</v>
      </c>
      <c r="I92" s="49" t="s">
        <v>2298</v>
      </c>
      <c r="J92" s="53" t="s">
        <v>2712</v>
      </c>
    </row>
    <row r="93" spans="1:12" s="57" customFormat="1" x14ac:dyDescent="0.25">
      <c r="A93" s="51">
        <v>43136</v>
      </c>
      <c r="B93" s="50"/>
      <c r="C93" s="49" t="s">
        <v>1404</v>
      </c>
      <c r="D93" s="49" t="s">
        <v>241</v>
      </c>
      <c r="E93" s="49"/>
      <c r="F93" s="49" t="str">
        <f>IFERROR(IF(Tabla1[[#This Row],[CONCEPTO mx]]="","",VLOOKUP(Tabla1[[#This Row],[CONCEPTO mx]],Tabla2[#All],2,0)),"")</f>
        <v/>
      </c>
      <c r="G93" s="49" t="str">
        <f>IFERROR(IF(Tabla1[[#This Row],[CONCEPTO mx]]="","",VLOOKUP(Tabla1[[#This Row],[CONCEPTO mx]],Tabla2[#All],3,0)),"")</f>
        <v/>
      </c>
      <c r="H93" s="49" t="s">
        <v>486</v>
      </c>
      <c r="I93" s="49" t="s">
        <v>2298</v>
      </c>
      <c r="J93" s="53" t="s">
        <v>2713</v>
      </c>
      <c r="K93" s="49"/>
      <c r="L93" s="49"/>
    </row>
    <row r="94" spans="1:12" s="57" customFormat="1" x14ac:dyDescent="0.25">
      <c r="A94" s="51">
        <v>43136</v>
      </c>
      <c r="B94" s="50"/>
      <c r="C94" s="49" t="s">
        <v>1400</v>
      </c>
      <c r="D94" s="49" t="s">
        <v>80</v>
      </c>
      <c r="E94" s="49"/>
      <c r="F94" s="49" t="str">
        <f>IFERROR(IF(Tabla1[[#This Row],[CONCEPTO mx]]="","",VLOOKUP(Tabla1[[#This Row],[CONCEPTO mx]],Tabla2[#All],2,0)),"")</f>
        <v/>
      </c>
      <c r="G94" s="49" t="str">
        <f>IFERROR(IF(Tabla1[[#This Row],[CONCEPTO mx]]="","",VLOOKUP(Tabla1[[#This Row],[CONCEPTO mx]],Tabla2[#All],3,0)),"")</f>
        <v/>
      </c>
      <c r="H94" s="49" t="s">
        <v>413</v>
      </c>
      <c r="I94" s="49" t="s">
        <v>2298</v>
      </c>
      <c r="J94" s="53" t="s">
        <v>2686</v>
      </c>
      <c r="K94" s="49"/>
      <c r="L94" s="49"/>
    </row>
    <row r="95" spans="1:12" x14ac:dyDescent="0.25">
      <c r="A95" s="51">
        <v>43136</v>
      </c>
      <c r="C95" s="49" t="s">
        <v>1407</v>
      </c>
      <c r="D95" s="49" t="s">
        <v>1408</v>
      </c>
      <c r="F95" s="49" t="str">
        <f>IFERROR(IF(Tabla1[[#This Row],[CONCEPTO mx]]="","",VLOOKUP(Tabla1[[#This Row],[CONCEPTO mx]],Tabla2[#All],2,0)),"")</f>
        <v/>
      </c>
      <c r="G95" s="49" t="str">
        <f>IFERROR(IF(Tabla1[[#This Row],[CONCEPTO mx]]="","",VLOOKUP(Tabla1[[#This Row],[CONCEPTO mx]],Tabla2[#All],3,0)),"")</f>
        <v/>
      </c>
      <c r="H95" s="49" t="s">
        <v>357</v>
      </c>
      <c r="I95" s="49" t="s">
        <v>2298</v>
      </c>
      <c r="J95" s="53" t="s">
        <v>2693</v>
      </c>
    </row>
    <row r="96" spans="1:12" x14ac:dyDescent="0.25">
      <c r="A96" s="51">
        <v>43137</v>
      </c>
      <c r="C96" s="49" t="s">
        <v>1410</v>
      </c>
      <c r="D96" s="49" t="s">
        <v>51</v>
      </c>
      <c r="F96" s="49" t="str">
        <f>IFERROR(IF(Tabla1[[#This Row],[CONCEPTO mx]]="","",VLOOKUP(Tabla1[[#This Row],[CONCEPTO mx]],Tabla2[#All],2,0)),"")</f>
        <v/>
      </c>
      <c r="G96" s="49" t="str">
        <f>IFERROR(IF(Tabla1[[#This Row],[CONCEPTO mx]]="","",VLOOKUP(Tabla1[[#This Row],[CONCEPTO mx]],Tabla2[#All],3,0)),"")</f>
        <v/>
      </c>
      <c r="H96" s="49" t="s">
        <v>486</v>
      </c>
      <c r="I96" s="49" t="s">
        <v>2298</v>
      </c>
      <c r="J96" s="53" t="s">
        <v>2714</v>
      </c>
    </row>
    <row r="97" spans="1:10" x14ac:dyDescent="0.25">
      <c r="A97" s="51">
        <v>43137</v>
      </c>
      <c r="C97" s="49" t="s">
        <v>1412</v>
      </c>
      <c r="D97" s="49" t="s">
        <v>17</v>
      </c>
      <c r="F97" s="49" t="str">
        <f>IFERROR(IF(Tabla1[[#This Row],[CONCEPTO mx]]="","",VLOOKUP(Tabla1[[#This Row],[CONCEPTO mx]],Tabla2[#All],2,0)),"")</f>
        <v/>
      </c>
      <c r="G97" s="49" t="str">
        <f>IFERROR(IF(Tabla1[[#This Row],[CONCEPTO mx]]="","",VLOOKUP(Tabla1[[#This Row],[CONCEPTO mx]],Tabla2[#All],3,0)),"")</f>
        <v/>
      </c>
      <c r="H97" s="49" t="s">
        <v>352</v>
      </c>
      <c r="I97" s="49" t="s">
        <v>2298</v>
      </c>
      <c r="J97" s="53" t="s">
        <v>2699</v>
      </c>
    </row>
    <row r="98" spans="1:10" x14ac:dyDescent="0.25">
      <c r="A98" s="51">
        <v>43138</v>
      </c>
      <c r="C98" s="49" t="s">
        <v>1435</v>
      </c>
      <c r="D98" s="49" t="s">
        <v>19</v>
      </c>
      <c r="F98" s="49" t="str">
        <f>IFERROR(IF(Tabla1[[#This Row],[CONCEPTO mx]]="","",VLOOKUP(Tabla1[[#This Row],[CONCEPTO mx]],Tabla2[#All],2,0)),"")</f>
        <v/>
      </c>
      <c r="G98" s="49" t="str">
        <f>IFERROR(IF(Tabla1[[#This Row],[CONCEPTO mx]]="","",VLOOKUP(Tabla1[[#This Row],[CONCEPTO mx]],Tabla2[#All],3,0)),"")</f>
        <v/>
      </c>
      <c r="H98" s="49" t="s">
        <v>352</v>
      </c>
      <c r="I98" s="49" t="s">
        <v>2298</v>
      </c>
      <c r="J98" s="53" t="s">
        <v>2722</v>
      </c>
    </row>
    <row r="99" spans="1:10" x14ac:dyDescent="0.25">
      <c r="A99" s="51">
        <v>43138</v>
      </c>
      <c r="C99" s="49" t="s">
        <v>1450</v>
      </c>
      <c r="E99" s="49" t="s">
        <v>2355</v>
      </c>
      <c r="F99" s="49" t="str">
        <f>IFERROR(IF(Tabla1[[#This Row],[CONCEPTO mx]]="","",VLOOKUP(Tabla1[[#This Row],[CONCEPTO mx]],Tabla2[#All],2,0)),"")</f>
        <v>CM13</v>
      </c>
      <c r="G99" s="49" t="str">
        <f>IFERROR(IF(Tabla1[[#This Row],[CONCEPTO mx]]="","",VLOOKUP(Tabla1[[#This Row],[CONCEPTO mx]],Tabla2[#All],3,0)),"")</f>
        <v>Gestión Humana</v>
      </c>
      <c r="H99" s="49" t="s">
        <v>441</v>
      </c>
      <c r="I99" s="49" t="s">
        <v>2298</v>
      </c>
      <c r="J99" s="53" t="s">
        <v>2688</v>
      </c>
    </row>
    <row r="100" spans="1:10" x14ac:dyDescent="0.25">
      <c r="A100" s="51">
        <v>43138</v>
      </c>
      <c r="C100" s="49" t="s">
        <v>1451</v>
      </c>
      <c r="D100" s="49" t="s">
        <v>51</v>
      </c>
      <c r="F100" s="49" t="str">
        <f>IFERROR(IF(Tabla1[[#This Row],[CONCEPTO mx]]="","",VLOOKUP(Tabla1[[#This Row],[CONCEPTO mx]],Tabla2[#All],2,0)),"")</f>
        <v/>
      </c>
      <c r="G100" s="49" t="str">
        <f>IFERROR(IF(Tabla1[[#This Row],[CONCEPTO mx]]="","",VLOOKUP(Tabla1[[#This Row],[CONCEPTO mx]],Tabla2[#All],3,0)),"")</f>
        <v/>
      </c>
      <c r="H100" s="49" t="s">
        <v>441</v>
      </c>
      <c r="I100" s="49" t="s">
        <v>2298</v>
      </c>
      <c r="J100" s="53" t="s">
        <v>2727</v>
      </c>
    </row>
    <row r="101" spans="1:10" x14ac:dyDescent="0.25">
      <c r="A101" s="51">
        <v>43138</v>
      </c>
      <c r="C101" s="49" t="s">
        <v>1437</v>
      </c>
      <c r="D101" s="49" t="s">
        <v>2273</v>
      </c>
      <c r="F101" s="49" t="str">
        <f>IFERROR(IF(Tabla1[[#This Row],[CONCEPTO mx]]="","",VLOOKUP(Tabla1[[#This Row],[CONCEPTO mx]],Tabla2[#All],2,0)),"")</f>
        <v/>
      </c>
      <c r="G101" s="49" t="str">
        <f>IFERROR(IF(Tabla1[[#This Row],[CONCEPTO mx]]="","",VLOOKUP(Tabla1[[#This Row],[CONCEPTO mx]],Tabla2[#All],3,0)),"")</f>
        <v/>
      </c>
      <c r="H101" s="49" t="s">
        <v>352</v>
      </c>
      <c r="I101" s="49" t="s">
        <v>2298</v>
      </c>
      <c r="J101" s="53" t="s">
        <v>2723</v>
      </c>
    </row>
    <row r="102" spans="1:10" x14ac:dyDescent="0.25">
      <c r="A102" s="51">
        <v>43138</v>
      </c>
      <c r="C102" s="49" t="s">
        <v>1447</v>
      </c>
      <c r="D102" s="49" t="s">
        <v>409</v>
      </c>
      <c r="F102" s="49" t="str">
        <f>IFERROR(IF(Tabla1[[#This Row],[CONCEPTO mx]]="","",VLOOKUP(Tabla1[[#This Row],[CONCEPTO mx]],Tabla2[#All],2,0)),"")</f>
        <v/>
      </c>
      <c r="G102" s="49" t="str">
        <f>IFERROR(IF(Tabla1[[#This Row],[CONCEPTO mx]]="","",VLOOKUP(Tabla1[[#This Row],[CONCEPTO mx]],Tabla2[#All],3,0)),"")</f>
        <v/>
      </c>
      <c r="H102" s="49" t="s">
        <v>628</v>
      </c>
      <c r="I102" s="49" t="s">
        <v>2298</v>
      </c>
      <c r="J102" s="53" t="s">
        <v>2726</v>
      </c>
    </row>
    <row r="103" spans="1:10" x14ac:dyDescent="0.25">
      <c r="A103" s="51">
        <v>43138</v>
      </c>
      <c r="C103" s="49" t="s">
        <v>1443</v>
      </c>
      <c r="D103" s="49" t="s">
        <v>1444</v>
      </c>
      <c r="F103" s="49" t="str">
        <f>IFERROR(IF(Tabla1[[#This Row],[CONCEPTO mx]]="","",VLOOKUP(Tabla1[[#This Row],[CONCEPTO mx]],Tabla2[#All],2,0)),"")</f>
        <v/>
      </c>
      <c r="G103" s="49" t="str">
        <f>IFERROR(IF(Tabla1[[#This Row],[CONCEPTO mx]]="","",VLOOKUP(Tabla1[[#This Row],[CONCEPTO mx]],Tabla2[#All],3,0)),"")</f>
        <v/>
      </c>
      <c r="H103" s="49" t="s">
        <v>387</v>
      </c>
      <c r="I103" s="49" t="s">
        <v>2298</v>
      </c>
      <c r="J103" s="53" t="s">
        <v>2724</v>
      </c>
    </row>
    <row r="104" spans="1:10" x14ac:dyDescent="0.25">
      <c r="A104" s="51">
        <v>43138</v>
      </c>
      <c r="C104" s="49" t="s">
        <v>1413</v>
      </c>
      <c r="D104" s="49" t="s">
        <v>1414</v>
      </c>
      <c r="F104" s="49" t="str">
        <f>IFERROR(IF(Tabla1[[#This Row],[CONCEPTO mx]]="","",VLOOKUP(Tabla1[[#This Row],[CONCEPTO mx]],Tabla2[#All],2,0)),"")</f>
        <v/>
      </c>
      <c r="G104" s="49" t="str">
        <f>IFERROR(IF(Tabla1[[#This Row],[CONCEPTO mx]]="","",VLOOKUP(Tabla1[[#This Row],[CONCEPTO mx]],Tabla2[#All],3,0)),"")</f>
        <v/>
      </c>
      <c r="H104" s="49" t="s">
        <v>352</v>
      </c>
      <c r="I104" s="49" t="s">
        <v>2298</v>
      </c>
      <c r="J104" s="53" t="s">
        <v>2677</v>
      </c>
    </row>
    <row r="105" spans="1:10" x14ac:dyDescent="0.25">
      <c r="A105" s="51">
        <v>43138</v>
      </c>
      <c r="C105" s="49" t="s">
        <v>1329</v>
      </c>
      <c r="E105" s="49" t="s">
        <v>2355</v>
      </c>
      <c r="F105" s="49" t="str">
        <f>IFERROR(IF(Tabla1[[#This Row],[CONCEPTO mx]]="","",VLOOKUP(Tabla1[[#This Row],[CONCEPTO mx]],Tabla2[#All],2,0)),"")</f>
        <v>CM13</v>
      </c>
      <c r="G105" s="49" t="str">
        <f>IFERROR(IF(Tabla1[[#This Row],[CONCEPTO mx]]="","",VLOOKUP(Tabla1[[#This Row],[CONCEPTO mx]],Tabla2[#All],3,0)),"")</f>
        <v>Gestión Humana</v>
      </c>
      <c r="H105" s="49" t="s">
        <v>486</v>
      </c>
      <c r="I105" s="49" t="s">
        <v>2298</v>
      </c>
      <c r="J105" s="53" t="s">
        <v>2671</v>
      </c>
    </row>
    <row r="106" spans="1:10" x14ac:dyDescent="0.25">
      <c r="A106" s="51">
        <v>43138</v>
      </c>
      <c r="C106" s="49" t="s">
        <v>1453</v>
      </c>
      <c r="D106" s="49" t="s">
        <v>51</v>
      </c>
      <c r="F106" s="49" t="str">
        <f>IFERROR(IF(Tabla1[[#This Row],[CONCEPTO mx]]="","",VLOOKUP(Tabla1[[#This Row],[CONCEPTO mx]],Tabla2[#All],2,0)),"")</f>
        <v/>
      </c>
      <c r="G106" s="49" t="str">
        <f>IFERROR(IF(Tabla1[[#This Row],[CONCEPTO mx]]="","",VLOOKUP(Tabla1[[#This Row],[CONCEPTO mx]],Tabla2[#All],3,0)),"")</f>
        <v/>
      </c>
      <c r="H106" s="49" t="s">
        <v>441</v>
      </c>
      <c r="I106" s="49" t="s">
        <v>2298</v>
      </c>
      <c r="J106" s="53" t="s">
        <v>2727</v>
      </c>
    </row>
    <row r="107" spans="1:10" x14ac:dyDescent="0.25">
      <c r="A107" s="51">
        <v>43138</v>
      </c>
      <c r="C107" s="49" t="s">
        <v>1441</v>
      </c>
      <c r="E107" s="49" t="s">
        <v>2355</v>
      </c>
      <c r="F107" s="49" t="str">
        <f>IFERROR(IF(Tabla1[[#This Row],[CONCEPTO mx]]="","",VLOOKUP(Tabla1[[#This Row],[CONCEPTO mx]],Tabla2[#All],2,0)),"")</f>
        <v>CM13</v>
      </c>
      <c r="G107" s="49" t="str">
        <f>IFERROR(IF(Tabla1[[#This Row],[CONCEPTO mx]]="","",VLOOKUP(Tabla1[[#This Row],[CONCEPTO mx]],Tabla2[#All],3,0)),"")</f>
        <v>Gestión Humana</v>
      </c>
      <c r="H107" s="49" t="s">
        <v>343</v>
      </c>
      <c r="I107" s="49" t="s">
        <v>2298</v>
      </c>
      <c r="J107" s="53"/>
    </row>
    <row r="108" spans="1:10" x14ac:dyDescent="0.25">
      <c r="A108" s="51">
        <v>43138</v>
      </c>
      <c r="C108" s="49" t="s">
        <v>1421</v>
      </c>
      <c r="D108" s="49" t="s">
        <v>2273</v>
      </c>
      <c r="F108" s="49" t="str">
        <f>IFERROR(IF(Tabla1[[#This Row],[CONCEPTO mx]]="","",VLOOKUP(Tabla1[[#This Row],[CONCEPTO mx]],Tabla2[#All],2,0)),"")</f>
        <v/>
      </c>
      <c r="G108" s="49" t="str">
        <f>IFERROR(IF(Tabla1[[#This Row],[CONCEPTO mx]]="","",VLOOKUP(Tabla1[[#This Row],[CONCEPTO mx]],Tabla2[#All],3,0)),"")</f>
        <v/>
      </c>
      <c r="H108" s="49" t="s">
        <v>352</v>
      </c>
      <c r="I108" s="49" t="s">
        <v>2298</v>
      </c>
      <c r="J108" s="53" t="s">
        <v>2716</v>
      </c>
    </row>
    <row r="109" spans="1:10" x14ac:dyDescent="0.25">
      <c r="A109" s="51">
        <v>43138</v>
      </c>
      <c r="C109" s="54" t="s">
        <v>1442</v>
      </c>
      <c r="D109" s="49" t="s">
        <v>51</v>
      </c>
      <c r="E109" s="49" t="s">
        <v>3198</v>
      </c>
      <c r="F109" s="49" t="str">
        <f>IFERROR(IF(Tabla1[[#This Row],[CONCEPTO mx]]="","",VLOOKUP(Tabla1[[#This Row],[CONCEPTO mx]],Tabla2[#All],2,0)),"")</f>
        <v>CM6</v>
      </c>
      <c r="G109" s="49" t="str">
        <f>IFERROR(IF(Tabla1[[#This Row],[CONCEPTO mx]]="","",VLOOKUP(Tabla1[[#This Row],[CONCEPTO mx]],Tabla2[#All],3,0)),"")</f>
        <v>SST</v>
      </c>
      <c r="H109" s="49" t="s">
        <v>387</v>
      </c>
      <c r="I109" s="49" t="s">
        <v>2298</v>
      </c>
      <c r="J109" s="53" t="s">
        <v>2319</v>
      </c>
    </row>
    <row r="110" spans="1:10" x14ac:dyDescent="0.25">
      <c r="A110" s="51">
        <v>43138</v>
      </c>
      <c r="C110" s="49" t="s">
        <v>1432</v>
      </c>
      <c r="D110" s="49" t="s">
        <v>17</v>
      </c>
      <c r="F110" s="49" t="str">
        <f>IFERROR(IF(Tabla1[[#This Row],[CONCEPTO mx]]="","",VLOOKUP(Tabla1[[#This Row],[CONCEPTO mx]],Tabla2[#All],2,0)),"")</f>
        <v/>
      </c>
      <c r="G110" s="49" t="str">
        <f>IFERROR(IF(Tabla1[[#This Row],[CONCEPTO mx]]="","",VLOOKUP(Tabla1[[#This Row],[CONCEPTO mx]],Tabla2[#All],3,0)),"")</f>
        <v/>
      </c>
      <c r="H110" s="49" t="s">
        <v>352</v>
      </c>
      <c r="I110" s="49" t="s">
        <v>2298</v>
      </c>
      <c r="J110" s="53" t="s">
        <v>2721</v>
      </c>
    </row>
    <row r="111" spans="1:10" x14ac:dyDescent="0.25">
      <c r="A111" s="51">
        <v>43138</v>
      </c>
      <c r="C111" s="49" t="s">
        <v>1445</v>
      </c>
      <c r="D111" s="49" t="s">
        <v>23</v>
      </c>
      <c r="F111" s="49" t="str">
        <f>IFERROR(IF(Tabla1[[#This Row],[CONCEPTO mx]]="","",VLOOKUP(Tabla1[[#This Row],[CONCEPTO mx]],Tabla2[#All],2,0)),"")</f>
        <v/>
      </c>
      <c r="G111" s="49" t="str">
        <f>IFERROR(IF(Tabla1[[#This Row],[CONCEPTO mx]]="","",VLOOKUP(Tabla1[[#This Row],[CONCEPTO mx]],Tabla2[#All],3,0)),"")</f>
        <v/>
      </c>
      <c r="H111" s="49" t="s">
        <v>334</v>
      </c>
      <c r="I111" s="49" t="s">
        <v>2298</v>
      </c>
      <c r="J111" s="53" t="s">
        <v>2725</v>
      </c>
    </row>
    <row r="112" spans="1:10" x14ac:dyDescent="0.25">
      <c r="A112" s="51">
        <v>43138</v>
      </c>
      <c r="C112" s="49" t="s">
        <v>1419</v>
      </c>
      <c r="D112" s="49" t="s">
        <v>17</v>
      </c>
      <c r="F112" s="49" t="str">
        <f>IFERROR(IF(Tabla1[[#This Row],[CONCEPTO mx]]="","",VLOOKUP(Tabla1[[#This Row],[CONCEPTO mx]],Tabla2[#All],2,0)),"")</f>
        <v/>
      </c>
      <c r="G112" s="49" t="str">
        <f>IFERROR(IF(Tabla1[[#This Row],[CONCEPTO mx]]="","",VLOOKUP(Tabla1[[#This Row],[CONCEPTO mx]],Tabla2[#All],3,0)),"")</f>
        <v/>
      </c>
      <c r="H112" s="49" t="s">
        <v>352</v>
      </c>
      <c r="I112" s="49" t="s">
        <v>2298</v>
      </c>
      <c r="J112" s="53" t="s">
        <v>2679</v>
      </c>
    </row>
    <row r="113" spans="1:10" x14ac:dyDescent="0.25">
      <c r="A113" s="51">
        <v>43138</v>
      </c>
      <c r="C113" s="49" t="s">
        <v>1416</v>
      </c>
      <c r="D113" s="49" t="s">
        <v>1417</v>
      </c>
      <c r="F113" s="49" t="str">
        <f>IFERROR(IF(Tabla1[[#This Row],[CONCEPTO mx]]="","",VLOOKUP(Tabla1[[#This Row],[CONCEPTO mx]],Tabla2[#All],2,0)),"")</f>
        <v/>
      </c>
      <c r="G113" s="49" t="str">
        <f>IFERROR(IF(Tabla1[[#This Row],[CONCEPTO mx]]="","",VLOOKUP(Tabla1[[#This Row],[CONCEPTO mx]],Tabla2[#All],3,0)),"")</f>
        <v/>
      </c>
      <c r="H113" s="49" t="s">
        <v>486</v>
      </c>
      <c r="I113" s="49" t="s">
        <v>2298</v>
      </c>
      <c r="J113" s="53" t="s">
        <v>2715</v>
      </c>
    </row>
    <row r="114" spans="1:10" x14ac:dyDescent="0.25">
      <c r="A114" s="51">
        <v>43138</v>
      </c>
      <c r="C114" s="49" t="s">
        <v>1439</v>
      </c>
      <c r="D114" s="49" t="s">
        <v>51</v>
      </c>
      <c r="F114" s="49" t="str">
        <f>IFERROR(IF(Tabla1[[#This Row],[CONCEPTO mx]]="","",VLOOKUP(Tabla1[[#This Row],[CONCEPTO mx]],Tabla2[#All],2,0)),"")</f>
        <v/>
      </c>
      <c r="G114" s="49" t="str">
        <f>IFERROR(IF(Tabla1[[#This Row],[CONCEPTO mx]]="","",VLOOKUP(Tabla1[[#This Row],[CONCEPTO mx]],Tabla2[#All],3,0)),"")</f>
        <v/>
      </c>
      <c r="H114" s="49" t="s">
        <v>352</v>
      </c>
      <c r="I114" s="49" t="s">
        <v>2298</v>
      </c>
      <c r="J114" s="53" t="s">
        <v>2677</v>
      </c>
    </row>
    <row r="115" spans="1:10" x14ac:dyDescent="0.25">
      <c r="A115" s="51">
        <v>43138</v>
      </c>
      <c r="C115" s="49" t="s">
        <v>1446</v>
      </c>
      <c r="D115" s="49" t="s">
        <v>51</v>
      </c>
      <c r="F115" s="49" t="str">
        <f>IFERROR(IF(Tabla1[[#This Row],[CONCEPTO mx]]="","",VLOOKUP(Tabla1[[#This Row],[CONCEPTO mx]],Tabla2[#All],2,0)),"")</f>
        <v/>
      </c>
      <c r="G115" s="49" t="str">
        <f>IFERROR(IF(Tabla1[[#This Row],[CONCEPTO mx]]="","",VLOOKUP(Tabla1[[#This Row],[CONCEPTO mx]],Tabla2[#All],3,0)),"")</f>
        <v/>
      </c>
      <c r="H115" s="49" t="s">
        <v>334</v>
      </c>
      <c r="I115" s="49" t="s">
        <v>2298</v>
      </c>
      <c r="J115" s="53" t="s">
        <v>2725</v>
      </c>
    </row>
    <row r="116" spans="1:10" x14ac:dyDescent="0.25">
      <c r="A116" s="51">
        <v>43138</v>
      </c>
      <c r="C116" s="49" t="s">
        <v>1429</v>
      </c>
      <c r="E116" s="49" t="s">
        <v>2355</v>
      </c>
      <c r="F116" s="49" t="str">
        <f>IFERROR(IF(Tabla1[[#This Row],[CONCEPTO mx]]="","",VLOOKUP(Tabla1[[#This Row],[CONCEPTO mx]],Tabla2[#All],2,0)),"")</f>
        <v>CM13</v>
      </c>
      <c r="G116" s="49" t="str">
        <f>IFERROR(IF(Tabla1[[#This Row],[CONCEPTO mx]]="","",VLOOKUP(Tabla1[[#This Row],[CONCEPTO mx]],Tabla2[#All],3,0)),"")</f>
        <v>Gestión Humana</v>
      </c>
      <c r="H116" s="49" t="s">
        <v>486</v>
      </c>
      <c r="I116" s="49" t="s">
        <v>2298</v>
      </c>
      <c r="J116" s="53" t="s">
        <v>2719</v>
      </c>
    </row>
    <row r="117" spans="1:10" x14ac:dyDescent="0.25">
      <c r="A117" s="51">
        <v>43138</v>
      </c>
      <c r="C117" s="49" t="s">
        <v>1351</v>
      </c>
      <c r="D117" s="49" t="s">
        <v>51</v>
      </c>
      <c r="F117" s="49" t="str">
        <f>IFERROR(IF(Tabla1[[#This Row],[CONCEPTO mx]]="","",VLOOKUP(Tabla1[[#This Row],[CONCEPTO mx]],Tabla2[#All],2,0)),"")</f>
        <v/>
      </c>
      <c r="G117" s="49" t="str">
        <f>IFERROR(IF(Tabla1[[#This Row],[CONCEPTO mx]]="","",VLOOKUP(Tabla1[[#This Row],[CONCEPTO mx]],Tabla2[#All],3,0)),"")</f>
        <v/>
      </c>
      <c r="H117" s="49" t="s">
        <v>439</v>
      </c>
      <c r="I117" s="49" t="s">
        <v>2298</v>
      </c>
      <c r="J117" s="53" t="s">
        <v>2728</v>
      </c>
    </row>
    <row r="118" spans="1:10" x14ac:dyDescent="0.25">
      <c r="A118" s="51">
        <v>43138</v>
      </c>
      <c r="C118" s="49" t="s">
        <v>1415</v>
      </c>
      <c r="E118" s="49" t="s">
        <v>2355</v>
      </c>
      <c r="F118" s="49" t="str">
        <f>IFERROR(IF(Tabla1[[#This Row],[CONCEPTO mx]]="","",VLOOKUP(Tabla1[[#This Row],[CONCEPTO mx]],Tabla2[#All],2,0)),"")</f>
        <v>CM13</v>
      </c>
      <c r="G118" s="49" t="str">
        <f>IFERROR(IF(Tabla1[[#This Row],[CONCEPTO mx]]="","",VLOOKUP(Tabla1[[#This Row],[CONCEPTO mx]],Tabla2[#All],3,0)),"")</f>
        <v>Gestión Humana</v>
      </c>
      <c r="H118" s="49" t="s">
        <v>470</v>
      </c>
      <c r="I118" s="49" t="s">
        <v>2298</v>
      </c>
      <c r="J118" s="53" t="s">
        <v>2686</v>
      </c>
    </row>
    <row r="119" spans="1:10" x14ac:dyDescent="0.25">
      <c r="A119" s="51">
        <v>43138</v>
      </c>
      <c r="C119" s="49" t="s">
        <v>1449</v>
      </c>
      <c r="D119" s="49" t="s">
        <v>2273</v>
      </c>
      <c r="F119" s="49" t="str">
        <f>IFERROR(IF(Tabla1[[#This Row],[CONCEPTO mx]]="","",VLOOKUP(Tabla1[[#This Row],[CONCEPTO mx]],Tabla2[#All],2,0)),"")</f>
        <v/>
      </c>
      <c r="G119" s="49" t="str">
        <f>IFERROR(IF(Tabla1[[#This Row],[CONCEPTO mx]]="","",VLOOKUP(Tabla1[[#This Row],[CONCEPTO mx]],Tabla2[#All],3,0)),"")</f>
        <v/>
      </c>
      <c r="H119" s="49" t="s">
        <v>528</v>
      </c>
      <c r="I119" s="49" t="s">
        <v>2320</v>
      </c>
      <c r="J119" s="53"/>
    </row>
    <row r="120" spans="1:10" x14ac:dyDescent="0.25">
      <c r="A120" s="51">
        <v>43138</v>
      </c>
      <c r="C120" s="49" t="s">
        <v>1440</v>
      </c>
      <c r="D120" s="49" t="s">
        <v>180</v>
      </c>
      <c r="E120" s="49" t="s">
        <v>3188</v>
      </c>
      <c r="F120" s="49" t="str">
        <f>IFERROR(IF(Tabla1[[#This Row],[CONCEPTO mx]]="","",VLOOKUP(Tabla1[[#This Row],[CONCEPTO mx]],Tabla2[#All],2,0)),"")</f>
        <v>CM7</v>
      </c>
      <c r="G120" s="49" t="str">
        <f>IFERROR(IF(Tabla1[[#This Row],[CONCEPTO mx]]="","",VLOOKUP(Tabla1[[#This Row],[CONCEPTO mx]],Tabla2[#All],3,0)),"")</f>
        <v>SST</v>
      </c>
      <c r="H120" s="49" t="s">
        <v>387</v>
      </c>
      <c r="I120" s="49" t="s">
        <v>2298</v>
      </c>
      <c r="J120" s="53" t="s">
        <v>2707</v>
      </c>
    </row>
    <row r="121" spans="1:10" x14ac:dyDescent="0.25">
      <c r="A121" s="51">
        <v>43138</v>
      </c>
      <c r="C121" s="49" t="s">
        <v>1434</v>
      </c>
      <c r="D121" s="49" t="s">
        <v>17</v>
      </c>
      <c r="F121" s="49" t="str">
        <f>IFERROR(IF(Tabla1[[#This Row],[CONCEPTO mx]]="","",VLOOKUP(Tabla1[[#This Row],[CONCEPTO mx]],Tabla2[#All],2,0)),"")</f>
        <v/>
      </c>
      <c r="G121" s="49" t="str">
        <f>IFERROR(IF(Tabla1[[#This Row],[CONCEPTO mx]]="","",VLOOKUP(Tabla1[[#This Row],[CONCEPTO mx]],Tabla2[#All],3,0)),"")</f>
        <v/>
      </c>
      <c r="H121" s="49" t="s">
        <v>2394</v>
      </c>
      <c r="I121" s="49" t="s">
        <v>2298</v>
      </c>
      <c r="J121" s="53" t="s">
        <v>2671</v>
      </c>
    </row>
    <row r="122" spans="1:10" x14ac:dyDescent="0.25">
      <c r="A122" s="51">
        <v>43138</v>
      </c>
      <c r="C122" s="49" t="s">
        <v>1426</v>
      </c>
      <c r="E122" s="49" t="s">
        <v>2355</v>
      </c>
      <c r="F122" s="49" t="str">
        <f>IFERROR(IF(Tabla1[[#This Row],[CONCEPTO mx]]="","",VLOOKUP(Tabla1[[#This Row],[CONCEPTO mx]],Tabla2[#All],2,0)),"")</f>
        <v>CM13</v>
      </c>
      <c r="G122" s="49" t="str">
        <f>IFERROR(IF(Tabla1[[#This Row],[CONCEPTO mx]]="","",VLOOKUP(Tabla1[[#This Row],[CONCEPTO mx]],Tabla2[#All],3,0)),"")</f>
        <v>Gestión Humana</v>
      </c>
      <c r="H122" s="49" t="s">
        <v>470</v>
      </c>
      <c r="I122" s="49" t="s">
        <v>2298</v>
      </c>
      <c r="J122" s="53" t="s">
        <v>2717</v>
      </c>
    </row>
    <row r="123" spans="1:10" x14ac:dyDescent="0.25">
      <c r="A123" s="51">
        <v>43138</v>
      </c>
      <c r="C123" s="49" t="s">
        <v>1420</v>
      </c>
      <c r="D123" s="49" t="s">
        <v>17</v>
      </c>
      <c r="F123" s="49" t="str">
        <f>IFERROR(IF(Tabla1[[#This Row],[CONCEPTO mx]]="","",VLOOKUP(Tabla1[[#This Row],[CONCEPTO mx]],Tabla2[#All],2,0)),"")</f>
        <v/>
      </c>
      <c r="G123" s="49" t="str">
        <f>IFERROR(IF(Tabla1[[#This Row],[CONCEPTO mx]]="","",VLOOKUP(Tabla1[[#This Row],[CONCEPTO mx]],Tabla2[#All],3,0)),"")</f>
        <v/>
      </c>
      <c r="H123" s="49" t="s">
        <v>2394</v>
      </c>
      <c r="I123" s="49" t="s">
        <v>2298</v>
      </c>
      <c r="J123" s="53" t="s">
        <v>2302</v>
      </c>
    </row>
    <row r="124" spans="1:10" x14ac:dyDescent="0.25">
      <c r="A124" s="51">
        <v>43138</v>
      </c>
      <c r="C124" s="49" t="s">
        <v>1424</v>
      </c>
      <c r="D124" s="49" t="s">
        <v>1425</v>
      </c>
      <c r="F124" s="49" t="str">
        <f>IFERROR(IF(Tabla1[[#This Row],[CONCEPTO mx]]="","",VLOOKUP(Tabla1[[#This Row],[CONCEPTO mx]],Tabla2[#All],2,0)),"")</f>
        <v/>
      </c>
      <c r="G124" s="49" t="str">
        <f>IFERROR(IF(Tabla1[[#This Row],[CONCEPTO mx]]="","",VLOOKUP(Tabla1[[#This Row],[CONCEPTO mx]],Tabla2[#All],3,0)),"")</f>
        <v/>
      </c>
      <c r="H124" s="49" t="s">
        <v>352</v>
      </c>
      <c r="I124" s="49" t="s">
        <v>2298</v>
      </c>
      <c r="J124" s="53" t="s">
        <v>2673</v>
      </c>
    </row>
    <row r="125" spans="1:10" x14ac:dyDescent="0.25">
      <c r="A125" s="51">
        <v>43138</v>
      </c>
      <c r="C125" s="49" t="s">
        <v>1427</v>
      </c>
      <c r="D125" s="49" t="s">
        <v>17</v>
      </c>
      <c r="F125" s="49" t="str">
        <f>IFERROR(IF(Tabla1[[#This Row],[CONCEPTO mx]]="","",VLOOKUP(Tabla1[[#This Row],[CONCEPTO mx]],Tabla2[#All],2,0)),"")</f>
        <v/>
      </c>
      <c r="G125" s="49" t="str">
        <f>IFERROR(IF(Tabla1[[#This Row],[CONCEPTO mx]]="","",VLOOKUP(Tabla1[[#This Row],[CONCEPTO mx]],Tabla2[#All],3,0)),"")</f>
        <v/>
      </c>
      <c r="H125" s="49" t="s">
        <v>486</v>
      </c>
      <c r="I125" s="49" t="s">
        <v>2298</v>
      </c>
      <c r="J125" s="53" t="s">
        <v>2718</v>
      </c>
    </row>
    <row r="126" spans="1:10" x14ac:dyDescent="0.25">
      <c r="A126" s="51">
        <v>43139</v>
      </c>
      <c r="C126" s="49" t="s">
        <v>1460</v>
      </c>
      <c r="E126" s="49" t="s">
        <v>2355</v>
      </c>
      <c r="F126" s="49" t="str">
        <f>IFERROR(IF(Tabla1[[#This Row],[CONCEPTO mx]]="","",VLOOKUP(Tabla1[[#This Row],[CONCEPTO mx]],Tabla2[#All],2,0)),"")</f>
        <v>CM13</v>
      </c>
      <c r="G126" s="49" t="str">
        <f>IFERROR(IF(Tabla1[[#This Row],[CONCEPTO mx]]="","",VLOOKUP(Tabla1[[#This Row],[CONCEPTO mx]],Tabla2[#All],3,0)),"")</f>
        <v>Gestión Humana</v>
      </c>
      <c r="H126" s="49" t="s">
        <v>334</v>
      </c>
      <c r="I126" s="49" t="s">
        <v>2298</v>
      </c>
      <c r="J126" s="53" t="s">
        <v>2732</v>
      </c>
    </row>
    <row r="127" spans="1:10" x14ac:dyDescent="0.25">
      <c r="A127" s="51">
        <v>43139</v>
      </c>
      <c r="C127" s="49" t="s">
        <v>1456</v>
      </c>
      <c r="D127" s="49" t="s">
        <v>80</v>
      </c>
      <c r="F127" s="49" t="str">
        <f>IFERROR(IF(Tabla1[[#This Row],[CONCEPTO mx]]="","",VLOOKUP(Tabla1[[#This Row],[CONCEPTO mx]],Tabla2[#All],2,0)),"")</f>
        <v/>
      </c>
      <c r="G127" s="49" t="str">
        <f>IFERROR(IF(Tabla1[[#This Row],[CONCEPTO mx]]="","",VLOOKUP(Tabla1[[#This Row],[CONCEPTO mx]],Tabla2[#All],3,0)),"")</f>
        <v/>
      </c>
      <c r="H127" s="49" t="s">
        <v>357</v>
      </c>
      <c r="I127" s="49" t="s">
        <v>2298</v>
      </c>
      <c r="J127" s="53" t="s">
        <v>2730</v>
      </c>
    </row>
    <row r="128" spans="1:10" x14ac:dyDescent="0.25">
      <c r="A128" s="51">
        <v>43139</v>
      </c>
      <c r="C128" s="49" t="s">
        <v>1454</v>
      </c>
      <c r="D128" s="49" t="s">
        <v>80</v>
      </c>
      <c r="F128" s="49" t="str">
        <f>IFERROR(IF(Tabla1[[#This Row],[CONCEPTO mx]]="","",VLOOKUP(Tabla1[[#This Row],[CONCEPTO mx]],Tabla2[#All],2,0)),"")</f>
        <v/>
      </c>
      <c r="G128" s="49" t="str">
        <f>IFERROR(IF(Tabla1[[#This Row],[CONCEPTO mx]]="","",VLOOKUP(Tabla1[[#This Row],[CONCEPTO mx]],Tabla2[#All],3,0)),"")</f>
        <v/>
      </c>
      <c r="H128" s="49" t="s">
        <v>439</v>
      </c>
      <c r="I128" s="49" t="s">
        <v>2298</v>
      </c>
      <c r="J128" s="53" t="s">
        <v>2729</v>
      </c>
    </row>
    <row r="129" spans="1:12" x14ac:dyDescent="0.25">
      <c r="A129" s="51">
        <v>43139</v>
      </c>
      <c r="C129" s="49" t="s">
        <v>1458</v>
      </c>
      <c r="D129" s="49" t="s">
        <v>241</v>
      </c>
      <c r="F129" s="49" t="str">
        <f>IFERROR(IF(Tabla1[[#This Row],[CONCEPTO mx]]="","",VLOOKUP(Tabla1[[#This Row],[CONCEPTO mx]],Tabla2[#All],2,0)),"")</f>
        <v/>
      </c>
      <c r="G129" s="49" t="str">
        <f>IFERROR(IF(Tabla1[[#This Row],[CONCEPTO mx]]="","",VLOOKUP(Tabla1[[#This Row],[CONCEPTO mx]],Tabla2[#All],3,0)),"")</f>
        <v/>
      </c>
      <c r="H129" s="49" t="s">
        <v>357</v>
      </c>
      <c r="I129" s="49" t="s">
        <v>2298</v>
      </c>
      <c r="J129" s="53" t="s">
        <v>2731</v>
      </c>
    </row>
    <row r="130" spans="1:12" x14ac:dyDescent="0.25">
      <c r="A130" s="51">
        <v>43140</v>
      </c>
      <c r="C130" s="49" t="s">
        <v>1463</v>
      </c>
      <c r="D130" s="49" t="s">
        <v>19</v>
      </c>
      <c r="F130" s="49" t="str">
        <f>IFERROR(IF(Tabla1[[#This Row],[CONCEPTO mx]]="","",VLOOKUP(Tabla1[[#This Row],[CONCEPTO mx]],Tabla2[#All],2,0)),"")</f>
        <v/>
      </c>
      <c r="G130" s="49" t="str">
        <f>IFERROR(IF(Tabla1[[#This Row],[CONCEPTO mx]]="","",VLOOKUP(Tabla1[[#This Row],[CONCEPTO mx]],Tabla2[#All],3,0)),"")</f>
        <v/>
      </c>
      <c r="H130" s="49" t="s">
        <v>441</v>
      </c>
      <c r="I130" s="49" t="s">
        <v>2298</v>
      </c>
      <c r="J130" s="53" t="s">
        <v>2733</v>
      </c>
    </row>
    <row r="131" spans="1:12" x14ac:dyDescent="0.25">
      <c r="A131" s="51">
        <v>43140</v>
      </c>
      <c r="C131" s="49" t="s">
        <v>1477</v>
      </c>
      <c r="D131" s="49" t="s">
        <v>1478</v>
      </c>
      <c r="F131" s="49" t="str">
        <f>IFERROR(IF(Tabla1[[#This Row],[CONCEPTO mx]]="","",VLOOKUP(Tabla1[[#This Row],[CONCEPTO mx]],Tabla2[#All],2,0)),"")</f>
        <v/>
      </c>
      <c r="G131" s="49" t="str">
        <f>IFERROR(IF(Tabla1[[#This Row],[CONCEPTO mx]]="","",VLOOKUP(Tabla1[[#This Row],[CONCEPTO mx]],Tabla2[#All],3,0)),"")</f>
        <v/>
      </c>
      <c r="H131" s="49" t="s">
        <v>334</v>
      </c>
      <c r="I131" s="49" t="s">
        <v>2298</v>
      </c>
      <c r="J131" s="53" t="s">
        <v>2737</v>
      </c>
    </row>
    <row r="132" spans="1:12" x14ac:dyDescent="0.25">
      <c r="A132" s="51">
        <v>43140</v>
      </c>
      <c r="C132" s="49" t="s">
        <v>1485</v>
      </c>
      <c r="D132" s="49" t="s">
        <v>51</v>
      </c>
      <c r="F132" s="49" t="str">
        <f>IFERROR(IF(Tabla1[[#This Row],[CONCEPTO mx]]="","",VLOOKUP(Tabla1[[#This Row],[CONCEPTO mx]],Tabla2[#All],2,0)),"")</f>
        <v/>
      </c>
      <c r="G132" s="49" t="str">
        <f>IFERROR(IF(Tabla1[[#This Row],[CONCEPTO mx]]="","",VLOOKUP(Tabla1[[#This Row],[CONCEPTO mx]],Tabla2[#All],3,0)),"")</f>
        <v/>
      </c>
      <c r="H132" s="49" t="s">
        <v>334</v>
      </c>
      <c r="I132" s="49" t="s">
        <v>2298</v>
      </c>
      <c r="J132" s="53" t="s">
        <v>2307</v>
      </c>
    </row>
    <row r="133" spans="1:12" x14ac:dyDescent="0.25">
      <c r="A133" s="51">
        <v>43140</v>
      </c>
      <c r="C133" s="49" t="s">
        <v>1483</v>
      </c>
      <c r="D133" s="49" t="s">
        <v>51</v>
      </c>
      <c r="F133" s="49" t="str">
        <f>IFERROR(IF(Tabla1[[#This Row],[CONCEPTO mx]]="","",VLOOKUP(Tabla1[[#This Row],[CONCEPTO mx]],Tabla2[#All],2,0)),"")</f>
        <v/>
      </c>
      <c r="G133" s="49" t="str">
        <f>IFERROR(IF(Tabla1[[#This Row],[CONCEPTO mx]]="","",VLOOKUP(Tabla1[[#This Row],[CONCEPTO mx]],Tabla2[#All],3,0)),"")</f>
        <v/>
      </c>
      <c r="H133" s="49" t="s">
        <v>343</v>
      </c>
      <c r="I133" s="49" t="s">
        <v>2298</v>
      </c>
      <c r="J133" s="53" t="s">
        <v>2740</v>
      </c>
    </row>
    <row r="134" spans="1:12" x14ac:dyDescent="0.25">
      <c r="A134" s="51">
        <v>43140</v>
      </c>
      <c r="C134" s="49" t="s">
        <v>1479</v>
      </c>
      <c r="D134" s="49" t="s">
        <v>51</v>
      </c>
      <c r="F134" s="49" t="str">
        <f>IFERROR(IF(Tabla1[[#This Row],[CONCEPTO mx]]="","",VLOOKUP(Tabla1[[#This Row],[CONCEPTO mx]],Tabla2[#All],2,0)),"")</f>
        <v/>
      </c>
      <c r="G134" s="49" t="str">
        <f>IFERROR(IF(Tabla1[[#This Row],[CONCEPTO mx]]="","",VLOOKUP(Tabla1[[#This Row],[CONCEPTO mx]],Tabla2[#All],3,0)),"")</f>
        <v/>
      </c>
      <c r="H134" s="49" t="s">
        <v>387</v>
      </c>
      <c r="I134" s="49" t="s">
        <v>2298</v>
      </c>
      <c r="J134" s="53" t="s">
        <v>2738</v>
      </c>
    </row>
    <row r="135" spans="1:12" x14ac:dyDescent="0.25">
      <c r="A135" s="51">
        <v>43140</v>
      </c>
      <c r="C135" s="49" t="s">
        <v>1473</v>
      </c>
      <c r="E135" s="49" t="s">
        <v>2355</v>
      </c>
      <c r="F135" s="49" t="str">
        <f>IFERROR(IF(Tabla1[[#This Row],[CONCEPTO mx]]="","",VLOOKUP(Tabla1[[#This Row],[CONCEPTO mx]],Tabla2[#All],2,0)),"")</f>
        <v>CM13</v>
      </c>
      <c r="G135" s="49" t="str">
        <f>IFERROR(IF(Tabla1[[#This Row],[CONCEPTO mx]]="","",VLOOKUP(Tabla1[[#This Row],[CONCEPTO mx]],Tabla2[#All],3,0)),"")</f>
        <v>Gestión Humana</v>
      </c>
      <c r="H135" s="49" t="s">
        <v>406</v>
      </c>
      <c r="I135" s="49" t="s">
        <v>2298</v>
      </c>
      <c r="J135" s="53" t="s">
        <v>2685</v>
      </c>
    </row>
    <row r="136" spans="1:12" x14ac:dyDescent="0.25">
      <c r="A136" s="51">
        <v>43140</v>
      </c>
      <c r="C136" s="49" t="s">
        <v>1474</v>
      </c>
      <c r="D136" s="49" t="s">
        <v>180</v>
      </c>
      <c r="E136" s="49" t="s">
        <v>3188</v>
      </c>
      <c r="F136" s="49" t="str">
        <f>IFERROR(IF(Tabla1[[#This Row],[CONCEPTO mx]]="","",VLOOKUP(Tabla1[[#This Row],[CONCEPTO mx]],Tabla2[#All],2,0)),"")</f>
        <v>CM7</v>
      </c>
      <c r="G136" s="49" t="str">
        <f>IFERROR(IF(Tabla1[[#This Row],[CONCEPTO mx]]="","",VLOOKUP(Tabla1[[#This Row],[CONCEPTO mx]],Tabla2[#All],3,0)),"")</f>
        <v>SST</v>
      </c>
      <c r="H136" s="49" t="s">
        <v>334</v>
      </c>
      <c r="I136" s="49" t="s">
        <v>2298</v>
      </c>
      <c r="J136" s="53" t="s">
        <v>2736</v>
      </c>
      <c r="L136" s="49" t="s">
        <v>3662</v>
      </c>
    </row>
    <row r="137" spans="1:12" x14ac:dyDescent="0.25">
      <c r="A137" s="51">
        <v>43140</v>
      </c>
      <c r="C137" s="49" t="s">
        <v>1487</v>
      </c>
      <c r="D137" s="49" t="s">
        <v>51</v>
      </c>
      <c r="F137" s="49" t="str">
        <f>IFERROR(IF(Tabla1[[#This Row],[CONCEPTO mx]]="","",VLOOKUP(Tabla1[[#This Row],[CONCEPTO mx]],Tabla2[#All],2,0)),"")</f>
        <v/>
      </c>
      <c r="G137" s="49" t="str">
        <f>IFERROR(IF(Tabla1[[#This Row],[CONCEPTO mx]]="","",VLOOKUP(Tabla1[[#This Row],[CONCEPTO mx]],Tabla2[#All],3,0)),"")</f>
        <v/>
      </c>
      <c r="H137" s="49" t="s">
        <v>470</v>
      </c>
      <c r="I137" s="49" t="s">
        <v>2298</v>
      </c>
      <c r="J137" s="53" t="s">
        <v>2735</v>
      </c>
    </row>
    <row r="138" spans="1:12" x14ac:dyDescent="0.25">
      <c r="A138" s="51">
        <v>43140</v>
      </c>
      <c r="C138" s="49" t="s">
        <v>1469</v>
      </c>
      <c r="D138" s="49" t="s">
        <v>51</v>
      </c>
      <c r="F138" s="49" t="str">
        <f>IFERROR(IF(Tabla1[[#This Row],[CONCEPTO mx]]="","",VLOOKUP(Tabla1[[#This Row],[CONCEPTO mx]],Tabla2[#All],2,0)),"")</f>
        <v/>
      </c>
      <c r="G138" s="49" t="str">
        <f>IFERROR(IF(Tabla1[[#This Row],[CONCEPTO mx]]="","",VLOOKUP(Tabla1[[#This Row],[CONCEPTO mx]],Tabla2[#All],3,0)),"")</f>
        <v/>
      </c>
      <c r="H138" s="49" t="s">
        <v>2391</v>
      </c>
      <c r="I138" s="49" t="s">
        <v>2298</v>
      </c>
      <c r="J138" s="53" t="s">
        <v>2302</v>
      </c>
    </row>
    <row r="139" spans="1:12" x14ac:dyDescent="0.25">
      <c r="A139" s="51">
        <v>43140</v>
      </c>
      <c r="C139" s="49" t="s">
        <v>1465</v>
      </c>
      <c r="D139" s="49" t="s">
        <v>51</v>
      </c>
      <c r="F139" s="49" t="str">
        <f>IFERROR(IF(Tabla1[[#This Row],[CONCEPTO mx]]="","",VLOOKUP(Tabla1[[#This Row],[CONCEPTO mx]],Tabla2[#All],2,0)),"")</f>
        <v/>
      </c>
      <c r="G139" s="49" t="str">
        <f>IFERROR(IF(Tabla1[[#This Row],[CONCEPTO mx]]="","",VLOOKUP(Tabla1[[#This Row],[CONCEPTO mx]],Tabla2[#All],3,0)),"")</f>
        <v/>
      </c>
      <c r="H139" s="49" t="s">
        <v>357</v>
      </c>
      <c r="I139" s="49" t="s">
        <v>2298</v>
      </c>
      <c r="J139" s="53" t="s">
        <v>2679</v>
      </c>
    </row>
    <row r="140" spans="1:12" x14ac:dyDescent="0.25">
      <c r="A140" s="51">
        <v>43140</v>
      </c>
      <c r="C140" s="49" t="s">
        <v>1464</v>
      </c>
      <c r="E140" s="49" t="s">
        <v>2355</v>
      </c>
      <c r="F140" s="49" t="str">
        <f>IFERROR(IF(Tabla1[[#This Row],[CONCEPTO mx]]="","",VLOOKUP(Tabla1[[#This Row],[CONCEPTO mx]],Tabla2[#All],2,0)),"")</f>
        <v>CM13</v>
      </c>
      <c r="G140" s="49" t="str">
        <f>IFERROR(IF(Tabla1[[#This Row],[CONCEPTO mx]]="","",VLOOKUP(Tabla1[[#This Row],[CONCEPTO mx]],Tabla2[#All],3,0)),"")</f>
        <v>Gestión Humana</v>
      </c>
      <c r="H140" s="49" t="s">
        <v>2391</v>
      </c>
      <c r="I140" s="49" t="s">
        <v>2298</v>
      </c>
      <c r="J140" s="53" t="s">
        <v>2679</v>
      </c>
    </row>
    <row r="141" spans="1:12" x14ac:dyDescent="0.25">
      <c r="A141" s="51">
        <v>43140</v>
      </c>
      <c r="C141" s="49" t="s">
        <v>1468</v>
      </c>
      <c r="D141" s="49" t="s">
        <v>17</v>
      </c>
      <c r="F141" s="49" t="str">
        <f>IFERROR(IF(Tabla1[[#This Row],[CONCEPTO mx]]="","",VLOOKUP(Tabla1[[#This Row],[CONCEPTO mx]],Tabla2[#All],2,0)),"")</f>
        <v/>
      </c>
      <c r="G141" s="49" t="str">
        <f>IFERROR(IF(Tabla1[[#This Row],[CONCEPTO mx]]="","",VLOOKUP(Tabla1[[#This Row],[CONCEPTO mx]],Tabla2[#All],3,0)),"")</f>
        <v/>
      </c>
      <c r="H141" s="49" t="s">
        <v>2391</v>
      </c>
      <c r="I141" s="49" t="s">
        <v>2298</v>
      </c>
      <c r="J141" s="53" t="s">
        <v>2302</v>
      </c>
    </row>
    <row r="142" spans="1:12" x14ac:dyDescent="0.25">
      <c r="A142" s="51">
        <v>43140</v>
      </c>
      <c r="C142" s="49" t="s">
        <v>1467</v>
      </c>
      <c r="D142" s="49" t="s">
        <v>19</v>
      </c>
      <c r="F142" s="49" t="str">
        <f>IFERROR(IF(Tabla1[[#This Row],[CONCEPTO mx]]="","",VLOOKUP(Tabla1[[#This Row],[CONCEPTO mx]],Tabla2[#All],2,0)),"")</f>
        <v/>
      </c>
      <c r="G142" s="49" t="str">
        <f>IFERROR(IF(Tabla1[[#This Row],[CONCEPTO mx]]="","",VLOOKUP(Tabla1[[#This Row],[CONCEPTO mx]],Tabla2[#All],3,0)),"")</f>
        <v/>
      </c>
      <c r="H142" s="49" t="s">
        <v>2391</v>
      </c>
      <c r="I142" s="49" t="s">
        <v>2298</v>
      </c>
      <c r="J142" s="53" t="s">
        <v>2679</v>
      </c>
    </row>
    <row r="143" spans="1:12" x14ac:dyDescent="0.25">
      <c r="A143" s="51">
        <v>43140</v>
      </c>
      <c r="C143" s="49" t="s">
        <v>1488</v>
      </c>
      <c r="D143" s="49" t="s">
        <v>1489</v>
      </c>
      <c r="F143" s="49" t="str">
        <f>IFERROR(IF(Tabla1[[#This Row],[CONCEPTO mx]]="","",VLOOKUP(Tabla1[[#This Row],[CONCEPTO mx]],Tabla2[#All],2,0)),"")</f>
        <v/>
      </c>
      <c r="G143" s="49" t="str">
        <f>IFERROR(IF(Tabla1[[#This Row],[CONCEPTO mx]]="","",VLOOKUP(Tabla1[[#This Row],[CONCEPTO mx]],Tabla2[#All],3,0)),"")</f>
        <v/>
      </c>
      <c r="H143" s="49" t="s">
        <v>486</v>
      </c>
      <c r="I143" s="49" t="s">
        <v>2336</v>
      </c>
      <c r="J143" s="53"/>
    </row>
    <row r="144" spans="1:12" x14ac:dyDescent="0.25">
      <c r="A144" s="51">
        <v>43140</v>
      </c>
      <c r="C144" s="49" t="s">
        <v>1471</v>
      </c>
      <c r="D144" s="49" t="s">
        <v>241</v>
      </c>
      <c r="F144" s="49" t="str">
        <f>IFERROR(IF(Tabla1[[#This Row],[CONCEPTO mx]]="","",VLOOKUP(Tabla1[[#This Row],[CONCEPTO mx]],Tabla2[#All],2,0)),"")</f>
        <v/>
      </c>
      <c r="G144" s="49" t="str">
        <f>IFERROR(IF(Tabla1[[#This Row],[CONCEPTO mx]]="","",VLOOKUP(Tabla1[[#This Row],[CONCEPTO mx]],Tabla2[#All],3,0)),"")</f>
        <v/>
      </c>
      <c r="H144" s="49" t="s">
        <v>343</v>
      </c>
      <c r="I144" s="49" t="s">
        <v>2298</v>
      </c>
      <c r="J144" s="53" t="s">
        <v>2735</v>
      </c>
    </row>
    <row r="145" spans="1:10" x14ac:dyDescent="0.25">
      <c r="A145" s="51">
        <v>43140</v>
      </c>
      <c r="C145" s="49" t="s">
        <v>1481</v>
      </c>
      <c r="D145" s="49" t="s">
        <v>51</v>
      </c>
      <c r="F145" s="49" t="str">
        <f>IFERROR(IF(Tabla1[[#This Row],[CONCEPTO mx]]="","",VLOOKUP(Tabla1[[#This Row],[CONCEPTO mx]],Tabla2[#All],2,0)),"")</f>
        <v/>
      </c>
      <c r="G145" s="49" t="str">
        <f>IFERROR(IF(Tabla1[[#This Row],[CONCEPTO mx]]="","",VLOOKUP(Tabla1[[#This Row],[CONCEPTO mx]],Tabla2[#All],3,0)),"")</f>
        <v/>
      </c>
      <c r="H145" s="49" t="s">
        <v>406</v>
      </c>
      <c r="I145" s="49" t="s">
        <v>2298</v>
      </c>
      <c r="J145" s="53" t="s">
        <v>2739</v>
      </c>
    </row>
    <row r="146" spans="1:10" x14ac:dyDescent="0.25">
      <c r="A146" s="51">
        <v>43140</v>
      </c>
      <c r="C146" s="49" t="s">
        <v>1486</v>
      </c>
      <c r="E146" s="49" t="s">
        <v>2355</v>
      </c>
      <c r="F146" s="49" t="str">
        <f>IFERROR(IF(Tabla1[[#This Row],[CONCEPTO mx]]="","",VLOOKUP(Tabla1[[#This Row],[CONCEPTO mx]],Tabla2[#All],2,0)),"")</f>
        <v>CM13</v>
      </c>
      <c r="G146" s="49" t="str">
        <f>IFERROR(IF(Tabla1[[#This Row],[CONCEPTO mx]]="","",VLOOKUP(Tabla1[[#This Row],[CONCEPTO mx]],Tabla2[#All],3,0)),"")</f>
        <v>Gestión Humana</v>
      </c>
      <c r="H146" s="49" t="s">
        <v>343</v>
      </c>
      <c r="I146" s="49" t="s">
        <v>2298</v>
      </c>
      <c r="J146" s="53" t="s">
        <v>2735</v>
      </c>
    </row>
    <row r="147" spans="1:10" x14ac:dyDescent="0.25">
      <c r="A147" s="51">
        <v>43140</v>
      </c>
      <c r="C147" s="49" t="s">
        <v>1470</v>
      </c>
      <c r="E147" s="49" t="s">
        <v>2355</v>
      </c>
      <c r="F147" s="49" t="str">
        <f>IFERROR(IF(Tabla1[[#This Row],[CONCEPTO mx]]="","",VLOOKUP(Tabla1[[#This Row],[CONCEPTO mx]],Tabla2[#All],2,0)),"")</f>
        <v>CM13</v>
      </c>
      <c r="G147" s="49" t="str">
        <f>IFERROR(IF(Tabla1[[#This Row],[CONCEPTO mx]]="","",VLOOKUP(Tabla1[[#This Row],[CONCEPTO mx]],Tabla2[#All],3,0)),"")</f>
        <v>Gestión Humana</v>
      </c>
      <c r="H147" s="49" t="s">
        <v>343</v>
      </c>
      <c r="I147" s="49" t="s">
        <v>2298</v>
      </c>
      <c r="J147" s="53" t="s">
        <v>2734</v>
      </c>
    </row>
    <row r="148" spans="1:10" x14ac:dyDescent="0.25">
      <c r="A148" s="51">
        <v>43140</v>
      </c>
      <c r="C148" s="49" t="s">
        <v>1466</v>
      </c>
      <c r="E148" s="49" t="s">
        <v>2355</v>
      </c>
      <c r="F148" s="49" t="str">
        <f>IFERROR(IF(Tabla1[[#This Row],[CONCEPTO mx]]="","",VLOOKUP(Tabla1[[#This Row],[CONCEPTO mx]],Tabla2[#All],2,0)),"")</f>
        <v>CM13</v>
      </c>
      <c r="G148" s="49" t="str">
        <f>IFERROR(IF(Tabla1[[#This Row],[CONCEPTO mx]]="","",VLOOKUP(Tabla1[[#This Row],[CONCEPTO mx]],Tabla2[#All],3,0)),"")</f>
        <v>Gestión Humana</v>
      </c>
      <c r="H148" s="49" t="s">
        <v>2391</v>
      </c>
      <c r="I148" s="49" t="s">
        <v>2298</v>
      </c>
      <c r="J148" s="53" t="s">
        <v>2353</v>
      </c>
    </row>
    <row r="149" spans="1:10" x14ac:dyDescent="0.25">
      <c r="A149" s="51">
        <v>43140</v>
      </c>
      <c r="C149" s="49" t="s">
        <v>1462</v>
      </c>
      <c r="E149" s="49" t="s">
        <v>2355</v>
      </c>
      <c r="F149" s="49" t="str">
        <f>IFERROR(IF(Tabla1[[#This Row],[CONCEPTO mx]]="","",VLOOKUP(Tabla1[[#This Row],[CONCEPTO mx]],Tabla2[#All],2,0)),"")</f>
        <v>CM13</v>
      </c>
      <c r="G149" s="49" t="str">
        <f>IFERROR(IF(Tabla1[[#This Row],[CONCEPTO mx]]="","",VLOOKUP(Tabla1[[#This Row],[CONCEPTO mx]],Tabla2[#All],3,0)),"")</f>
        <v>Gestión Humana</v>
      </c>
      <c r="H149" s="49" t="s">
        <v>334</v>
      </c>
      <c r="I149" s="49" t="s">
        <v>2298</v>
      </c>
      <c r="J149" s="53" t="s">
        <v>2725</v>
      </c>
    </row>
    <row r="150" spans="1:10" x14ac:dyDescent="0.25">
      <c r="A150" s="51">
        <v>43141</v>
      </c>
      <c r="C150" s="49" t="s">
        <v>1491</v>
      </c>
      <c r="D150" s="49" t="s">
        <v>51</v>
      </c>
      <c r="F150" s="49" t="str">
        <f>IFERROR(IF(Tabla1[[#This Row],[CONCEPTO mx]]="","",VLOOKUP(Tabla1[[#This Row],[CONCEPTO mx]],Tabla2[#All],2,0)),"")</f>
        <v/>
      </c>
      <c r="G150" s="49" t="str">
        <f>IFERROR(IF(Tabla1[[#This Row],[CONCEPTO mx]]="","",VLOOKUP(Tabla1[[#This Row],[CONCEPTO mx]],Tabla2[#All],3,0)),"")</f>
        <v/>
      </c>
      <c r="H150" s="49" t="s">
        <v>2391</v>
      </c>
      <c r="I150" s="49" t="s">
        <v>2298</v>
      </c>
      <c r="J150" s="53" t="s">
        <v>2422</v>
      </c>
    </row>
    <row r="151" spans="1:10" x14ac:dyDescent="0.25">
      <c r="A151" s="51">
        <v>43145</v>
      </c>
      <c r="C151" s="49" t="s">
        <v>1329</v>
      </c>
      <c r="D151" s="49" t="s">
        <v>17</v>
      </c>
      <c r="F151" s="49" t="str">
        <f>IFERROR(IF(Tabla1[[#This Row],[CONCEPTO mx]]="","",VLOOKUP(Tabla1[[#This Row],[CONCEPTO mx]],Tabla2[#All],2,0)),"")</f>
        <v/>
      </c>
      <c r="G151" s="49" t="str">
        <f>IFERROR(IF(Tabla1[[#This Row],[CONCEPTO mx]]="","",VLOOKUP(Tabla1[[#This Row],[CONCEPTO mx]],Tabla2[#All],3,0)),"")</f>
        <v/>
      </c>
      <c r="H151" s="49" t="s">
        <v>486</v>
      </c>
      <c r="I151" s="49" t="s">
        <v>2298</v>
      </c>
      <c r="J151" s="53" t="s">
        <v>2741</v>
      </c>
    </row>
    <row r="152" spans="1:10" x14ac:dyDescent="0.25">
      <c r="A152" s="51">
        <v>43145</v>
      </c>
      <c r="C152" s="49" t="s">
        <v>1429</v>
      </c>
      <c r="D152" s="49" t="s">
        <v>2273</v>
      </c>
      <c r="F152" s="49" t="str">
        <f>IFERROR(IF(Tabla1[[#This Row],[CONCEPTO mx]]="","",VLOOKUP(Tabla1[[#This Row],[CONCEPTO mx]],Tabla2[#All],2,0)),"")</f>
        <v/>
      </c>
      <c r="G152" s="49" t="str">
        <f>IFERROR(IF(Tabla1[[#This Row],[CONCEPTO mx]]="","",VLOOKUP(Tabla1[[#This Row],[CONCEPTO mx]],Tabla2[#All],3,0)),"")</f>
        <v/>
      </c>
      <c r="H152" s="49" t="s">
        <v>486</v>
      </c>
      <c r="I152" s="49" t="s">
        <v>2298</v>
      </c>
      <c r="J152" s="53" t="s">
        <v>2742</v>
      </c>
    </row>
    <row r="153" spans="1:10" x14ac:dyDescent="0.25">
      <c r="A153" s="51">
        <v>43146</v>
      </c>
      <c r="C153" s="49" t="s">
        <v>1494</v>
      </c>
      <c r="D153" s="49" t="s">
        <v>51</v>
      </c>
      <c r="F153" s="49" t="str">
        <f>IFERROR(IF(Tabla1[[#This Row],[CONCEPTO mx]]="","",VLOOKUP(Tabla1[[#This Row],[CONCEPTO mx]],Tabla2[#All],2,0)),"")</f>
        <v/>
      </c>
      <c r="G153" s="49" t="str">
        <f>IFERROR(IF(Tabla1[[#This Row],[CONCEPTO mx]]="","",VLOOKUP(Tabla1[[#This Row],[CONCEPTO mx]],Tabla2[#All],3,0)),"")</f>
        <v/>
      </c>
      <c r="H153" s="49" t="s">
        <v>486</v>
      </c>
      <c r="I153" s="49" t="s">
        <v>2333</v>
      </c>
      <c r="J153" s="53"/>
    </row>
    <row r="154" spans="1:10" x14ac:dyDescent="0.25">
      <c r="A154" s="51">
        <v>43146</v>
      </c>
      <c r="C154" s="49" t="s">
        <v>2023</v>
      </c>
      <c r="D154" s="49" t="s">
        <v>2273</v>
      </c>
      <c r="F154" s="49" t="str">
        <f>IFERROR(IF(Tabla1[[#This Row],[CONCEPTO mx]]="","",VLOOKUP(Tabla1[[#This Row],[CONCEPTO mx]],Tabla2[#All],2,0)),"")</f>
        <v/>
      </c>
      <c r="G154" s="49" t="str">
        <f>IFERROR(IF(Tabla1[[#This Row],[CONCEPTO mx]]="","",VLOOKUP(Tabla1[[#This Row],[CONCEPTO mx]],Tabla2[#All],3,0)),"")</f>
        <v/>
      </c>
      <c r="H154" s="49" t="s">
        <v>470</v>
      </c>
      <c r="I154" s="49" t="s">
        <v>2298</v>
      </c>
      <c r="J154" s="53" t="s">
        <v>2693</v>
      </c>
    </row>
    <row r="155" spans="1:10" x14ac:dyDescent="0.25">
      <c r="A155" s="51">
        <v>43147</v>
      </c>
      <c r="C155" s="49" t="s">
        <v>1511</v>
      </c>
      <c r="D155" s="49" t="s">
        <v>51</v>
      </c>
      <c r="F155" s="49" t="str">
        <f>IFERROR(IF(Tabla1[[#This Row],[CONCEPTO mx]]="","",VLOOKUP(Tabla1[[#This Row],[CONCEPTO mx]],Tabla2[#All],2,0)),"")</f>
        <v/>
      </c>
      <c r="G155" s="49" t="str">
        <f>IFERROR(IF(Tabla1[[#This Row],[CONCEPTO mx]]="","",VLOOKUP(Tabla1[[#This Row],[CONCEPTO mx]],Tabla2[#All],3,0)),"")</f>
        <v/>
      </c>
      <c r="H155" s="49" t="s">
        <v>2391</v>
      </c>
      <c r="I155" s="49" t="s">
        <v>2298</v>
      </c>
      <c r="J155" s="53" t="s">
        <v>2302</v>
      </c>
    </row>
    <row r="156" spans="1:10" x14ac:dyDescent="0.25">
      <c r="A156" s="51">
        <v>43147</v>
      </c>
      <c r="C156" s="49" t="s">
        <v>1450</v>
      </c>
      <c r="D156" s="49" t="s">
        <v>51</v>
      </c>
      <c r="F156" s="49" t="str">
        <f>IFERROR(IF(Tabla1[[#This Row],[CONCEPTO mx]]="","",VLOOKUP(Tabla1[[#This Row],[CONCEPTO mx]],Tabla2[#All],2,0)),"")</f>
        <v/>
      </c>
      <c r="G156" s="49" t="str">
        <f>IFERROR(IF(Tabla1[[#This Row],[CONCEPTO mx]]="","",VLOOKUP(Tabla1[[#This Row],[CONCEPTO mx]],Tabla2[#All],3,0)),"")</f>
        <v/>
      </c>
      <c r="H156" s="49" t="s">
        <v>441</v>
      </c>
      <c r="I156" s="49" t="s">
        <v>2298</v>
      </c>
      <c r="J156" s="53" t="s">
        <v>2727</v>
      </c>
    </row>
    <row r="157" spans="1:10" x14ac:dyDescent="0.25">
      <c r="A157" s="51">
        <v>43147</v>
      </c>
      <c r="C157" s="49" t="s">
        <v>1509</v>
      </c>
      <c r="D157" s="49" t="s">
        <v>80</v>
      </c>
      <c r="F157" s="49" t="str">
        <f>IFERROR(IF(Tabla1[[#This Row],[CONCEPTO mx]]="","",VLOOKUP(Tabla1[[#This Row],[CONCEPTO mx]],Tabla2[#All],2,0)),"")</f>
        <v/>
      </c>
      <c r="G157" s="49" t="str">
        <f>IFERROR(IF(Tabla1[[#This Row],[CONCEPTO mx]]="","",VLOOKUP(Tabla1[[#This Row],[CONCEPTO mx]],Tabla2[#All],3,0)),"")</f>
        <v/>
      </c>
      <c r="H157" s="49" t="s">
        <v>438</v>
      </c>
      <c r="I157" s="49" t="s">
        <v>2298</v>
      </c>
      <c r="J157" s="53" t="s">
        <v>2747</v>
      </c>
    </row>
    <row r="158" spans="1:10" x14ac:dyDescent="0.25">
      <c r="A158" s="51">
        <v>43147</v>
      </c>
      <c r="C158" s="49" t="s">
        <v>1508</v>
      </c>
      <c r="D158" s="49" t="s">
        <v>17</v>
      </c>
      <c r="F158" s="49" t="str">
        <f>IFERROR(IF(Tabla1[[#This Row],[CONCEPTO mx]]="","",VLOOKUP(Tabla1[[#This Row],[CONCEPTO mx]],Tabla2[#All],2,0)),"")</f>
        <v/>
      </c>
      <c r="G158" s="49" t="str">
        <f>IFERROR(IF(Tabla1[[#This Row],[CONCEPTO mx]]="","",VLOOKUP(Tabla1[[#This Row],[CONCEPTO mx]],Tabla2[#All],3,0)),"")</f>
        <v/>
      </c>
      <c r="H158" s="49" t="s">
        <v>438</v>
      </c>
      <c r="I158" s="49" t="s">
        <v>2298</v>
      </c>
      <c r="J158" s="53" t="s">
        <v>2746</v>
      </c>
    </row>
    <row r="159" spans="1:10" x14ac:dyDescent="0.25">
      <c r="A159" s="51">
        <v>43147</v>
      </c>
      <c r="C159" s="49" t="s">
        <v>1512</v>
      </c>
      <c r="D159" s="49" t="s">
        <v>51</v>
      </c>
      <c r="F159" s="49" t="str">
        <f>IFERROR(IF(Tabla1[[#This Row],[CONCEPTO mx]]="","",VLOOKUP(Tabla1[[#This Row],[CONCEPTO mx]],Tabla2[#All],2,0)),"")</f>
        <v/>
      </c>
      <c r="G159" s="49" t="str">
        <f>IFERROR(IF(Tabla1[[#This Row],[CONCEPTO mx]]="","",VLOOKUP(Tabla1[[#This Row],[CONCEPTO mx]],Tabla2[#All],3,0)),"")</f>
        <v/>
      </c>
      <c r="H159" s="49" t="s">
        <v>438</v>
      </c>
      <c r="I159" s="49" t="s">
        <v>2298</v>
      </c>
      <c r="J159" s="53" t="s">
        <v>2679</v>
      </c>
    </row>
    <row r="160" spans="1:10" x14ac:dyDescent="0.25">
      <c r="A160" s="51">
        <v>43147</v>
      </c>
      <c r="C160" s="49" t="s">
        <v>1507</v>
      </c>
      <c r="D160" s="49" t="s">
        <v>17</v>
      </c>
      <c r="F160" s="49" t="str">
        <f>IFERROR(IF(Tabla1[[#This Row],[CONCEPTO mx]]="","",VLOOKUP(Tabla1[[#This Row],[CONCEPTO mx]],Tabla2[#All],2,0)),"")</f>
        <v/>
      </c>
      <c r="G160" s="49" t="str">
        <f>IFERROR(IF(Tabla1[[#This Row],[CONCEPTO mx]]="","",VLOOKUP(Tabla1[[#This Row],[CONCEPTO mx]],Tabla2[#All],3,0)),"")</f>
        <v/>
      </c>
      <c r="H160" s="49" t="s">
        <v>438</v>
      </c>
      <c r="I160" s="49" t="s">
        <v>2298</v>
      </c>
      <c r="J160" s="53" t="s">
        <v>2735</v>
      </c>
    </row>
    <row r="161" spans="1:10" x14ac:dyDescent="0.25">
      <c r="A161" s="51">
        <v>43147</v>
      </c>
      <c r="C161" s="49" t="s">
        <v>1523</v>
      </c>
      <c r="E161" s="49" t="s">
        <v>2355</v>
      </c>
      <c r="F161" s="49" t="str">
        <f>IFERROR(IF(Tabla1[[#This Row],[CONCEPTO mx]]="","",VLOOKUP(Tabla1[[#This Row],[CONCEPTO mx]],Tabla2[#All],2,0)),"")</f>
        <v>CM13</v>
      </c>
      <c r="G161" s="49" t="str">
        <f>IFERROR(IF(Tabla1[[#This Row],[CONCEPTO mx]]="","",VLOOKUP(Tabla1[[#This Row],[CONCEPTO mx]],Tabla2[#All],3,0)),"")</f>
        <v>Gestión Humana</v>
      </c>
      <c r="H161" s="49" t="s">
        <v>441</v>
      </c>
      <c r="I161" s="49" t="s">
        <v>2298</v>
      </c>
      <c r="J161" s="53" t="s">
        <v>2679</v>
      </c>
    </row>
    <row r="162" spans="1:10" x14ac:dyDescent="0.25">
      <c r="A162" s="51">
        <v>43147</v>
      </c>
      <c r="C162" s="49" t="s">
        <v>1441</v>
      </c>
      <c r="D162" s="49" t="s">
        <v>680</v>
      </c>
      <c r="F162" s="49" t="str">
        <f>IFERROR(IF(Tabla1[[#This Row],[CONCEPTO mx]]="","",VLOOKUP(Tabla1[[#This Row],[CONCEPTO mx]],Tabla2[#All],2,0)),"")</f>
        <v/>
      </c>
      <c r="G162" s="49" t="str">
        <f>IFERROR(IF(Tabla1[[#This Row],[CONCEPTO mx]]="","",VLOOKUP(Tabla1[[#This Row],[CONCEPTO mx]],Tabla2[#All],3,0)),"")</f>
        <v/>
      </c>
      <c r="H162" s="49" t="s">
        <v>343</v>
      </c>
      <c r="I162" s="49" t="s">
        <v>2298</v>
      </c>
      <c r="J162" s="53" t="s">
        <v>2749</v>
      </c>
    </row>
    <row r="163" spans="1:10" x14ac:dyDescent="0.25">
      <c r="A163" s="51">
        <v>43147</v>
      </c>
      <c r="C163" s="49" t="s">
        <v>1497</v>
      </c>
      <c r="D163" s="49" t="s">
        <v>1498</v>
      </c>
      <c r="F163" s="49" t="str">
        <f>IFERROR(IF(Tabla1[[#This Row],[CONCEPTO mx]]="","",VLOOKUP(Tabla1[[#This Row],[CONCEPTO mx]],Tabla2[#All],2,0)),"")</f>
        <v/>
      </c>
      <c r="G163" s="49" t="str">
        <f>IFERROR(IF(Tabla1[[#This Row],[CONCEPTO mx]]="","",VLOOKUP(Tabla1[[#This Row],[CONCEPTO mx]],Tabla2[#All],3,0)),"")</f>
        <v/>
      </c>
      <c r="H163" s="49" t="s">
        <v>438</v>
      </c>
      <c r="I163" s="49" t="s">
        <v>2298</v>
      </c>
      <c r="J163" s="53" t="s">
        <v>2743</v>
      </c>
    </row>
    <row r="164" spans="1:10" x14ac:dyDescent="0.25">
      <c r="A164" s="51">
        <v>43147</v>
      </c>
      <c r="C164" s="49" t="s">
        <v>1504</v>
      </c>
      <c r="D164" s="49" t="s">
        <v>80</v>
      </c>
      <c r="F164" s="49" t="str">
        <f>IFERROR(IF(Tabla1[[#This Row],[CONCEPTO mx]]="","",VLOOKUP(Tabla1[[#This Row],[CONCEPTO mx]],Tabla2[#All],2,0)),"")</f>
        <v/>
      </c>
      <c r="G164" s="49" t="str">
        <f>IFERROR(IF(Tabla1[[#This Row],[CONCEPTO mx]]="","",VLOOKUP(Tabla1[[#This Row],[CONCEPTO mx]],Tabla2[#All],3,0)),"")</f>
        <v/>
      </c>
      <c r="H164" s="49" t="s">
        <v>516</v>
      </c>
      <c r="I164" s="49" t="s">
        <v>2298</v>
      </c>
      <c r="J164" s="53" t="s">
        <v>2694</v>
      </c>
    </row>
    <row r="165" spans="1:10" x14ac:dyDescent="0.25">
      <c r="A165" s="51">
        <v>43147</v>
      </c>
      <c r="C165" s="49" t="s">
        <v>1499</v>
      </c>
      <c r="D165" s="49" t="s">
        <v>17</v>
      </c>
      <c r="F165" s="49" t="str">
        <f>IFERROR(IF(Tabla1[[#This Row],[CONCEPTO mx]]="","",VLOOKUP(Tabla1[[#This Row],[CONCEPTO mx]],Tabla2[#All],2,0)),"")</f>
        <v/>
      </c>
      <c r="G165" s="49" t="str">
        <f>IFERROR(IF(Tabla1[[#This Row],[CONCEPTO mx]]="","",VLOOKUP(Tabla1[[#This Row],[CONCEPTO mx]],Tabla2[#All],3,0)),"")</f>
        <v/>
      </c>
      <c r="H165" s="49" t="s">
        <v>357</v>
      </c>
      <c r="I165" s="49" t="s">
        <v>2298</v>
      </c>
      <c r="J165" s="53" t="s">
        <v>2744</v>
      </c>
    </row>
    <row r="166" spans="1:10" x14ac:dyDescent="0.25">
      <c r="A166" s="51">
        <v>43147</v>
      </c>
      <c r="C166" s="49" t="s">
        <v>1516</v>
      </c>
      <c r="D166" s="49" t="s">
        <v>1517</v>
      </c>
      <c r="F166" s="49" t="str">
        <f>IFERROR(IF(Tabla1[[#This Row],[CONCEPTO mx]]="","",VLOOKUP(Tabla1[[#This Row],[CONCEPTO mx]],Tabla2[#All],2,0)),"")</f>
        <v/>
      </c>
      <c r="G166" s="49" t="str">
        <f>IFERROR(IF(Tabla1[[#This Row],[CONCEPTO mx]]="","",VLOOKUP(Tabla1[[#This Row],[CONCEPTO mx]],Tabla2[#All],3,0)),"")</f>
        <v/>
      </c>
      <c r="H166" s="49" t="s">
        <v>406</v>
      </c>
      <c r="I166" s="49" t="s">
        <v>2298</v>
      </c>
      <c r="J166" s="53" t="s">
        <v>2302</v>
      </c>
    </row>
    <row r="167" spans="1:10" x14ac:dyDescent="0.25">
      <c r="A167" s="51">
        <v>43147</v>
      </c>
      <c r="C167" s="49" t="s">
        <v>1502</v>
      </c>
      <c r="D167" s="49" t="s">
        <v>1503</v>
      </c>
      <c r="F167" s="49" t="str">
        <f>IFERROR(IF(Tabla1[[#This Row],[CONCEPTO mx]]="","",VLOOKUP(Tabla1[[#This Row],[CONCEPTO mx]],Tabla2[#All],2,0)),"")</f>
        <v/>
      </c>
      <c r="G167" s="49" t="str">
        <f>IFERROR(IF(Tabla1[[#This Row],[CONCEPTO mx]]="","",VLOOKUP(Tabla1[[#This Row],[CONCEPTO mx]],Tabla2[#All],3,0)),"")</f>
        <v/>
      </c>
      <c r="H167" s="49" t="s">
        <v>516</v>
      </c>
      <c r="I167" s="49" t="s">
        <v>2298</v>
      </c>
      <c r="J167" s="53" t="s">
        <v>2694</v>
      </c>
    </row>
    <row r="168" spans="1:10" x14ac:dyDescent="0.25">
      <c r="A168" s="51">
        <v>43147</v>
      </c>
      <c r="C168" s="49" t="s">
        <v>1519</v>
      </c>
      <c r="D168" s="49" t="s">
        <v>51</v>
      </c>
      <c r="F168" s="49" t="str">
        <f>IFERROR(IF(Tabla1[[#This Row],[CONCEPTO mx]]="","",VLOOKUP(Tabla1[[#This Row],[CONCEPTO mx]],Tabla2[#All],2,0)),"")</f>
        <v/>
      </c>
      <c r="G168" s="49" t="str">
        <f>IFERROR(IF(Tabla1[[#This Row],[CONCEPTO mx]]="","",VLOOKUP(Tabla1[[#This Row],[CONCEPTO mx]],Tabla2[#All],3,0)),"")</f>
        <v/>
      </c>
      <c r="H168" s="49" t="s">
        <v>406</v>
      </c>
      <c r="I168" s="49" t="s">
        <v>2298</v>
      </c>
      <c r="J168" s="53" t="s">
        <v>2750</v>
      </c>
    </row>
    <row r="169" spans="1:10" x14ac:dyDescent="0.25">
      <c r="A169" s="51">
        <v>43147</v>
      </c>
      <c r="C169" s="49" t="s">
        <v>1515</v>
      </c>
      <c r="D169" s="49" t="s">
        <v>241</v>
      </c>
      <c r="F169" s="49" t="str">
        <f>IFERROR(IF(Tabla1[[#This Row],[CONCEPTO mx]]="","",VLOOKUP(Tabla1[[#This Row],[CONCEPTO mx]],Tabla2[#All],2,0)),"")</f>
        <v/>
      </c>
      <c r="G169" s="49" t="str">
        <f>IFERROR(IF(Tabla1[[#This Row],[CONCEPTO mx]]="","",VLOOKUP(Tabla1[[#This Row],[CONCEPTO mx]],Tabla2[#All],3,0)),"")</f>
        <v/>
      </c>
      <c r="H169" s="49" t="s">
        <v>550</v>
      </c>
      <c r="I169" s="49" t="s">
        <v>2298</v>
      </c>
      <c r="J169" s="53" t="s">
        <v>2353</v>
      </c>
    </row>
    <row r="170" spans="1:10" x14ac:dyDescent="0.25">
      <c r="A170" s="51">
        <v>43147</v>
      </c>
      <c r="C170" s="49" t="s">
        <v>1505</v>
      </c>
      <c r="D170" s="49" t="s">
        <v>1506</v>
      </c>
      <c r="F170" s="49" t="str">
        <f>IFERROR(IF(Tabla1[[#This Row],[CONCEPTO mx]]="","",VLOOKUP(Tabla1[[#This Row],[CONCEPTO mx]],Tabla2[#All],2,0)),"")</f>
        <v/>
      </c>
      <c r="G170" s="49" t="str">
        <f>IFERROR(IF(Tabla1[[#This Row],[CONCEPTO mx]]="","",VLOOKUP(Tabla1[[#This Row],[CONCEPTO mx]],Tabla2[#All],3,0)),"")</f>
        <v/>
      </c>
      <c r="H170" s="49" t="s">
        <v>438</v>
      </c>
      <c r="I170" s="49" t="s">
        <v>2298</v>
      </c>
      <c r="J170" s="53" t="s">
        <v>2694</v>
      </c>
    </row>
    <row r="171" spans="1:10" x14ac:dyDescent="0.25">
      <c r="A171" s="51">
        <v>43147</v>
      </c>
      <c r="C171" s="49" t="s">
        <v>1522</v>
      </c>
      <c r="D171" s="49" t="s">
        <v>51</v>
      </c>
      <c r="F171" s="49" t="str">
        <f>IFERROR(IF(Tabla1[[#This Row],[CONCEPTO mx]]="","",VLOOKUP(Tabla1[[#This Row],[CONCEPTO mx]],Tabla2[#All],2,0)),"")</f>
        <v/>
      </c>
      <c r="G171" s="49" t="str">
        <f>IFERROR(IF(Tabla1[[#This Row],[CONCEPTO mx]]="","",VLOOKUP(Tabla1[[#This Row],[CONCEPTO mx]],Tabla2[#All],3,0)),"")</f>
        <v/>
      </c>
      <c r="H171" s="49" t="s">
        <v>406</v>
      </c>
      <c r="I171" s="49" t="s">
        <v>2298</v>
      </c>
      <c r="J171" s="53" t="s">
        <v>2679</v>
      </c>
    </row>
    <row r="172" spans="1:10" x14ac:dyDescent="0.25">
      <c r="A172" s="51">
        <v>43147</v>
      </c>
      <c r="C172" s="49" t="s">
        <v>1500</v>
      </c>
      <c r="D172" s="49" t="s">
        <v>19</v>
      </c>
      <c r="F172" s="49" t="str">
        <f>IFERROR(IF(Tabla1[[#This Row],[CONCEPTO mx]]="","",VLOOKUP(Tabla1[[#This Row],[CONCEPTO mx]],Tabla2[#All],2,0)),"")</f>
        <v/>
      </c>
      <c r="G172" s="49" t="str">
        <f>IFERROR(IF(Tabla1[[#This Row],[CONCEPTO mx]]="","",VLOOKUP(Tabla1[[#This Row],[CONCEPTO mx]],Tabla2[#All],3,0)),"")</f>
        <v/>
      </c>
      <c r="H172" s="49" t="s">
        <v>516</v>
      </c>
      <c r="I172" s="49" t="s">
        <v>2298</v>
      </c>
      <c r="J172" s="53" t="s">
        <v>2745</v>
      </c>
    </row>
    <row r="173" spans="1:10" x14ac:dyDescent="0.25">
      <c r="A173" s="51">
        <v>43147</v>
      </c>
      <c r="C173" s="49" t="s">
        <v>1524</v>
      </c>
      <c r="D173" s="49" t="s">
        <v>241</v>
      </c>
      <c r="F173" s="49" t="str">
        <f>IFERROR(IF(Tabla1[[#This Row],[CONCEPTO mx]]="","",VLOOKUP(Tabla1[[#This Row],[CONCEPTO mx]],Tabla2[#All],2,0)),"")</f>
        <v/>
      </c>
      <c r="G173" s="49" t="str">
        <f>IFERROR(IF(Tabla1[[#This Row],[CONCEPTO mx]]="","",VLOOKUP(Tabla1[[#This Row],[CONCEPTO mx]],Tabla2[#All],3,0)),"")</f>
        <v/>
      </c>
      <c r="H173" s="49" t="s">
        <v>388</v>
      </c>
      <c r="I173" s="49" t="s">
        <v>2298</v>
      </c>
      <c r="J173" s="53" t="s">
        <v>2679</v>
      </c>
    </row>
    <row r="174" spans="1:10" x14ac:dyDescent="0.25">
      <c r="A174" s="51">
        <v>43147</v>
      </c>
      <c r="C174" s="49" t="s">
        <v>1513</v>
      </c>
      <c r="D174" s="49" t="s">
        <v>51</v>
      </c>
      <c r="F174" s="49" t="str">
        <f>IFERROR(IF(Tabla1[[#This Row],[CONCEPTO mx]]="","",VLOOKUP(Tabla1[[#This Row],[CONCEPTO mx]],Tabla2[#All],2,0)),"")</f>
        <v/>
      </c>
      <c r="G174" s="49" t="str">
        <f>IFERROR(IF(Tabla1[[#This Row],[CONCEPTO mx]]="","",VLOOKUP(Tabla1[[#This Row],[CONCEPTO mx]],Tabla2[#All],3,0)),"")</f>
        <v/>
      </c>
      <c r="H174" s="49" t="s">
        <v>352</v>
      </c>
      <c r="I174" s="49" t="s">
        <v>2298</v>
      </c>
      <c r="J174" s="53" t="s">
        <v>2748</v>
      </c>
    </row>
    <row r="175" spans="1:10" x14ac:dyDescent="0.25">
      <c r="A175" s="51">
        <v>43147</v>
      </c>
      <c r="C175" s="49" t="s">
        <v>1520</v>
      </c>
      <c r="D175" s="49" t="s">
        <v>2273</v>
      </c>
      <c r="F175" s="49" t="str">
        <f>IFERROR(IF(Tabla1[[#This Row],[CONCEPTO mx]]="","",VLOOKUP(Tabla1[[#This Row],[CONCEPTO mx]],Tabla2[#All],2,0)),"")</f>
        <v/>
      </c>
      <c r="G175" s="49" t="str">
        <f>IFERROR(IF(Tabla1[[#This Row],[CONCEPTO mx]]="","",VLOOKUP(Tabla1[[#This Row],[CONCEPTO mx]],Tabla2[#All],3,0)),"")</f>
        <v/>
      </c>
      <c r="H175" s="49" t="s">
        <v>334</v>
      </c>
      <c r="I175" s="49" t="s">
        <v>2298</v>
      </c>
      <c r="J175" s="53" t="s">
        <v>2751</v>
      </c>
    </row>
    <row r="176" spans="1:10" x14ac:dyDescent="0.25">
      <c r="A176" s="51">
        <v>43150</v>
      </c>
      <c r="C176" s="49" t="s">
        <v>1526</v>
      </c>
      <c r="D176" s="49" t="s">
        <v>2273</v>
      </c>
      <c r="F176" s="49" t="str">
        <f>IFERROR(IF(Tabla1[[#This Row],[CONCEPTO mx]]="","",VLOOKUP(Tabla1[[#This Row],[CONCEPTO mx]],Tabla2[#All],2,0)),"")</f>
        <v/>
      </c>
      <c r="G176" s="49" t="str">
        <f>IFERROR(IF(Tabla1[[#This Row],[CONCEPTO mx]]="","",VLOOKUP(Tabla1[[#This Row],[CONCEPTO mx]],Tabla2[#All],3,0)),"")</f>
        <v/>
      </c>
      <c r="H176" s="49" t="s">
        <v>343</v>
      </c>
      <c r="I176" s="49" t="s">
        <v>2298</v>
      </c>
      <c r="J176" s="53" t="s">
        <v>2677</v>
      </c>
    </row>
    <row r="177" spans="1:11" x14ac:dyDescent="0.25">
      <c r="A177" s="51">
        <v>43150</v>
      </c>
      <c r="C177" s="49" t="s">
        <v>1527</v>
      </c>
      <c r="D177" s="49" t="s">
        <v>80</v>
      </c>
      <c r="F177" s="49" t="str">
        <f>IFERROR(IF(Tabla1[[#This Row],[CONCEPTO mx]]="","",VLOOKUP(Tabla1[[#This Row],[CONCEPTO mx]],Tabla2[#All],2,0)),"")</f>
        <v/>
      </c>
      <c r="G177" s="49" t="str">
        <f>IFERROR(IF(Tabla1[[#This Row],[CONCEPTO mx]]="","",VLOOKUP(Tabla1[[#This Row],[CONCEPTO mx]],Tabla2[#All],3,0)),"")</f>
        <v/>
      </c>
      <c r="H177" s="49" t="s">
        <v>2391</v>
      </c>
      <c r="I177" s="49" t="s">
        <v>2330</v>
      </c>
      <c r="J177" s="53"/>
    </row>
    <row r="178" spans="1:11" x14ac:dyDescent="0.25">
      <c r="A178" s="51">
        <v>43150</v>
      </c>
      <c r="C178" s="49" t="s">
        <v>1525</v>
      </c>
      <c r="D178" s="49" t="s">
        <v>51</v>
      </c>
      <c r="F178" s="49" t="str">
        <f>IFERROR(IF(Tabla1[[#This Row],[CONCEPTO mx]]="","",VLOOKUP(Tabla1[[#This Row],[CONCEPTO mx]],Tabla2[#All],2,0)),"")</f>
        <v/>
      </c>
      <c r="G178" s="49" t="str">
        <f>IFERROR(IF(Tabla1[[#This Row],[CONCEPTO mx]]="","",VLOOKUP(Tabla1[[#This Row],[CONCEPTO mx]],Tabla2[#All],3,0)),"")</f>
        <v/>
      </c>
      <c r="H178" s="49" t="s">
        <v>387</v>
      </c>
      <c r="I178" s="49" t="s">
        <v>2298</v>
      </c>
      <c r="J178" s="53" t="s">
        <v>2319</v>
      </c>
    </row>
    <row r="179" spans="1:11" x14ac:dyDescent="0.25">
      <c r="A179" s="51">
        <v>43150</v>
      </c>
      <c r="C179" s="49" t="s">
        <v>1529</v>
      </c>
      <c r="D179" s="49" t="s">
        <v>51</v>
      </c>
      <c r="F179" s="49" t="str">
        <f>IFERROR(IF(Tabla1[[#This Row],[CONCEPTO mx]]="","",VLOOKUP(Tabla1[[#This Row],[CONCEPTO mx]],Tabla2[#All],2,0)),"")</f>
        <v/>
      </c>
      <c r="G179" s="49" t="str">
        <f>IFERROR(IF(Tabla1[[#This Row],[CONCEPTO mx]]="","",VLOOKUP(Tabla1[[#This Row],[CONCEPTO mx]],Tabla2[#All],3,0)),"")</f>
        <v/>
      </c>
      <c r="H179" s="49" t="s">
        <v>357</v>
      </c>
      <c r="I179" s="49" t="s">
        <v>2298</v>
      </c>
      <c r="J179" s="53" t="s">
        <v>2710</v>
      </c>
    </row>
    <row r="180" spans="1:11" x14ac:dyDescent="0.25">
      <c r="A180" s="51">
        <v>43150</v>
      </c>
      <c r="C180" s="49" t="s">
        <v>1530</v>
      </c>
      <c r="D180" s="49" t="s">
        <v>51</v>
      </c>
      <c r="F180" s="49" t="str">
        <f>IFERROR(IF(Tabla1[[#This Row],[CONCEPTO mx]]="","",VLOOKUP(Tabla1[[#This Row],[CONCEPTO mx]],Tabla2[#All],2,0)),"")</f>
        <v/>
      </c>
      <c r="G180" s="49" t="str">
        <f>IFERROR(IF(Tabla1[[#This Row],[CONCEPTO mx]]="","",VLOOKUP(Tabla1[[#This Row],[CONCEPTO mx]],Tabla2[#All],3,0)),"")</f>
        <v/>
      </c>
      <c r="H180" s="49" t="s">
        <v>387</v>
      </c>
      <c r="I180" s="49" t="s">
        <v>2337</v>
      </c>
      <c r="J180" s="53"/>
    </row>
    <row r="181" spans="1:11" x14ac:dyDescent="0.25">
      <c r="A181" s="51">
        <v>43150</v>
      </c>
      <c r="C181" s="49" t="s">
        <v>1470</v>
      </c>
      <c r="D181" s="49" t="s">
        <v>2273</v>
      </c>
      <c r="F181" s="49" t="str">
        <f>IFERROR(IF(Tabla1[[#This Row],[CONCEPTO mx]]="","",VLOOKUP(Tabla1[[#This Row],[CONCEPTO mx]],Tabla2[#All],2,0)),"")</f>
        <v/>
      </c>
      <c r="G181" s="49" t="str">
        <f>IFERROR(IF(Tabla1[[#This Row],[CONCEPTO mx]]="","",VLOOKUP(Tabla1[[#This Row],[CONCEPTO mx]],Tabla2[#All],3,0)),"")</f>
        <v/>
      </c>
      <c r="H181" s="49" t="s">
        <v>343</v>
      </c>
      <c r="I181" s="49" t="s">
        <v>2298</v>
      </c>
      <c r="J181" s="53" t="s">
        <v>2734</v>
      </c>
    </row>
    <row r="182" spans="1:11" x14ac:dyDescent="0.25">
      <c r="A182" s="51">
        <v>43150</v>
      </c>
      <c r="C182" s="49" t="s">
        <v>1462</v>
      </c>
      <c r="D182" s="49" t="s">
        <v>51</v>
      </c>
      <c r="F182" s="49" t="str">
        <f>IFERROR(IF(Tabla1[[#This Row],[CONCEPTO mx]]="","",VLOOKUP(Tabla1[[#This Row],[CONCEPTO mx]],Tabla2[#All],2,0)),"")</f>
        <v/>
      </c>
      <c r="G182" s="49" t="str">
        <f>IFERROR(IF(Tabla1[[#This Row],[CONCEPTO mx]]="","",VLOOKUP(Tabla1[[#This Row],[CONCEPTO mx]],Tabla2[#All],3,0)),"")</f>
        <v/>
      </c>
      <c r="H182" s="49" t="s">
        <v>334</v>
      </c>
      <c r="I182" s="49" t="s">
        <v>2298</v>
      </c>
      <c r="J182" s="53" t="s">
        <v>2752</v>
      </c>
    </row>
    <row r="183" spans="1:11" x14ac:dyDescent="0.25">
      <c r="A183" s="51">
        <v>43151</v>
      </c>
      <c r="C183" s="49" t="s">
        <v>1538</v>
      </c>
      <c r="D183" s="49" t="s">
        <v>2273</v>
      </c>
      <c r="F183" s="49" t="str">
        <f>IFERROR(IF(Tabla1[[#This Row],[CONCEPTO mx]]="","",VLOOKUP(Tabla1[[#This Row],[CONCEPTO mx]],Tabla2[#All],2,0)),"")</f>
        <v/>
      </c>
      <c r="G183" s="49" t="str">
        <f>IFERROR(IF(Tabla1[[#This Row],[CONCEPTO mx]]="","",VLOOKUP(Tabla1[[#This Row],[CONCEPTO mx]],Tabla2[#All],3,0)),"")</f>
        <v/>
      </c>
      <c r="H183" s="49" t="s">
        <v>352</v>
      </c>
      <c r="I183" s="49" t="s">
        <v>2298</v>
      </c>
      <c r="J183" s="53" t="s">
        <v>2720</v>
      </c>
      <c r="K183" s="51">
        <v>43138</v>
      </c>
    </row>
    <row r="184" spans="1:11" x14ac:dyDescent="0.25">
      <c r="A184" s="51">
        <v>43151</v>
      </c>
      <c r="C184" s="49" t="s">
        <v>1532</v>
      </c>
      <c r="D184" s="49" t="s">
        <v>1533</v>
      </c>
      <c r="F184" s="49" t="str">
        <f>IFERROR(IF(Tabla1[[#This Row],[CONCEPTO mx]]="","",VLOOKUP(Tabla1[[#This Row],[CONCEPTO mx]],Tabla2[#All],2,0)),"")</f>
        <v/>
      </c>
      <c r="G184" s="49" t="str">
        <f>IFERROR(IF(Tabla1[[#This Row],[CONCEPTO mx]]="","",VLOOKUP(Tabla1[[#This Row],[CONCEPTO mx]],Tabla2[#All],3,0)),"")</f>
        <v/>
      </c>
      <c r="H184" s="49" t="s">
        <v>516</v>
      </c>
      <c r="I184" s="49" t="s">
        <v>2298</v>
      </c>
      <c r="J184" s="53" t="s">
        <v>2694</v>
      </c>
    </row>
    <row r="185" spans="1:11" x14ac:dyDescent="0.25">
      <c r="A185" s="51">
        <v>43151</v>
      </c>
      <c r="C185" s="49" t="s">
        <v>1536</v>
      </c>
      <c r="D185" s="49" t="s">
        <v>51</v>
      </c>
      <c r="F185" s="49" t="str">
        <f>IFERROR(IF(Tabla1[[#This Row],[CONCEPTO mx]]="","",VLOOKUP(Tabla1[[#This Row],[CONCEPTO mx]],Tabla2[#All],2,0)),"")</f>
        <v/>
      </c>
      <c r="G185" s="49" t="str">
        <f>IFERROR(IF(Tabla1[[#This Row],[CONCEPTO mx]]="","",VLOOKUP(Tabla1[[#This Row],[CONCEPTO mx]],Tabla2[#All],3,0)),"")</f>
        <v/>
      </c>
      <c r="H185" s="49" t="s">
        <v>387</v>
      </c>
      <c r="I185" s="49" t="s">
        <v>2298</v>
      </c>
      <c r="J185" s="53" t="s">
        <v>2753</v>
      </c>
    </row>
    <row r="186" spans="1:11" x14ac:dyDescent="0.25">
      <c r="A186" s="51">
        <v>43151</v>
      </c>
      <c r="C186" s="49" t="s">
        <v>1539</v>
      </c>
      <c r="D186" s="49" t="s">
        <v>899</v>
      </c>
      <c r="F186" s="49" t="str">
        <f>IFERROR(IF(Tabla1[[#This Row],[CONCEPTO mx]]="","",VLOOKUP(Tabla1[[#This Row],[CONCEPTO mx]],Tabla2[#All],2,0)),"")</f>
        <v/>
      </c>
      <c r="G186" s="49" t="str">
        <f>IFERROR(IF(Tabla1[[#This Row],[CONCEPTO mx]]="","",VLOOKUP(Tabla1[[#This Row],[CONCEPTO mx]],Tabla2[#All],3,0)),"")</f>
        <v/>
      </c>
      <c r="H186" s="49" t="s">
        <v>387</v>
      </c>
      <c r="I186" s="49" t="s">
        <v>2298</v>
      </c>
      <c r="J186" s="53" t="s">
        <v>2688</v>
      </c>
    </row>
    <row r="187" spans="1:11" x14ac:dyDescent="0.25">
      <c r="A187" s="51">
        <v>43151</v>
      </c>
      <c r="C187" s="49" t="s">
        <v>1534</v>
      </c>
      <c r="E187" s="49" t="s">
        <v>2355</v>
      </c>
      <c r="F187" s="49" t="str">
        <f>IFERROR(IF(Tabla1[[#This Row],[CONCEPTO mx]]="","",VLOOKUP(Tabla1[[#This Row],[CONCEPTO mx]],Tabla2[#All],2,0)),"")</f>
        <v>CM13</v>
      </c>
      <c r="G187" s="49" t="str">
        <f>IFERROR(IF(Tabla1[[#This Row],[CONCEPTO mx]]="","",VLOOKUP(Tabla1[[#This Row],[CONCEPTO mx]],Tabla2[#All],3,0)),"")</f>
        <v>Gestión Humana</v>
      </c>
      <c r="H187" s="49" t="s">
        <v>550</v>
      </c>
      <c r="I187" s="49" t="s">
        <v>2298</v>
      </c>
      <c r="J187" s="53" t="s">
        <v>2302</v>
      </c>
    </row>
    <row r="188" spans="1:11" x14ac:dyDescent="0.25">
      <c r="A188" s="51">
        <v>43151</v>
      </c>
      <c r="C188" s="49" t="s">
        <v>1535</v>
      </c>
      <c r="D188" s="49" t="s">
        <v>1108</v>
      </c>
      <c r="F188" s="49" t="str">
        <f>IFERROR(IF(Tabla1[[#This Row],[CONCEPTO mx]]="","",VLOOKUP(Tabla1[[#This Row],[CONCEPTO mx]],Tabla2[#All],2,0)),"")</f>
        <v/>
      </c>
      <c r="G188" s="49" t="str">
        <f>IFERROR(IF(Tabla1[[#This Row],[CONCEPTO mx]]="","",VLOOKUP(Tabla1[[#This Row],[CONCEPTO mx]],Tabla2[#All],3,0)),"")</f>
        <v/>
      </c>
      <c r="H188" s="49" t="s">
        <v>470</v>
      </c>
      <c r="I188" s="49" t="s">
        <v>2298</v>
      </c>
      <c r="J188" s="53" t="s">
        <v>2319</v>
      </c>
    </row>
    <row r="189" spans="1:11" x14ac:dyDescent="0.25">
      <c r="A189" s="51">
        <v>43152</v>
      </c>
      <c r="C189" s="49" t="s">
        <v>1555</v>
      </c>
      <c r="D189" s="49" t="s">
        <v>51</v>
      </c>
      <c r="F189" s="49" t="str">
        <f>IFERROR(IF(Tabla1[[#This Row],[CONCEPTO mx]]="","",VLOOKUP(Tabla1[[#This Row],[CONCEPTO mx]],Tabla2[#All],2,0)),"")</f>
        <v/>
      </c>
      <c r="G189" s="49" t="str">
        <f>IFERROR(IF(Tabla1[[#This Row],[CONCEPTO mx]]="","",VLOOKUP(Tabla1[[#This Row],[CONCEPTO mx]],Tabla2[#All],3,0)),"")</f>
        <v/>
      </c>
      <c r="H189" s="49" t="s">
        <v>357</v>
      </c>
      <c r="I189" s="49" t="s">
        <v>2298</v>
      </c>
      <c r="J189" s="53" t="s">
        <v>2759</v>
      </c>
    </row>
    <row r="190" spans="1:11" x14ac:dyDescent="0.25">
      <c r="A190" s="51">
        <v>43152</v>
      </c>
      <c r="C190" s="49" t="s">
        <v>1544</v>
      </c>
      <c r="D190" s="49" t="s">
        <v>2273</v>
      </c>
      <c r="F190" s="49" t="str">
        <f>IFERROR(IF(Tabla1[[#This Row],[CONCEPTO mx]]="","",VLOOKUP(Tabla1[[#This Row],[CONCEPTO mx]],Tabla2[#All],2,0)),"")</f>
        <v/>
      </c>
      <c r="G190" s="49" t="str">
        <f>IFERROR(IF(Tabla1[[#This Row],[CONCEPTO mx]]="","",VLOOKUP(Tabla1[[#This Row],[CONCEPTO mx]],Tabla2[#All],3,0)),"")</f>
        <v/>
      </c>
      <c r="H190" s="49" t="s">
        <v>352</v>
      </c>
      <c r="I190" s="49" t="s">
        <v>2298</v>
      </c>
      <c r="J190" s="53" t="s">
        <v>2754</v>
      </c>
    </row>
    <row r="191" spans="1:11" x14ac:dyDescent="0.25">
      <c r="A191" s="51">
        <v>43152</v>
      </c>
      <c r="C191" s="49" t="s">
        <v>1550</v>
      </c>
      <c r="D191" s="49" t="s">
        <v>17</v>
      </c>
      <c r="F191" s="49" t="str">
        <f>IFERROR(IF(Tabla1[[#This Row],[CONCEPTO mx]]="","",VLOOKUP(Tabla1[[#This Row],[CONCEPTO mx]],Tabla2[#All],2,0)),"")</f>
        <v/>
      </c>
      <c r="G191" s="49" t="str">
        <f>IFERROR(IF(Tabla1[[#This Row],[CONCEPTO mx]]="","",VLOOKUP(Tabla1[[#This Row],[CONCEPTO mx]],Tabla2[#All],3,0)),"")</f>
        <v/>
      </c>
      <c r="H191" s="49" t="s">
        <v>438</v>
      </c>
      <c r="I191" s="49" t="s">
        <v>2298</v>
      </c>
      <c r="J191" s="53" t="s">
        <v>2757</v>
      </c>
    </row>
    <row r="192" spans="1:11" x14ac:dyDescent="0.25">
      <c r="A192" s="51">
        <v>43152</v>
      </c>
      <c r="C192" s="49" t="s">
        <v>1554</v>
      </c>
      <c r="D192" s="49" t="s">
        <v>51</v>
      </c>
      <c r="F192" s="49" t="str">
        <f>IFERROR(IF(Tabla1[[#This Row],[CONCEPTO mx]]="","",VLOOKUP(Tabla1[[#This Row],[CONCEPTO mx]],Tabla2[#All],2,0)),"")</f>
        <v/>
      </c>
      <c r="G192" s="49" t="str">
        <f>IFERROR(IF(Tabla1[[#This Row],[CONCEPTO mx]]="","",VLOOKUP(Tabla1[[#This Row],[CONCEPTO mx]],Tabla2[#All],3,0)),"")</f>
        <v/>
      </c>
      <c r="H192" s="49" t="s">
        <v>438</v>
      </c>
      <c r="I192" s="49" t="s">
        <v>2298</v>
      </c>
      <c r="J192" s="53" t="s">
        <v>2402</v>
      </c>
    </row>
    <row r="193" spans="1:10" x14ac:dyDescent="0.25">
      <c r="A193" s="51">
        <v>43152</v>
      </c>
      <c r="C193" s="49" t="s">
        <v>1552</v>
      </c>
      <c r="D193" s="49" t="s">
        <v>51</v>
      </c>
      <c r="F193" s="49" t="str">
        <f>IFERROR(IF(Tabla1[[#This Row],[CONCEPTO mx]]="","",VLOOKUP(Tabla1[[#This Row],[CONCEPTO mx]],Tabla2[#All],2,0)),"")</f>
        <v/>
      </c>
      <c r="G193" s="49" t="str">
        <f>IFERROR(IF(Tabla1[[#This Row],[CONCEPTO mx]]="","",VLOOKUP(Tabla1[[#This Row],[CONCEPTO mx]],Tabla2[#All],3,0)),"")</f>
        <v/>
      </c>
      <c r="H193" s="49" t="s">
        <v>357</v>
      </c>
      <c r="I193" s="49" t="s">
        <v>2298</v>
      </c>
      <c r="J193" s="53" t="s">
        <v>2758</v>
      </c>
    </row>
    <row r="194" spans="1:10" x14ac:dyDescent="0.25">
      <c r="A194" s="51">
        <v>43152</v>
      </c>
      <c r="C194" s="49" t="s">
        <v>1549</v>
      </c>
      <c r="D194" s="49" t="s">
        <v>51</v>
      </c>
      <c r="F194" s="49" t="str">
        <f>IFERROR(IF(Tabla1[[#This Row],[CONCEPTO mx]]="","",VLOOKUP(Tabla1[[#This Row],[CONCEPTO mx]],Tabla2[#All],2,0)),"")</f>
        <v/>
      </c>
      <c r="G194" s="49" t="str">
        <f>IFERROR(IF(Tabla1[[#This Row],[CONCEPTO mx]]="","",VLOOKUP(Tabla1[[#This Row],[CONCEPTO mx]],Tabla2[#All],3,0)),"")</f>
        <v/>
      </c>
      <c r="H194" s="49" t="s">
        <v>438</v>
      </c>
      <c r="I194" s="49" t="s">
        <v>2298</v>
      </c>
      <c r="J194" s="53" t="s">
        <v>2756</v>
      </c>
    </row>
    <row r="195" spans="1:10" x14ac:dyDescent="0.25">
      <c r="A195" s="51">
        <v>43152</v>
      </c>
      <c r="C195" s="49" t="s">
        <v>1543</v>
      </c>
      <c r="E195" s="49" t="s">
        <v>2355</v>
      </c>
      <c r="F195" s="49" t="str">
        <f>IFERROR(IF(Tabla1[[#This Row],[CONCEPTO mx]]="","",VLOOKUP(Tabla1[[#This Row],[CONCEPTO mx]],Tabla2[#All],2,0)),"")</f>
        <v>CM13</v>
      </c>
      <c r="G195" s="49" t="str">
        <f>IFERROR(IF(Tabla1[[#This Row],[CONCEPTO mx]]="","",VLOOKUP(Tabla1[[#This Row],[CONCEPTO mx]],Tabla2[#All],3,0)),"")</f>
        <v>Gestión Humana</v>
      </c>
      <c r="H195" s="49" t="s">
        <v>542</v>
      </c>
      <c r="I195" s="49" t="s">
        <v>2298</v>
      </c>
      <c r="J195" s="53" t="s">
        <v>2298</v>
      </c>
    </row>
    <row r="196" spans="1:10" x14ac:dyDescent="0.25">
      <c r="A196" s="51">
        <v>43152</v>
      </c>
      <c r="C196" s="49" t="s">
        <v>1547</v>
      </c>
      <c r="D196" s="49" t="s">
        <v>1548</v>
      </c>
      <c r="F196" s="49" t="str">
        <f>IFERROR(IF(Tabla1[[#This Row],[CONCEPTO mx]]="","",VLOOKUP(Tabla1[[#This Row],[CONCEPTO mx]],Tabla2[#All],2,0)),"")</f>
        <v/>
      </c>
      <c r="G196" s="49" t="str">
        <f>IFERROR(IF(Tabla1[[#This Row],[CONCEPTO mx]]="","",VLOOKUP(Tabla1[[#This Row],[CONCEPTO mx]],Tabla2[#All],3,0)),"")</f>
        <v/>
      </c>
      <c r="H196" s="49" t="s">
        <v>352</v>
      </c>
      <c r="I196" s="49" t="s">
        <v>2298</v>
      </c>
      <c r="J196" s="53" t="s">
        <v>2755</v>
      </c>
    </row>
    <row r="197" spans="1:10" x14ac:dyDescent="0.25">
      <c r="A197" s="51">
        <v>43153</v>
      </c>
      <c r="C197" s="49" t="s">
        <v>1557</v>
      </c>
      <c r="D197" s="49" t="s">
        <v>51</v>
      </c>
      <c r="F197" s="49" t="str">
        <f>IFERROR(IF(Tabla1[[#This Row],[CONCEPTO mx]]="","",VLOOKUP(Tabla1[[#This Row],[CONCEPTO mx]],Tabla2[#All],2,0)),"")</f>
        <v/>
      </c>
      <c r="G197" s="49" t="str">
        <f>IFERROR(IF(Tabla1[[#This Row],[CONCEPTO mx]]="","",VLOOKUP(Tabla1[[#This Row],[CONCEPTO mx]],Tabla2[#All],3,0)),"")</f>
        <v/>
      </c>
      <c r="H197" s="49" t="s">
        <v>352</v>
      </c>
      <c r="I197" s="49" t="s">
        <v>2298</v>
      </c>
      <c r="J197" s="53" t="s">
        <v>2298</v>
      </c>
    </row>
    <row r="198" spans="1:10" x14ac:dyDescent="0.25">
      <c r="A198" s="51">
        <v>43153</v>
      </c>
      <c r="C198" s="49" t="s">
        <v>1558</v>
      </c>
      <c r="D198" s="49" t="s">
        <v>2273</v>
      </c>
      <c r="F198" s="49" t="str">
        <f>IFERROR(IF(Tabla1[[#This Row],[CONCEPTO mx]]="","",VLOOKUP(Tabla1[[#This Row],[CONCEPTO mx]],Tabla2[#All],2,0)),"")</f>
        <v/>
      </c>
      <c r="G198" s="49" t="str">
        <f>IFERROR(IF(Tabla1[[#This Row],[CONCEPTO mx]]="","",VLOOKUP(Tabla1[[#This Row],[CONCEPTO mx]],Tabla2[#All],3,0)),"")</f>
        <v/>
      </c>
      <c r="H198" s="49" t="s">
        <v>352</v>
      </c>
      <c r="I198" s="49" t="s">
        <v>2298</v>
      </c>
      <c r="J198" s="53" t="s">
        <v>2298</v>
      </c>
    </row>
    <row r="199" spans="1:10" x14ac:dyDescent="0.25">
      <c r="A199" s="51">
        <v>43153</v>
      </c>
      <c r="C199" s="49" t="s">
        <v>1559</v>
      </c>
      <c r="D199" s="49" t="s">
        <v>51</v>
      </c>
      <c r="F199" s="49" t="str">
        <f>IFERROR(IF(Tabla1[[#This Row],[CONCEPTO mx]]="","",VLOOKUP(Tabla1[[#This Row],[CONCEPTO mx]],Tabla2[#All],2,0)),"")</f>
        <v/>
      </c>
      <c r="G199" s="49" t="str">
        <f>IFERROR(IF(Tabla1[[#This Row],[CONCEPTO mx]]="","",VLOOKUP(Tabla1[[#This Row],[CONCEPTO mx]],Tabla2[#All],3,0)),"")</f>
        <v/>
      </c>
      <c r="H199" s="49" t="s">
        <v>352</v>
      </c>
      <c r="I199" s="49" t="s">
        <v>2298</v>
      </c>
      <c r="J199" s="53" t="s">
        <v>2298</v>
      </c>
    </row>
    <row r="200" spans="1:10" x14ac:dyDescent="0.25">
      <c r="A200" s="51">
        <v>43154</v>
      </c>
      <c r="C200" s="49" t="s">
        <v>1560</v>
      </c>
      <c r="D200" s="49" t="s">
        <v>51</v>
      </c>
      <c r="E200" s="49" t="s">
        <v>3315</v>
      </c>
      <c r="F200" s="49" t="str">
        <f>IFERROR(IF(Tabla1[[#This Row],[CONCEPTO mx]]="","",VLOOKUP(Tabla1[[#This Row],[CONCEPTO mx]],Tabla2[#All],2,0)),"")</f>
        <v>CM40</v>
      </c>
      <c r="G200" s="49" t="str">
        <f>IFERROR(IF(Tabla1[[#This Row],[CONCEPTO mx]]="","",VLOOKUP(Tabla1[[#This Row],[CONCEPTO mx]],Tabla2[#All],3,0)),"")</f>
        <v>SST</v>
      </c>
      <c r="H200" s="49" t="s">
        <v>334</v>
      </c>
      <c r="I200" s="49" t="s">
        <v>2338</v>
      </c>
      <c r="J200" s="53" t="s">
        <v>2760</v>
      </c>
    </row>
    <row r="201" spans="1:10" x14ac:dyDescent="0.25">
      <c r="A201" s="51">
        <v>43154</v>
      </c>
      <c r="C201" s="49" t="s">
        <v>1564</v>
      </c>
      <c r="D201" s="49" t="s">
        <v>51</v>
      </c>
      <c r="F201" s="49" t="str">
        <f>IFERROR(IF(Tabla1[[#This Row],[CONCEPTO mx]]="","",VLOOKUP(Tabla1[[#This Row],[CONCEPTO mx]],Tabla2[#All],2,0)),"")</f>
        <v/>
      </c>
      <c r="G201" s="49" t="str">
        <f>IFERROR(IF(Tabla1[[#This Row],[CONCEPTO mx]]="","",VLOOKUP(Tabla1[[#This Row],[CONCEPTO mx]],Tabla2[#All],3,0)),"")</f>
        <v/>
      </c>
      <c r="H201" s="49" t="s">
        <v>352</v>
      </c>
      <c r="I201" s="49" t="s">
        <v>2298</v>
      </c>
      <c r="J201" s="53" t="s">
        <v>2735</v>
      </c>
    </row>
    <row r="202" spans="1:10" x14ac:dyDescent="0.25">
      <c r="A202" s="51">
        <v>43154</v>
      </c>
      <c r="C202" s="49" t="s">
        <v>1570</v>
      </c>
      <c r="D202" s="54"/>
      <c r="E202" s="49" t="s">
        <v>2355</v>
      </c>
      <c r="F202" s="49" t="str">
        <f>IFERROR(IF(Tabla1[[#This Row],[CONCEPTO mx]]="","",VLOOKUP(Tabla1[[#This Row],[CONCEPTO mx]],Tabla2[#All],2,0)),"")</f>
        <v>CM13</v>
      </c>
      <c r="G202" s="49" t="str">
        <f>IFERROR(IF(Tabla1[[#This Row],[CONCEPTO mx]]="","",VLOOKUP(Tabla1[[#This Row],[CONCEPTO mx]],Tabla2[#All],3,0)),"")</f>
        <v>Gestión Humana</v>
      </c>
      <c r="H202" s="49" t="s">
        <v>352</v>
      </c>
      <c r="I202" s="49" t="s">
        <v>2298</v>
      </c>
      <c r="J202" s="53" t="s">
        <v>2302</v>
      </c>
    </row>
    <row r="203" spans="1:10" x14ac:dyDescent="0.25">
      <c r="A203" s="51">
        <v>43154</v>
      </c>
      <c r="C203" s="49" t="s">
        <v>1566</v>
      </c>
      <c r="D203" s="49" t="s">
        <v>51</v>
      </c>
      <c r="E203" s="49" t="s">
        <v>3315</v>
      </c>
      <c r="F203" s="49" t="str">
        <f>IFERROR(IF(Tabla1[[#This Row],[CONCEPTO mx]]="","",VLOOKUP(Tabla1[[#This Row],[CONCEPTO mx]],Tabla2[#All],2,0)),"")</f>
        <v>CM40</v>
      </c>
      <c r="G203" s="49" t="str">
        <f>IFERROR(IF(Tabla1[[#This Row],[CONCEPTO mx]]="","",VLOOKUP(Tabla1[[#This Row],[CONCEPTO mx]],Tabla2[#All],3,0)),"")</f>
        <v>SST</v>
      </c>
      <c r="H203" s="49" t="s">
        <v>352</v>
      </c>
      <c r="I203" s="49" t="s">
        <v>2298</v>
      </c>
      <c r="J203" s="53" t="s">
        <v>2673</v>
      </c>
    </row>
    <row r="204" spans="1:10" x14ac:dyDescent="0.25">
      <c r="A204" s="51">
        <v>43154</v>
      </c>
      <c r="C204" s="49" t="s">
        <v>1572</v>
      </c>
      <c r="D204" s="49" t="s">
        <v>51</v>
      </c>
      <c r="F204" s="49" t="str">
        <f>IFERROR(IF(Tabla1[[#This Row],[CONCEPTO mx]]="","",VLOOKUP(Tabla1[[#This Row],[CONCEPTO mx]],Tabla2[#All],2,0)),"")</f>
        <v/>
      </c>
      <c r="G204" s="49" t="str">
        <f>IFERROR(IF(Tabla1[[#This Row],[CONCEPTO mx]]="","",VLOOKUP(Tabla1[[#This Row],[CONCEPTO mx]],Tabla2[#All],3,0)),"")</f>
        <v/>
      </c>
      <c r="H204" s="49" t="s">
        <v>406</v>
      </c>
      <c r="I204" s="49" t="s">
        <v>2298</v>
      </c>
      <c r="J204" s="53" t="s">
        <v>2761</v>
      </c>
    </row>
    <row r="205" spans="1:10" x14ac:dyDescent="0.25">
      <c r="A205" s="51">
        <v>43154</v>
      </c>
      <c r="C205" s="49" t="s">
        <v>1574</v>
      </c>
      <c r="D205" s="49" t="s">
        <v>51</v>
      </c>
      <c r="F205" s="49" t="str">
        <f>IFERROR(IF(Tabla1[[#This Row],[CONCEPTO mx]]="","",VLOOKUP(Tabla1[[#This Row],[CONCEPTO mx]],Tabla2[#All],2,0)),"")</f>
        <v/>
      </c>
      <c r="G205" s="49" t="str">
        <f>IFERROR(IF(Tabla1[[#This Row],[CONCEPTO mx]]="","",VLOOKUP(Tabla1[[#This Row],[CONCEPTO mx]],Tabla2[#All],3,0)),"")</f>
        <v/>
      </c>
      <c r="H205" s="49" t="s">
        <v>628</v>
      </c>
      <c r="I205" s="49" t="s">
        <v>2298</v>
      </c>
      <c r="J205" s="53" t="s">
        <v>2761</v>
      </c>
    </row>
    <row r="206" spans="1:10" x14ac:dyDescent="0.25">
      <c r="A206" s="51">
        <v>43154</v>
      </c>
      <c r="C206" s="49" t="s">
        <v>1575</v>
      </c>
      <c r="D206" s="49" t="s">
        <v>51</v>
      </c>
      <c r="F206" s="49" t="str">
        <f>IFERROR(IF(Tabla1[[#This Row],[CONCEPTO mx]]="","",VLOOKUP(Tabla1[[#This Row],[CONCEPTO mx]],Tabla2[#All],2,0)),"")</f>
        <v/>
      </c>
      <c r="G206" s="49" t="str">
        <f>IFERROR(IF(Tabla1[[#This Row],[CONCEPTO mx]]="","",VLOOKUP(Tabla1[[#This Row],[CONCEPTO mx]],Tabla2[#All],3,0)),"")</f>
        <v/>
      </c>
      <c r="H206" s="49" t="s">
        <v>628</v>
      </c>
      <c r="I206" s="49" t="s">
        <v>2298</v>
      </c>
      <c r="J206" s="53" t="s">
        <v>2761</v>
      </c>
    </row>
    <row r="207" spans="1:10" x14ac:dyDescent="0.25">
      <c r="A207" s="51">
        <v>43154</v>
      </c>
      <c r="C207" s="49" t="s">
        <v>1568</v>
      </c>
      <c r="D207" s="49" t="s">
        <v>180</v>
      </c>
      <c r="E207" s="49" t="s">
        <v>2355</v>
      </c>
      <c r="F207" s="49" t="str">
        <f>IFERROR(IF(Tabla1[[#This Row],[CONCEPTO mx]]="","",VLOOKUP(Tabla1[[#This Row],[CONCEPTO mx]],Tabla2[#All],2,0)),"")</f>
        <v>CM13</v>
      </c>
      <c r="G207" s="49" t="str">
        <f>IFERROR(IF(Tabla1[[#This Row],[CONCEPTO mx]]="","",VLOOKUP(Tabla1[[#This Row],[CONCEPTO mx]],Tabla2[#All],3,0)),"")</f>
        <v>Gestión Humana</v>
      </c>
      <c r="H207" s="49" t="s">
        <v>352</v>
      </c>
      <c r="I207" s="49" t="s">
        <v>2298</v>
      </c>
      <c r="J207" s="53" t="s">
        <v>2298</v>
      </c>
    </row>
    <row r="208" spans="1:10" x14ac:dyDescent="0.25">
      <c r="A208" s="51">
        <v>43157</v>
      </c>
      <c r="C208" s="49" t="s">
        <v>1576</v>
      </c>
      <c r="D208" s="49" t="s">
        <v>51</v>
      </c>
      <c r="F208" s="49" t="str">
        <f>IFERROR(IF(Tabla1[[#This Row],[CONCEPTO mx]]="","",VLOOKUP(Tabla1[[#This Row],[CONCEPTO mx]],Tabla2[#All],2,0)),"")</f>
        <v/>
      </c>
      <c r="G208" s="49" t="str">
        <f>IFERROR(IF(Tabla1[[#This Row],[CONCEPTO mx]]="","",VLOOKUP(Tabla1[[#This Row],[CONCEPTO mx]],Tabla2[#All],3,0)),"")</f>
        <v/>
      </c>
      <c r="H208" s="49" t="s">
        <v>2391</v>
      </c>
      <c r="I208" s="49" t="s">
        <v>2298</v>
      </c>
      <c r="J208" s="53" t="s">
        <v>2762</v>
      </c>
    </row>
    <row r="209" spans="1:11" x14ac:dyDescent="0.25">
      <c r="A209" s="51">
        <v>43159</v>
      </c>
      <c r="C209" s="49" t="s">
        <v>1580</v>
      </c>
      <c r="D209" s="49" t="s">
        <v>51</v>
      </c>
      <c r="E209" s="49" t="s">
        <v>3315</v>
      </c>
      <c r="F209" s="49" t="str">
        <f>IFERROR(IF(Tabla1[[#This Row],[CONCEPTO mx]]="","",VLOOKUP(Tabla1[[#This Row],[CONCEPTO mx]],Tabla2[#All],2,0)),"")</f>
        <v>CM40</v>
      </c>
      <c r="G209" s="49" t="str">
        <f>IFERROR(IF(Tabla1[[#This Row],[CONCEPTO mx]]="","",VLOOKUP(Tabla1[[#This Row],[CONCEPTO mx]],Tabla2[#All],3,0)),"")</f>
        <v>SST</v>
      </c>
      <c r="H209" s="49" t="s">
        <v>2394</v>
      </c>
      <c r="I209" s="49" t="s">
        <v>2339</v>
      </c>
      <c r="J209" s="53"/>
    </row>
    <row r="210" spans="1:11" x14ac:dyDescent="0.25">
      <c r="A210" s="51">
        <v>43159</v>
      </c>
      <c r="C210" s="49" t="s">
        <v>1578</v>
      </c>
      <c r="D210" s="49" t="s">
        <v>51</v>
      </c>
      <c r="F210" s="49" t="str">
        <f>IFERROR(IF(Tabla1[[#This Row],[CONCEPTO mx]]="","",VLOOKUP(Tabla1[[#This Row],[CONCEPTO mx]],Tabla2[#All],2,0)),"")</f>
        <v/>
      </c>
      <c r="G210" s="49" t="str">
        <f>IFERROR(IF(Tabla1[[#This Row],[CONCEPTO mx]]="","",VLOOKUP(Tabla1[[#This Row],[CONCEPTO mx]],Tabla2[#All],3,0)),"")</f>
        <v/>
      </c>
      <c r="H210" s="49" t="s">
        <v>470</v>
      </c>
      <c r="I210" s="49" t="s">
        <v>2316</v>
      </c>
      <c r="J210" s="53" t="s">
        <v>2316</v>
      </c>
    </row>
    <row r="211" spans="1:11" x14ac:dyDescent="0.25">
      <c r="A211" s="51">
        <v>43159</v>
      </c>
      <c r="C211" s="49" t="s">
        <v>1583</v>
      </c>
      <c r="D211" s="54" t="s">
        <v>1643</v>
      </c>
      <c r="E211" s="54"/>
      <c r="F211" s="54" t="str">
        <f>IFERROR(IF(Tabla1[[#This Row],[CONCEPTO mx]]="","",VLOOKUP(Tabla1[[#This Row],[CONCEPTO mx]],Tabla2[#All],2,0)),"")</f>
        <v/>
      </c>
      <c r="G211" s="54" t="str">
        <f>IFERROR(IF(Tabla1[[#This Row],[CONCEPTO mx]]="","",VLOOKUP(Tabla1[[#This Row],[CONCEPTO mx]],Tabla2[#All],3,0)),"")</f>
        <v/>
      </c>
      <c r="H211" s="49" t="s">
        <v>2393</v>
      </c>
      <c r="I211" s="49" t="s">
        <v>2330</v>
      </c>
      <c r="J211" s="53"/>
    </row>
    <row r="212" spans="1:11" x14ac:dyDescent="0.25">
      <c r="A212" s="51">
        <v>43159</v>
      </c>
      <c r="C212" s="49" t="s">
        <v>1588</v>
      </c>
      <c r="D212" s="49" t="s">
        <v>51</v>
      </c>
      <c r="E212" s="49" t="s">
        <v>3315</v>
      </c>
      <c r="F212" s="49" t="str">
        <f>IFERROR(IF(Tabla1[[#This Row],[CONCEPTO mx]]="","",VLOOKUP(Tabla1[[#This Row],[CONCEPTO mx]],Tabla2[#All],2,0)),"")</f>
        <v>CM40</v>
      </c>
      <c r="G212" s="49" t="str">
        <f>IFERROR(IF(Tabla1[[#This Row],[CONCEPTO mx]]="","",VLOOKUP(Tabla1[[#This Row],[CONCEPTO mx]],Tabla2[#All],3,0)),"")</f>
        <v>SST</v>
      </c>
      <c r="H212" s="49" t="s">
        <v>357</v>
      </c>
      <c r="I212" s="49" t="s">
        <v>2339</v>
      </c>
      <c r="J212" s="53"/>
    </row>
    <row r="213" spans="1:11" x14ac:dyDescent="0.25">
      <c r="A213" s="51">
        <v>43159</v>
      </c>
      <c r="C213" s="49" t="s">
        <v>1386</v>
      </c>
      <c r="D213" s="49" t="s">
        <v>2273</v>
      </c>
      <c r="F213" s="49" t="str">
        <f>IFERROR(IF(Tabla1[[#This Row],[CONCEPTO mx]]="","",VLOOKUP(Tabla1[[#This Row],[CONCEPTO mx]],Tabla2[#All],2,0)),"")</f>
        <v/>
      </c>
      <c r="G213" s="49" t="str">
        <f>IFERROR(IF(Tabla1[[#This Row],[CONCEPTO mx]]="","",VLOOKUP(Tabla1[[#This Row],[CONCEPTO mx]],Tabla2[#All],3,0)),"")</f>
        <v/>
      </c>
      <c r="H213" s="49" t="s">
        <v>388</v>
      </c>
      <c r="I213" s="49" t="s">
        <v>2298</v>
      </c>
      <c r="J213" s="53" t="s">
        <v>2707</v>
      </c>
    </row>
    <row r="214" spans="1:11" x14ac:dyDescent="0.25">
      <c r="A214" s="51">
        <v>43159</v>
      </c>
      <c r="C214" s="49" t="s">
        <v>1589</v>
      </c>
      <c r="D214" s="49" t="s">
        <v>2273</v>
      </c>
      <c r="F214" s="49" t="str">
        <f>IFERROR(IF(Tabla1[[#This Row],[CONCEPTO mx]]="","",VLOOKUP(Tabla1[[#This Row],[CONCEPTO mx]],Tabla2[#All],2,0)),"")</f>
        <v/>
      </c>
      <c r="G214" s="49" t="str">
        <f>IFERROR(IF(Tabla1[[#This Row],[CONCEPTO mx]]="","",VLOOKUP(Tabla1[[#This Row],[CONCEPTO mx]],Tabla2[#All],3,0)),"")</f>
        <v/>
      </c>
      <c r="H214" s="49" t="s">
        <v>628</v>
      </c>
      <c r="I214" s="49" t="s">
        <v>2298</v>
      </c>
      <c r="J214" s="53" t="s">
        <v>2763</v>
      </c>
    </row>
    <row r="215" spans="1:11" x14ac:dyDescent="0.25">
      <c r="A215" s="51">
        <v>43159</v>
      </c>
      <c r="C215" s="49" t="s">
        <v>1585</v>
      </c>
      <c r="D215" s="49" t="s">
        <v>2273</v>
      </c>
      <c r="F215" s="49" t="str">
        <f>IFERROR(IF(Tabla1[[#This Row],[CONCEPTO mx]]="","",VLOOKUP(Tabla1[[#This Row],[CONCEPTO mx]],Tabla2[#All],2,0)),"")</f>
        <v/>
      </c>
      <c r="G215" s="49" t="str">
        <f>IFERROR(IF(Tabla1[[#This Row],[CONCEPTO mx]]="","",VLOOKUP(Tabla1[[#This Row],[CONCEPTO mx]],Tabla2[#All],3,0)),"")</f>
        <v/>
      </c>
      <c r="H215" s="49" t="s">
        <v>387</v>
      </c>
      <c r="I215" s="49" t="s">
        <v>2339</v>
      </c>
      <c r="J215" s="53"/>
    </row>
    <row r="216" spans="1:11" x14ac:dyDescent="0.25">
      <c r="A216" s="51">
        <v>43159</v>
      </c>
      <c r="C216" s="49" t="s">
        <v>1426</v>
      </c>
      <c r="D216" s="49" t="s">
        <v>2273</v>
      </c>
      <c r="F216" s="49" t="str">
        <f>IFERROR(IF(Tabla1[[#This Row],[CONCEPTO mx]]="","",VLOOKUP(Tabla1[[#This Row],[CONCEPTO mx]],Tabla2[#All],2,0)),"")</f>
        <v/>
      </c>
      <c r="G216" s="49" t="str">
        <f>IFERROR(IF(Tabla1[[#This Row],[CONCEPTO mx]]="","",VLOOKUP(Tabla1[[#This Row],[CONCEPTO mx]],Tabla2[#All],3,0)),"")</f>
        <v/>
      </c>
      <c r="H216" s="49" t="s">
        <v>470</v>
      </c>
      <c r="I216" s="49" t="s">
        <v>2298</v>
      </c>
      <c r="J216" s="53" t="s">
        <v>2761</v>
      </c>
    </row>
    <row r="217" spans="1:11" x14ac:dyDescent="0.25">
      <c r="A217" s="51">
        <v>43160</v>
      </c>
      <c r="C217" s="49" t="s">
        <v>1545</v>
      </c>
      <c r="D217" s="49" t="s">
        <v>2273</v>
      </c>
      <c r="F217" s="49" t="str">
        <f>IFERROR(IF(Tabla1[[#This Row],[CONCEPTO mx]]="","",VLOOKUP(Tabla1[[#This Row],[CONCEPTO mx]],Tabla2[#All],2,0)),"")</f>
        <v/>
      </c>
      <c r="G217" s="49" t="str">
        <f>IFERROR(IF(Tabla1[[#This Row],[CONCEPTO mx]]="","",VLOOKUP(Tabla1[[#This Row],[CONCEPTO mx]],Tabla2[#All],3,0)),"")</f>
        <v/>
      </c>
      <c r="H217" s="49" t="s">
        <v>352</v>
      </c>
      <c r="I217" s="49" t="s">
        <v>2298</v>
      </c>
      <c r="J217" s="53" t="s">
        <v>2673</v>
      </c>
      <c r="K217" s="51">
        <v>43152</v>
      </c>
    </row>
    <row r="218" spans="1:11" x14ac:dyDescent="0.25">
      <c r="A218" s="51">
        <v>43160</v>
      </c>
      <c r="C218" s="49" t="s">
        <v>1595</v>
      </c>
      <c r="D218" s="49" t="s">
        <v>2273</v>
      </c>
      <c r="F218" s="49" t="str">
        <f>IFERROR(IF(Tabla1[[#This Row],[CONCEPTO mx]]="","",VLOOKUP(Tabla1[[#This Row],[CONCEPTO mx]],Tabla2[#All],2,0)),"")</f>
        <v/>
      </c>
      <c r="G218" s="49" t="str">
        <f>IFERROR(IF(Tabla1[[#This Row],[CONCEPTO mx]]="","",VLOOKUP(Tabla1[[#This Row],[CONCEPTO mx]],Tabla2[#All],3,0)),"")</f>
        <v/>
      </c>
      <c r="H218" s="49" t="s">
        <v>387</v>
      </c>
      <c r="I218" s="49" t="s">
        <v>2339</v>
      </c>
      <c r="J218" s="53"/>
    </row>
    <row r="219" spans="1:11" x14ac:dyDescent="0.25">
      <c r="A219" s="51">
        <v>43160</v>
      </c>
      <c r="C219" s="49" t="s">
        <v>1601</v>
      </c>
      <c r="D219" s="49" t="s">
        <v>51</v>
      </c>
      <c r="F219" s="49" t="str">
        <f>IFERROR(IF(Tabla1[[#This Row],[CONCEPTO mx]]="","",VLOOKUP(Tabla1[[#This Row],[CONCEPTO mx]],Tabla2[#All],2,0)),"")</f>
        <v/>
      </c>
      <c r="G219" s="49" t="str">
        <f>IFERROR(IF(Tabla1[[#This Row],[CONCEPTO mx]]="","",VLOOKUP(Tabla1[[#This Row],[CONCEPTO mx]],Tabla2[#All],3,0)),"")</f>
        <v/>
      </c>
      <c r="H219" s="49" t="s">
        <v>343</v>
      </c>
      <c r="I219" s="49" t="s">
        <v>2339</v>
      </c>
      <c r="J219" s="53"/>
    </row>
    <row r="220" spans="1:11" x14ac:dyDescent="0.25">
      <c r="A220" s="51">
        <v>43160</v>
      </c>
      <c r="C220" s="49" t="s">
        <v>1540</v>
      </c>
      <c r="D220" s="49" t="s">
        <v>2273</v>
      </c>
      <c r="F220" s="49" t="str">
        <f>IFERROR(IF(Tabla1[[#This Row],[CONCEPTO mx]]="","",VLOOKUP(Tabla1[[#This Row],[CONCEPTO mx]],Tabla2[#All],2,0)),"")</f>
        <v/>
      </c>
      <c r="G220" s="49" t="str">
        <f>IFERROR(IF(Tabla1[[#This Row],[CONCEPTO mx]]="","",VLOOKUP(Tabla1[[#This Row],[CONCEPTO mx]],Tabla2[#All],3,0)),"")</f>
        <v/>
      </c>
      <c r="H220" s="49" t="s">
        <v>542</v>
      </c>
      <c r="I220" s="49" t="s">
        <v>2298</v>
      </c>
      <c r="J220" s="53"/>
    </row>
    <row r="221" spans="1:11" x14ac:dyDescent="0.25">
      <c r="A221" s="51">
        <v>43160</v>
      </c>
      <c r="C221" s="49" t="s">
        <v>1609</v>
      </c>
      <c r="D221" s="49" t="s">
        <v>51</v>
      </c>
      <c r="E221" s="54"/>
      <c r="F221" s="54" t="str">
        <f>IFERROR(IF(Tabla1[[#This Row],[CONCEPTO mx]]="","",VLOOKUP(Tabla1[[#This Row],[CONCEPTO mx]],Tabla2[#All],2,0)),"")</f>
        <v/>
      </c>
      <c r="G221" s="54" t="str">
        <f>IFERROR(IF(Tabla1[[#This Row],[CONCEPTO mx]]="","",VLOOKUP(Tabla1[[#This Row],[CONCEPTO mx]],Tabla2[#All],3,0)),"")</f>
        <v/>
      </c>
      <c r="H221" s="49" t="s">
        <v>357</v>
      </c>
      <c r="I221" s="49" t="s">
        <v>2298</v>
      </c>
      <c r="J221" s="53" t="s">
        <v>2766</v>
      </c>
    </row>
    <row r="222" spans="1:11" x14ac:dyDescent="0.25">
      <c r="A222" s="51">
        <v>43160</v>
      </c>
      <c r="C222" s="49" t="s">
        <v>1602</v>
      </c>
      <c r="D222" s="49" t="s">
        <v>2273</v>
      </c>
      <c r="F222" s="49" t="str">
        <f>IFERROR(IF(Tabla1[[#This Row],[CONCEPTO mx]]="","",VLOOKUP(Tabla1[[#This Row],[CONCEPTO mx]],Tabla2[#All],2,0)),"")</f>
        <v/>
      </c>
      <c r="G222" s="49" t="str">
        <f>IFERROR(IF(Tabla1[[#This Row],[CONCEPTO mx]]="","",VLOOKUP(Tabla1[[#This Row],[CONCEPTO mx]],Tabla2[#All],3,0)),"")</f>
        <v/>
      </c>
      <c r="H222" s="49" t="s">
        <v>439</v>
      </c>
      <c r="I222" s="49" t="s">
        <v>2339</v>
      </c>
      <c r="J222" s="53"/>
    </row>
    <row r="223" spans="1:11" x14ac:dyDescent="0.25">
      <c r="A223" s="51">
        <v>43160</v>
      </c>
      <c r="C223" s="49" t="s">
        <v>1608</v>
      </c>
      <c r="D223" s="49" t="s">
        <v>51</v>
      </c>
      <c r="F223" s="49" t="str">
        <f>IFERROR(IF(Tabla1[[#This Row],[CONCEPTO mx]]="","",VLOOKUP(Tabla1[[#This Row],[CONCEPTO mx]],Tabla2[#All],2,0)),"")</f>
        <v/>
      </c>
      <c r="G223" s="49" t="str">
        <f>IFERROR(IF(Tabla1[[#This Row],[CONCEPTO mx]]="","",VLOOKUP(Tabla1[[#This Row],[CONCEPTO mx]],Tabla2[#All],3,0)),"")</f>
        <v/>
      </c>
      <c r="H223" s="49" t="s">
        <v>470</v>
      </c>
      <c r="I223" s="49" t="s">
        <v>2298</v>
      </c>
      <c r="J223" s="53" t="s">
        <v>2302</v>
      </c>
    </row>
    <row r="224" spans="1:11" x14ac:dyDescent="0.25">
      <c r="A224" s="51">
        <v>43160</v>
      </c>
      <c r="C224" s="49" t="s">
        <v>1593</v>
      </c>
      <c r="D224" s="49" t="s">
        <v>51</v>
      </c>
      <c r="F224" s="49" t="str">
        <f>IFERROR(IF(Tabla1[[#This Row],[CONCEPTO mx]]="","",VLOOKUP(Tabla1[[#This Row],[CONCEPTO mx]],Tabla2[#All],2,0)),"")</f>
        <v/>
      </c>
      <c r="G224" s="49" t="str">
        <f>IFERROR(IF(Tabla1[[#This Row],[CONCEPTO mx]]="","",VLOOKUP(Tabla1[[#This Row],[CONCEPTO mx]],Tabla2[#All],3,0)),"")</f>
        <v/>
      </c>
      <c r="H224" s="49" t="s">
        <v>343</v>
      </c>
      <c r="I224" s="49" t="s">
        <v>2339</v>
      </c>
      <c r="J224" s="53"/>
    </row>
    <row r="225" spans="1:10" x14ac:dyDescent="0.25">
      <c r="A225" s="51">
        <v>43160</v>
      </c>
      <c r="C225" s="49" t="s">
        <v>1596</v>
      </c>
      <c r="D225" s="49" t="s">
        <v>51</v>
      </c>
      <c r="E225" s="54"/>
      <c r="F225" s="54" t="str">
        <f>IFERROR(IF(Tabla1[[#This Row],[CONCEPTO mx]]="","",VLOOKUP(Tabla1[[#This Row],[CONCEPTO mx]],Tabla2[#All],2,0)),"")</f>
        <v/>
      </c>
      <c r="G225" s="54" t="str">
        <f>IFERROR(IF(Tabla1[[#This Row],[CONCEPTO mx]]="","",VLOOKUP(Tabla1[[#This Row],[CONCEPTO mx]],Tabla2[#All],3,0)),"")</f>
        <v/>
      </c>
      <c r="H225" s="49" t="s">
        <v>439</v>
      </c>
      <c r="I225" s="49" t="s">
        <v>2298</v>
      </c>
      <c r="J225" s="53" t="s">
        <v>2671</v>
      </c>
    </row>
    <row r="226" spans="1:10" x14ac:dyDescent="0.25">
      <c r="A226" s="51">
        <v>43160</v>
      </c>
      <c r="C226" s="49" t="s">
        <v>1606</v>
      </c>
      <c r="E226" s="49" t="s">
        <v>2355</v>
      </c>
      <c r="F226" s="49" t="str">
        <f>IFERROR(IF(Tabla1[[#This Row],[CONCEPTO mx]]="","",VLOOKUP(Tabla1[[#This Row],[CONCEPTO mx]],Tabla2[#All],2,0)),"")</f>
        <v>CM13</v>
      </c>
      <c r="G226" s="49" t="str">
        <f>IFERROR(IF(Tabla1[[#This Row],[CONCEPTO mx]]="","",VLOOKUP(Tabla1[[#This Row],[CONCEPTO mx]],Tabla2[#All],3,0)),"")</f>
        <v>Gestión Humana</v>
      </c>
      <c r="H226" s="49" t="s">
        <v>406</v>
      </c>
      <c r="I226" s="49" t="s">
        <v>2298</v>
      </c>
      <c r="J226" s="53" t="s">
        <v>2765</v>
      </c>
    </row>
    <row r="227" spans="1:10" x14ac:dyDescent="0.25">
      <c r="A227" s="51">
        <v>43160</v>
      </c>
      <c r="C227" s="49" t="s">
        <v>1611</v>
      </c>
      <c r="D227" s="49" t="s">
        <v>51</v>
      </c>
      <c r="E227" s="49" t="s">
        <v>3315</v>
      </c>
      <c r="F227" s="49" t="str">
        <f>IFERROR(IF(Tabla1[[#This Row],[CONCEPTO mx]]="","",VLOOKUP(Tabla1[[#This Row],[CONCEPTO mx]],Tabla2[#All],2,0)),"")</f>
        <v>CM40</v>
      </c>
      <c r="G227" s="49" t="str">
        <f>IFERROR(IF(Tabla1[[#This Row],[CONCEPTO mx]]="","",VLOOKUP(Tabla1[[#This Row],[CONCEPTO mx]],Tabla2[#All],3,0)),"")</f>
        <v>SST</v>
      </c>
      <c r="H227" s="49" t="s">
        <v>486</v>
      </c>
      <c r="I227" s="49" t="s">
        <v>2330</v>
      </c>
      <c r="J227" s="53"/>
    </row>
    <row r="228" spans="1:10" x14ac:dyDescent="0.25">
      <c r="A228" s="51">
        <v>43160</v>
      </c>
      <c r="C228" s="49" t="s">
        <v>1604</v>
      </c>
      <c r="E228" s="49" t="s">
        <v>2355</v>
      </c>
      <c r="F228" s="49" t="str">
        <f>IFERROR(IF(Tabla1[[#This Row],[CONCEPTO mx]]="","",VLOOKUP(Tabla1[[#This Row],[CONCEPTO mx]],Tabla2[#All],2,0)),"")</f>
        <v>CM13</v>
      </c>
      <c r="G228" s="49" t="str">
        <f>IFERROR(IF(Tabla1[[#This Row],[CONCEPTO mx]]="","",VLOOKUP(Tabla1[[#This Row],[CONCEPTO mx]],Tabla2[#All],3,0)),"")</f>
        <v>Gestión Humana</v>
      </c>
      <c r="H228" s="49" t="s">
        <v>2391</v>
      </c>
      <c r="I228" s="49" t="s">
        <v>2298</v>
      </c>
      <c r="J228" s="53" t="s">
        <v>2764</v>
      </c>
    </row>
    <row r="229" spans="1:10" x14ac:dyDescent="0.25">
      <c r="A229" s="51">
        <v>43160</v>
      </c>
      <c r="C229" s="49" t="s">
        <v>1603</v>
      </c>
      <c r="D229" s="49" t="s">
        <v>51</v>
      </c>
      <c r="F229" s="49" t="str">
        <f>IFERROR(IF(Tabla1[[#This Row],[CONCEPTO mx]]="","",VLOOKUP(Tabla1[[#This Row],[CONCEPTO mx]],Tabla2[#All],2,0)),"")</f>
        <v/>
      </c>
      <c r="G229" s="49" t="str">
        <f>IFERROR(IF(Tabla1[[#This Row],[CONCEPTO mx]]="","",VLOOKUP(Tabla1[[#This Row],[CONCEPTO mx]],Tabla2[#All],3,0)),"")</f>
        <v/>
      </c>
      <c r="H229" s="49" t="s">
        <v>486</v>
      </c>
      <c r="I229" s="49" t="s">
        <v>2298</v>
      </c>
      <c r="J229" s="53" t="s">
        <v>2741</v>
      </c>
    </row>
    <row r="230" spans="1:10" x14ac:dyDescent="0.25">
      <c r="A230" s="51">
        <v>43160</v>
      </c>
      <c r="C230" s="49" t="s">
        <v>1607</v>
      </c>
      <c r="E230" s="49" t="s">
        <v>2355</v>
      </c>
      <c r="F230" s="49" t="str">
        <f>IFERROR(IF(Tabla1[[#This Row],[CONCEPTO mx]]="","",VLOOKUP(Tabla1[[#This Row],[CONCEPTO mx]],Tabla2[#All],2,0)),"")</f>
        <v>CM13</v>
      </c>
      <c r="G230" s="49" t="str">
        <f>IFERROR(IF(Tabla1[[#This Row],[CONCEPTO mx]]="","",VLOOKUP(Tabla1[[#This Row],[CONCEPTO mx]],Tabla2[#All],3,0)),"")</f>
        <v>Gestión Humana</v>
      </c>
      <c r="H230" s="49" t="s">
        <v>550</v>
      </c>
      <c r="I230" s="49" t="s">
        <v>2298</v>
      </c>
      <c r="J230" s="53" t="s">
        <v>2353</v>
      </c>
    </row>
    <row r="231" spans="1:10" x14ac:dyDescent="0.25">
      <c r="A231" s="51">
        <v>43160</v>
      </c>
      <c r="C231" s="49" t="s">
        <v>1543</v>
      </c>
      <c r="D231" s="49" t="s">
        <v>2273</v>
      </c>
      <c r="F231" s="49" t="str">
        <f>IFERROR(IF(Tabla1[[#This Row],[CONCEPTO mx]]="","",VLOOKUP(Tabla1[[#This Row],[CONCEPTO mx]],Tabla2[#All],2,0)),"")</f>
        <v/>
      </c>
      <c r="G231" s="49" t="str">
        <f>IFERROR(IF(Tabla1[[#This Row],[CONCEPTO mx]]="","",VLOOKUP(Tabla1[[#This Row],[CONCEPTO mx]],Tabla2[#All],3,0)),"")</f>
        <v/>
      </c>
      <c r="H231" s="49" t="s">
        <v>542</v>
      </c>
      <c r="I231" s="49" t="s">
        <v>2298</v>
      </c>
      <c r="J231" s="53"/>
    </row>
    <row r="232" spans="1:10" x14ac:dyDescent="0.25">
      <c r="A232" s="51">
        <v>43160</v>
      </c>
      <c r="C232" s="49" t="s">
        <v>1610</v>
      </c>
      <c r="D232" s="49" t="s">
        <v>51</v>
      </c>
      <c r="F232" s="49" t="str">
        <f>IFERROR(IF(Tabla1[[#This Row],[CONCEPTO mx]]="","",VLOOKUP(Tabla1[[#This Row],[CONCEPTO mx]],Tabla2[#All],2,0)),"")</f>
        <v/>
      </c>
      <c r="G232" s="49" t="str">
        <f>IFERROR(IF(Tabla1[[#This Row],[CONCEPTO mx]]="","",VLOOKUP(Tabla1[[#This Row],[CONCEPTO mx]],Tabla2[#All],3,0)),"")</f>
        <v/>
      </c>
      <c r="H232" s="49" t="s">
        <v>2391</v>
      </c>
      <c r="I232" s="49" t="s">
        <v>2298</v>
      </c>
      <c r="J232" s="53" t="s">
        <v>2353</v>
      </c>
    </row>
    <row r="233" spans="1:10" x14ac:dyDescent="0.25">
      <c r="A233" s="51">
        <v>43160</v>
      </c>
      <c r="C233" s="49" t="s">
        <v>1605</v>
      </c>
      <c r="D233" s="49" t="s">
        <v>2273</v>
      </c>
      <c r="F233" s="49" t="str">
        <f>IFERROR(IF(Tabla1[[#This Row],[CONCEPTO mx]]="","",VLOOKUP(Tabla1[[#This Row],[CONCEPTO mx]],Tabla2[#All],2,0)),"")</f>
        <v/>
      </c>
      <c r="G233" s="49" t="str">
        <f>IFERROR(IF(Tabla1[[#This Row],[CONCEPTO mx]]="","",VLOOKUP(Tabla1[[#This Row],[CONCEPTO mx]],Tabla2[#All],3,0)),"")</f>
        <v/>
      </c>
      <c r="H233" s="49" t="s">
        <v>438</v>
      </c>
      <c r="I233" s="49" t="s">
        <v>2298</v>
      </c>
      <c r="J233" s="53" t="s">
        <v>2765</v>
      </c>
    </row>
    <row r="234" spans="1:10" x14ac:dyDescent="0.25">
      <c r="A234" s="51">
        <v>43160</v>
      </c>
      <c r="C234" s="49" t="s">
        <v>1612</v>
      </c>
      <c r="E234" s="49" t="s">
        <v>2355</v>
      </c>
      <c r="F234" s="49" t="str">
        <f>IFERROR(IF(Tabla1[[#This Row],[CONCEPTO mx]]="","",VLOOKUP(Tabla1[[#This Row],[CONCEPTO mx]],Tabla2[#All],2,0)),"")</f>
        <v>CM13</v>
      </c>
      <c r="G234" s="49" t="str">
        <f>IFERROR(IF(Tabla1[[#This Row],[CONCEPTO mx]]="","",VLOOKUP(Tabla1[[#This Row],[CONCEPTO mx]],Tabla2[#All],3,0)),"")</f>
        <v>Gestión Humana</v>
      </c>
      <c r="H234" s="49" t="s">
        <v>388</v>
      </c>
      <c r="I234" s="49" t="s">
        <v>2298</v>
      </c>
      <c r="J234" s="53"/>
    </row>
    <row r="235" spans="1:10" x14ac:dyDescent="0.25">
      <c r="A235" s="51">
        <v>43160</v>
      </c>
      <c r="C235" s="49" t="s">
        <v>1599</v>
      </c>
      <c r="D235" s="49" t="s">
        <v>51</v>
      </c>
      <c r="E235" s="54"/>
      <c r="F235" s="54" t="str">
        <f>IFERROR(IF(Tabla1[[#This Row],[CONCEPTO mx]]="","",VLOOKUP(Tabla1[[#This Row],[CONCEPTO mx]],Tabla2[#All],2,0)),"")</f>
        <v/>
      </c>
      <c r="G235" s="54" t="str">
        <f>IFERROR(IF(Tabla1[[#This Row],[CONCEPTO mx]]="","",VLOOKUP(Tabla1[[#This Row],[CONCEPTO mx]],Tabla2[#All],3,0)),"")</f>
        <v/>
      </c>
      <c r="H235" s="49" t="s">
        <v>388</v>
      </c>
      <c r="I235" s="49" t="s">
        <v>2339</v>
      </c>
      <c r="J235" s="53"/>
    </row>
    <row r="236" spans="1:10" x14ac:dyDescent="0.25">
      <c r="A236" s="51">
        <v>43164</v>
      </c>
      <c r="C236" s="49" t="s">
        <v>1613</v>
      </c>
      <c r="D236" s="54"/>
      <c r="E236" s="49" t="s">
        <v>2355</v>
      </c>
      <c r="F236" s="49" t="str">
        <f>IFERROR(IF(Tabla1[[#This Row],[CONCEPTO mx]]="","",VLOOKUP(Tabla1[[#This Row],[CONCEPTO mx]],Tabla2[#All],2,0)),"")</f>
        <v>CM13</v>
      </c>
      <c r="G236" s="49" t="str">
        <f>IFERROR(IF(Tabla1[[#This Row],[CONCEPTO mx]]="","",VLOOKUP(Tabla1[[#This Row],[CONCEPTO mx]],Tabla2[#All],3,0)),"")</f>
        <v>Gestión Humana</v>
      </c>
      <c r="H236" s="49" t="s">
        <v>486</v>
      </c>
      <c r="I236" s="49" t="s">
        <v>2298</v>
      </c>
      <c r="J236" s="53" t="s">
        <v>2351</v>
      </c>
    </row>
    <row r="237" spans="1:10" x14ac:dyDescent="0.25">
      <c r="A237" s="51">
        <v>43164</v>
      </c>
      <c r="C237" s="49" t="s">
        <v>1614</v>
      </c>
      <c r="D237" s="49" t="s">
        <v>51</v>
      </c>
      <c r="F237" s="49" t="str">
        <f>IFERROR(IF(Tabla1[[#This Row],[CONCEPTO mx]]="","",VLOOKUP(Tabla1[[#This Row],[CONCEPTO mx]],Tabla2[#All],2,0)),"")</f>
        <v/>
      </c>
      <c r="G237" s="49" t="str">
        <f>IFERROR(IF(Tabla1[[#This Row],[CONCEPTO mx]]="","",VLOOKUP(Tabla1[[#This Row],[CONCEPTO mx]],Tabla2[#All],3,0)),"")</f>
        <v/>
      </c>
      <c r="H237" s="49" t="s">
        <v>542</v>
      </c>
      <c r="I237" s="49" t="s">
        <v>2298</v>
      </c>
      <c r="J237" s="53"/>
    </row>
    <row r="238" spans="1:10" x14ac:dyDescent="0.25">
      <c r="A238" s="51">
        <v>43164</v>
      </c>
      <c r="C238" s="49" t="s">
        <v>1615</v>
      </c>
      <c r="D238" s="49" t="s">
        <v>2273</v>
      </c>
      <c r="F238" s="49" t="str">
        <f>IFERROR(IF(Tabla1[[#This Row],[CONCEPTO mx]]="","",VLOOKUP(Tabla1[[#This Row],[CONCEPTO mx]],Tabla2[#All],2,0)),"")</f>
        <v/>
      </c>
      <c r="G238" s="49" t="str">
        <f>IFERROR(IF(Tabla1[[#This Row],[CONCEPTO mx]]="","",VLOOKUP(Tabla1[[#This Row],[CONCEPTO mx]],Tabla2[#All],3,0)),"")</f>
        <v/>
      </c>
      <c r="H238" s="49" t="s">
        <v>550</v>
      </c>
      <c r="I238" s="49" t="s">
        <v>2327</v>
      </c>
      <c r="J238" s="53"/>
    </row>
    <row r="239" spans="1:10" x14ac:dyDescent="0.25">
      <c r="A239" s="51">
        <v>43165</v>
      </c>
      <c r="C239" s="49" t="s">
        <v>1616</v>
      </c>
      <c r="D239" s="49" t="s">
        <v>51</v>
      </c>
      <c r="F239" s="49" t="str">
        <f>IFERROR(IF(Tabla1[[#This Row],[CONCEPTO mx]]="","",VLOOKUP(Tabla1[[#This Row],[CONCEPTO mx]],Tabla2[#All],2,0)),"")</f>
        <v/>
      </c>
      <c r="G239" s="49" t="str">
        <f>IFERROR(IF(Tabla1[[#This Row],[CONCEPTO mx]]="","",VLOOKUP(Tabla1[[#This Row],[CONCEPTO mx]],Tabla2[#All],3,0)),"")</f>
        <v/>
      </c>
      <c r="H239" s="49" t="s">
        <v>486</v>
      </c>
      <c r="I239" s="49" t="s">
        <v>2298</v>
      </c>
      <c r="J239" s="53" t="s">
        <v>2671</v>
      </c>
    </row>
    <row r="240" spans="1:10" x14ac:dyDescent="0.25">
      <c r="A240" s="51">
        <v>43165</v>
      </c>
      <c r="C240" s="49" t="s">
        <v>1617</v>
      </c>
      <c r="D240" s="49" t="s">
        <v>2273</v>
      </c>
      <c r="F240" s="49" t="str">
        <f>IFERROR(IF(Tabla1[[#This Row],[CONCEPTO mx]]="","",VLOOKUP(Tabla1[[#This Row],[CONCEPTO mx]],Tabla2[#All],2,0)),"")</f>
        <v/>
      </c>
      <c r="G240" s="49" t="str">
        <f>IFERROR(IF(Tabla1[[#This Row],[CONCEPTO mx]]="","",VLOOKUP(Tabla1[[#This Row],[CONCEPTO mx]],Tabla2[#All],3,0)),"")</f>
        <v/>
      </c>
      <c r="H240" s="49" t="s">
        <v>486</v>
      </c>
      <c r="I240" s="49" t="s">
        <v>2298</v>
      </c>
      <c r="J240" s="53" t="s">
        <v>2351</v>
      </c>
    </row>
    <row r="241" spans="1:10" x14ac:dyDescent="0.25">
      <c r="A241" s="51">
        <v>43166</v>
      </c>
      <c r="C241" s="49" t="s">
        <v>1618</v>
      </c>
      <c r="E241" s="49" t="s">
        <v>2355</v>
      </c>
      <c r="F241" s="49" t="str">
        <f>IFERROR(IF(Tabla1[[#This Row],[CONCEPTO mx]]="","",VLOOKUP(Tabla1[[#This Row],[CONCEPTO mx]],Tabla2[#All],2,0)),"")</f>
        <v>CM13</v>
      </c>
      <c r="G241" s="49" t="str">
        <f>IFERROR(IF(Tabla1[[#This Row],[CONCEPTO mx]]="","",VLOOKUP(Tabla1[[#This Row],[CONCEPTO mx]],Tabla2[#All],3,0)),"")</f>
        <v>Gestión Humana</v>
      </c>
      <c r="H241" s="49" t="s">
        <v>628</v>
      </c>
      <c r="I241" s="49" t="s">
        <v>2298</v>
      </c>
      <c r="J241" s="53" t="s">
        <v>2302</v>
      </c>
    </row>
    <row r="242" spans="1:10" x14ac:dyDescent="0.25">
      <c r="A242" s="51">
        <v>43166</v>
      </c>
      <c r="C242" s="49" t="s">
        <v>1619</v>
      </c>
      <c r="D242" s="49" t="s">
        <v>1571</v>
      </c>
      <c r="F242" s="49" t="str">
        <f>IFERROR(IF(Tabla1[[#This Row],[CONCEPTO mx]]="","",VLOOKUP(Tabla1[[#This Row],[CONCEPTO mx]],Tabla2[#All],2,0)),"")</f>
        <v/>
      </c>
      <c r="G242" s="49" t="str">
        <f>IFERROR(IF(Tabla1[[#This Row],[CONCEPTO mx]]="","",VLOOKUP(Tabla1[[#This Row],[CONCEPTO mx]],Tabla2[#All],3,0)),"")</f>
        <v/>
      </c>
      <c r="H242" s="49" t="s">
        <v>352</v>
      </c>
      <c r="I242" s="49" t="s">
        <v>2298</v>
      </c>
      <c r="J242" s="53" t="s">
        <v>2727</v>
      </c>
    </row>
    <row r="243" spans="1:10" x14ac:dyDescent="0.25">
      <c r="A243" s="51">
        <v>43166</v>
      </c>
      <c r="C243" s="49" t="s">
        <v>1620</v>
      </c>
      <c r="D243" s="49" t="s">
        <v>2273</v>
      </c>
      <c r="F243" s="49" t="str">
        <f>IFERROR(IF(Tabla1[[#This Row],[CONCEPTO mx]]="","",VLOOKUP(Tabla1[[#This Row],[CONCEPTO mx]],Tabla2[#All],2,0)),"")</f>
        <v/>
      </c>
      <c r="G243" s="49" t="str">
        <f>IFERROR(IF(Tabla1[[#This Row],[CONCEPTO mx]]="","",VLOOKUP(Tabla1[[#This Row],[CONCEPTO mx]],Tabla2[#All],3,0)),"")</f>
        <v/>
      </c>
      <c r="H243" s="49" t="s">
        <v>528</v>
      </c>
      <c r="I243" s="49" t="s">
        <v>2298</v>
      </c>
      <c r="J243" s="53" t="s">
        <v>2693</v>
      </c>
    </row>
    <row r="244" spans="1:10" x14ac:dyDescent="0.25">
      <c r="A244" s="51">
        <v>43167</v>
      </c>
      <c r="C244" s="49" t="s">
        <v>1621</v>
      </c>
      <c r="D244" s="49" t="s">
        <v>51</v>
      </c>
      <c r="F244" s="49" t="str">
        <f>IFERROR(IF(Tabla1[[#This Row],[CONCEPTO mx]]="","",VLOOKUP(Tabla1[[#This Row],[CONCEPTO mx]],Tabla2[#All],2,0)),"")</f>
        <v/>
      </c>
      <c r="G244" s="49" t="str">
        <f>IFERROR(IF(Tabla1[[#This Row],[CONCEPTO mx]]="","",VLOOKUP(Tabla1[[#This Row],[CONCEPTO mx]],Tabla2[#All],3,0)),"")</f>
        <v/>
      </c>
      <c r="H244" s="49" t="s">
        <v>470</v>
      </c>
      <c r="I244" s="49" t="s">
        <v>2328</v>
      </c>
      <c r="J244" s="53"/>
    </row>
    <row r="245" spans="1:10" x14ac:dyDescent="0.25">
      <c r="A245" s="51">
        <v>43168</v>
      </c>
      <c r="C245" s="49" t="s">
        <v>1622</v>
      </c>
      <c r="D245" s="49" t="s">
        <v>51</v>
      </c>
      <c r="F245" s="49" t="str">
        <f>IFERROR(IF(Tabla1[[#This Row],[CONCEPTO mx]]="","",VLOOKUP(Tabla1[[#This Row],[CONCEPTO mx]],Tabla2[#All],2,0)),"")</f>
        <v/>
      </c>
      <c r="G245" s="49" t="str">
        <f>IFERROR(IF(Tabla1[[#This Row],[CONCEPTO mx]]="","",VLOOKUP(Tabla1[[#This Row],[CONCEPTO mx]],Tabla2[#All],3,0)),"")</f>
        <v/>
      </c>
      <c r="H245" s="49" t="s">
        <v>2391</v>
      </c>
      <c r="I245" s="49" t="s">
        <v>2298</v>
      </c>
      <c r="J245" s="53" t="s">
        <v>2353</v>
      </c>
    </row>
    <row r="246" spans="1:10" x14ac:dyDescent="0.25">
      <c r="A246" s="51">
        <v>43168</v>
      </c>
      <c r="C246" s="49" t="s">
        <v>1625</v>
      </c>
      <c r="D246" s="49" t="s">
        <v>2273</v>
      </c>
      <c r="F246" s="49" t="str">
        <f>IFERROR(IF(Tabla1[[#This Row],[CONCEPTO mx]]="","",VLOOKUP(Tabla1[[#This Row],[CONCEPTO mx]],Tabla2[#All],2,0)),"")</f>
        <v/>
      </c>
      <c r="G246" s="49" t="str">
        <f>IFERROR(IF(Tabla1[[#This Row],[CONCEPTO mx]]="","",VLOOKUP(Tabla1[[#This Row],[CONCEPTO mx]],Tabla2[#All],3,0)),"")</f>
        <v/>
      </c>
      <c r="H246" s="49" t="s">
        <v>357</v>
      </c>
      <c r="I246" s="49" t="s">
        <v>2298</v>
      </c>
      <c r="J246" s="53" t="s">
        <v>2766</v>
      </c>
    </row>
    <row r="247" spans="1:10" x14ac:dyDescent="0.25">
      <c r="A247" s="51">
        <v>43168</v>
      </c>
      <c r="C247" s="49" t="s">
        <v>1629</v>
      </c>
      <c r="D247" s="49" t="s">
        <v>2273</v>
      </c>
      <c r="F247" s="49" t="str">
        <f>IFERROR(IF(Tabla1[[#This Row],[CONCEPTO mx]]="","",VLOOKUP(Tabla1[[#This Row],[CONCEPTO mx]],Tabla2[#All],2,0)),"")</f>
        <v/>
      </c>
      <c r="G247" s="49" t="str">
        <f>IFERROR(IF(Tabla1[[#This Row],[CONCEPTO mx]]="","",VLOOKUP(Tabla1[[#This Row],[CONCEPTO mx]],Tabla2[#All],3,0)),"")</f>
        <v/>
      </c>
      <c r="H247" s="49" t="s">
        <v>542</v>
      </c>
      <c r="I247" s="49" t="s">
        <v>2298</v>
      </c>
      <c r="J247" s="53"/>
    </row>
    <row r="248" spans="1:10" x14ac:dyDescent="0.25">
      <c r="A248" s="51">
        <v>43168</v>
      </c>
      <c r="C248" s="49" t="s">
        <v>1631</v>
      </c>
      <c r="E248" s="49" t="s">
        <v>2355</v>
      </c>
      <c r="F248" s="49" t="str">
        <f>IFERROR(IF(Tabla1[[#This Row],[CONCEPTO mx]]="","",VLOOKUP(Tabla1[[#This Row],[CONCEPTO mx]],Tabla2[#All],2,0)),"")</f>
        <v>CM13</v>
      </c>
      <c r="G248" s="49" t="str">
        <f>IFERROR(IF(Tabla1[[#This Row],[CONCEPTO mx]]="","",VLOOKUP(Tabla1[[#This Row],[CONCEPTO mx]],Tabla2[#All],3,0)),"")</f>
        <v>Gestión Humana</v>
      </c>
      <c r="H248" s="49" t="s">
        <v>486</v>
      </c>
      <c r="I248" s="49" t="s">
        <v>2298</v>
      </c>
      <c r="J248" s="53" t="s">
        <v>2741</v>
      </c>
    </row>
    <row r="249" spans="1:10" x14ac:dyDescent="0.25">
      <c r="A249" s="51">
        <v>43168</v>
      </c>
      <c r="C249" s="49" t="s">
        <v>1630</v>
      </c>
      <c r="D249" s="49" t="s">
        <v>51</v>
      </c>
      <c r="E249" s="49" t="s">
        <v>3315</v>
      </c>
      <c r="F249" s="49" t="str">
        <f>IFERROR(IF(Tabla1[[#This Row],[CONCEPTO mx]]="","",VLOOKUP(Tabla1[[#This Row],[CONCEPTO mx]],Tabla2[#All],2,0)),"")</f>
        <v>CM40</v>
      </c>
      <c r="G249" s="49" t="str">
        <f>IFERROR(IF(Tabla1[[#This Row],[CONCEPTO mx]]="","",VLOOKUP(Tabla1[[#This Row],[CONCEPTO mx]],Tabla2[#All],3,0)),"")</f>
        <v>SST</v>
      </c>
      <c r="H249" s="49" t="s">
        <v>343</v>
      </c>
      <c r="I249" s="49" t="s">
        <v>2298</v>
      </c>
      <c r="J249" s="53"/>
    </row>
    <row r="250" spans="1:10" x14ac:dyDescent="0.25">
      <c r="A250" s="51">
        <v>43168</v>
      </c>
      <c r="C250" s="49" t="s">
        <v>1623</v>
      </c>
      <c r="D250" s="49" t="s">
        <v>1624</v>
      </c>
      <c r="F250" s="49" t="str">
        <f>IFERROR(IF(Tabla1[[#This Row],[CONCEPTO mx]]="","",VLOOKUP(Tabla1[[#This Row],[CONCEPTO mx]],Tabla2[#All],2,0)),"")</f>
        <v/>
      </c>
      <c r="G250" s="49" t="str">
        <f>IFERROR(IF(Tabla1[[#This Row],[CONCEPTO mx]]="","",VLOOKUP(Tabla1[[#This Row],[CONCEPTO mx]],Tabla2[#All],3,0)),"")</f>
        <v/>
      </c>
      <c r="H250" s="49" t="s">
        <v>470</v>
      </c>
      <c r="I250" s="49" t="s">
        <v>2328</v>
      </c>
      <c r="J250" s="53"/>
    </row>
    <row r="251" spans="1:10" x14ac:dyDescent="0.25">
      <c r="A251" s="51">
        <v>43168</v>
      </c>
      <c r="C251" s="49" t="s">
        <v>1627</v>
      </c>
      <c r="D251" s="49" t="s">
        <v>51</v>
      </c>
      <c r="F251" s="49" t="str">
        <f>IFERROR(IF(Tabla1[[#This Row],[CONCEPTO mx]]="","",VLOOKUP(Tabla1[[#This Row],[CONCEPTO mx]],Tabla2[#All],2,0)),"")</f>
        <v/>
      </c>
      <c r="G251" s="49" t="str">
        <f>IFERROR(IF(Tabla1[[#This Row],[CONCEPTO mx]]="","",VLOOKUP(Tabla1[[#This Row],[CONCEPTO mx]],Tabla2[#All],3,0)),"")</f>
        <v/>
      </c>
      <c r="H251" s="49" t="s">
        <v>343</v>
      </c>
      <c r="I251" s="49" t="s">
        <v>2339</v>
      </c>
      <c r="J251" s="53"/>
    </row>
    <row r="252" spans="1:10" x14ac:dyDescent="0.25">
      <c r="A252" s="51">
        <v>43168</v>
      </c>
      <c r="C252" s="49" t="s">
        <v>1626</v>
      </c>
      <c r="D252" s="49" t="s">
        <v>51</v>
      </c>
      <c r="E252" s="49" t="s">
        <v>3315</v>
      </c>
      <c r="F252" s="49" t="str">
        <f>IFERROR(IF(Tabla1[[#This Row],[CONCEPTO mx]]="","",VLOOKUP(Tabla1[[#This Row],[CONCEPTO mx]],Tabla2[#All],2,0)),"")</f>
        <v>CM40</v>
      </c>
      <c r="G252" s="49" t="str">
        <f>IFERROR(IF(Tabla1[[#This Row],[CONCEPTO mx]]="","",VLOOKUP(Tabla1[[#This Row],[CONCEPTO mx]],Tabla2[#All],3,0)),"")</f>
        <v>SST</v>
      </c>
      <c r="H252" s="49" t="s">
        <v>486</v>
      </c>
      <c r="I252" s="49" t="s">
        <v>2298</v>
      </c>
      <c r="J252" s="53" t="s">
        <v>2735</v>
      </c>
    </row>
    <row r="253" spans="1:10" x14ac:dyDescent="0.25">
      <c r="A253" s="51">
        <v>43168</v>
      </c>
      <c r="C253" s="49" t="s">
        <v>1628</v>
      </c>
      <c r="D253" s="49" t="s">
        <v>51</v>
      </c>
      <c r="F253" s="49" t="str">
        <f>IFERROR(IF(Tabla1[[#This Row],[CONCEPTO mx]]="","",VLOOKUP(Tabla1[[#This Row],[CONCEPTO mx]],Tabla2[#All],2,0)),"")</f>
        <v/>
      </c>
      <c r="G253" s="49" t="str">
        <f>IFERROR(IF(Tabla1[[#This Row],[CONCEPTO mx]]="","",VLOOKUP(Tabla1[[#This Row],[CONCEPTO mx]],Tabla2[#All],3,0)),"")</f>
        <v/>
      </c>
      <c r="H253" s="49" t="s">
        <v>387</v>
      </c>
      <c r="I253" s="49" t="s">
        <v>2298</v>
      </c>
      <c r="J253" s="53"/>
    </row>
    <row r="254" spans="1:10" x14ac:dyDescent="0.25">
      <c r="A254" s="51">
        <v>43168</v>
      </c>
      <c r="C254" s="49" t="s">
        <v>1466</v>
      </c>
      <c r="D254" s="49" t="s">
        <v>2273</v>
      </c>
      <c r="F254" s="49" t="str">
        <f>IFERROR(IF(Tabla1[[#This Row],[CONCEPTO mx]]="","",VLOOKUP(Tabla1[[#This Row],[CONCEPTO mx]],Tabla2[#All],2,0)),"")</f>
        <v/>
      </c>
      <c r="G254" s="49" t="str">
        <f>IFERROR(IF(Tabla1[[#This Row],[CONCEPTO mx]]="","",VLOOKUP(Tabla1[[#This Row],[CONCEPTO mx]],Tabla2[#All],3,0)),"")</f>
        <v/>
      </c>
      <c r="H254" s="49" t="s">
        <v>2391</v>
      </c>
      <c r="I254" s="49" t="s">
        <v>2298</v>
      </c>
      <c r="J254" s="53" t="s">
        <v>2402</v>
      </c>
    </row>
    <row r="255" spans="1:10" x14ac:dyDescent="0.25">
      <c r="A255" s="51">
        <v>43171</v>
      </c>
      <c r="C255" s="49" t="s">
        <v>1635</v>
      </c>
      <c r="D255" s="49" t="s">
        <v>2273</v>
      </c>
      <c r="F255" s="49" t="str">
        <f>IFERROR(IF(Tabla1[[#This Row],[CONCEPTO mx]]="","",VLOOKUP(Tabla1[[#This Row],[CONCEPTO mx]],Tabla2[#All],2,0)),"")</f>
        <v/>
      </c>
      <c r="G255" s="49" t="str">
        <f>IFERROR(IF(Tabla1[[#This Row],[CONCEPTO mx]]="","",VLOOKUP(Tabla1[[#This Row],[CONCEPTO mx]],Tabla2[#All],3,0)),"")</f>
        <v/>
      </c>
      <c r="H255" s="49" t="s">
        <v>406</v>
      </c>
      <c r="I255" s="49" t="s">
        <v>1637</v>
      </c>
      <c r="J255" s="53"/>
    </row>
    <row r="256" spans="1:10" x14ac:dyDescent="0.25">
      <c r="A256" s="51">
        <v>43171</v>
      </c>
      <c r="C256" s="49" t="s">
        <v>1634</v>
      </c>
      <c r="D256" s="49" t="s">
        <v>51</v>
      </c>
      <c r="F256" s="49" t="str">
        <f>IFERROR(IF(Tabla1[[#This Row],[CONCEPTO mx]]="","",VLOOKUP(Tabla1[[#This Row],[CONCEPTO mx]],Tabla2[#All],2,0)),"")</f>
        <v/>
      </c>
      <c r="G256" s="49" t="str">
        <f>IFERROR(IF(Tabla1[[#This Row],[CONCEPTO mx]]="","",VLOOKUP(Tabla1[[#This Row],[CONCEPTO mx]],Tabla2[#All],3,0)),"")</f>
        <v/>
      </c>
      <c r="H256" s="49" t="s">
        <v>550</v>
      </c>
      <c r="I256" s="49" t="s">
        <v>2327</v>
      </c>
      <c r="J256" s="53"/>
    </row>
    <row r="257" spans="1:10" x14ac:dyDescent="0.25">
      <c r="A257" s="51">
        <v>43171</v>
      </c>
      <c r="C257" s="49" t="s">
        <v>1633</v>
      </c>
      <c r="D257" s="49" t="s">
        <v>51</v>
      </c>
      <c r="E257" s="49" t="s">
        <v>3315</v>
      </c>
      <c r="F257" s="49" t="str">
        <f>IFERROR(IF(Tabla1[[#This Row],[CONCEPTO mx]]="","",VLOOKUP(Tabla1[[#This Row],[CONCEPTO mx]],Tabla2[#All],2,0)),"")</f>
        <v>CM40</v>
      </c>
      <c r="G257" s="49" t="str">
        <f>IFERROR(IF(Tabla1[[#This Row],[CONCEPTO mx]]="","",VLOOKUP(Tabla1[[#This Row],[CONCEPTO mx]],Tabla2[#All],3,0)),"")</f>
        <v>SST</v>
      </c>
      <c r="H257" s="49" t="s">
        <v>343</v>
      </c>
      <c r="I257" s="49" t="s">
        <v>2298</v>
      </c>
      <c r="J257" s="53"/>
    </row>
    <row r="258" spans="1:10" x14ac:dyDescent="0.25">
      <c r="A258" s="51">
        <v>43171</v>
      </c>
      <c r="C258" s="49" t="s">
        <v>1379</v>
      </c>
      <c r="D258" s="49" t="s">
        <v>51</v>
      </c>
      <c r="F258" s="49" t="str">
        <f>IFERROR(IF(Tabla1[[#This Row],[CONCEPTO mx]]="","",VLOOKUP(Tabla1[[#This Row],[CONCEPTO mx]],Tabla2[#All],2,0)),"")</f>
        <v/>
      </c>
      <c r="G258" s="49" t="str">
        <f>IFERROR(IF(Tabla1[[#This Row],[CONCEPTO mx]]="","",VLOOKUP(Tabla1[[#This Row],[CONCEPTO mx]],Tabla2[#All],3,0)),"")</f>
        <v/>
      </c>
      <c r="H258" s="49" t="s">
        <v>2391</v>
      </c>
      <c r="I258" s="49" t="s">
        <v>2298</v>
      </c>
      <c r="J258" s="53" t="s">
        <v>2767</v>
      </c>
    </row>
    <row r="259" spans="1:10" x14ac:dyDescent="0.25">
      <c r="A259" s="51">
        <v>43171</v>
      </c>
      <c r="C259" s="49" t="s">
        <v>1638</v>
      </c>
      <c r="D259" s="49" t="s">
        <v>51</v>
      </c>
      <c r="E259" s="49" t="s">
        <v>3315</v>
      </c>
      <c r="F259" s="49" t="str">
        <f>IFERROR(IF(Tabla1[[#This Row],[CONCEPTO mx]]="","",VLOOKUP(Tabla1[[#This Row],[CONCEPTO mx]],Tabla2[#All],2,0)),"")</f>
        <v>CM40</v>
      </c>
      <c r="G259" s="49" t="str">
        <f>IFERROR(IF(Tabla1[[#This Row],[CONCEPTO mx]]="","",VLOOKUP(Tabla1[[#This Row],[CONCEPTO mx]],Tabla2[#All],3,0)),"")</f>
        <v>SST</v>
      </c>
      <c r="H259" s="49" t="s">
        <v>550</v>
      </c>
      <c r="I259" s="49" t="s">
        <v>2318</v>
      </c>
      <c r="J259" s="53"/>
    </row>
    <row r="260" spans="1:10" x14ac:dyDescent="0.25">
      <c r="A260" s="51">
        <v>43171</v>
      </c>
      <c r="C260" s="49" t="s">
        <v>1607</v>
      </c>
      <c r="D260" s="49" t="s">
        <v>2273</v>
      </c>
      <c r="F260" s="49" t="str">
        <f>IFERROR(IF(Tabla1[[#This Row],[CONCEPTO mx]]="","",VLOOKUP(Tabla1[[#This Row],[CONCEPTO mx]],Tabla2[#All],2,0)),"")</f>
        <v/>
      </c>
      <c r="G260" s="49" t="str">
        <f>IFERROR(IF(Tabla1[[#This Row],[CONCEPTO mx]]="","",VLOOKUP(Tabla1[[#This Row],[CONCEPTO mx]],Tabla2[#All],3,0)),"")</f>
        <v/>
      </c>
      <c r="H260" s="49" t="s">
        <v>550</v>
      </c>
      <c r="I260" s="49" t="s">
        <v>2298</v>
      </c>
      <c r="J260" s="53" t="s">
        <v>2353</v>
      </c>
    </row>
    <row r="261" spans="1:10" x14ac:dyDescent="0.25">
      <c r="A261" s="51">
        <v>43171</v>
      </c>
      <c r="C261" s="49" t="s">
        <v>1642</v>
      </c>
      <c r="E261" s="49" t="s">
        <v>2355</v>
      </c>
      <c r="F261" s="49" t="str">
        <f>IFERROR(IF(Tabla1[[#This Row],[CONCEPTO mx]]="","",VLOOKUP(Tabla1[[#This Row],[CONCEPTO mx]],Tabla2[#All],2,0)),"")</f>
        <v>CM13</v>
      </c>
      <c r="G261" s="49" t="str">
        <f>IFERROR(IF(Tabla1[[#This Row],[CONCEPTO mx]]="","",VLOOKUP(Tabla1[[#This Row],[CONCEPTO mx]],Tabla2[#All],3,0)),"")</f>
        <v>Gestión Humana</v>
      </c>
      <c r="H261" s="49" t="s">
        <v>550</v>
      </c>
      <c r="I261" s="49" t="s">
        <v>2318</v>
      </c>
      <c r="J261" s="53"/>
    </row>
    <row r="262" spans="1:10" x14ac:dyDescent="0.25">
      <c r="A262" s="51">
        <v>43171</v>
      </c>
      <c r="C262" s="49" t="s">
        <v>1640</v>
      </c>
      <c r="D262" s="49" t="s">
        <v>1641</v>
      </c>
      <c r="F262" s="49" t="str">
        <f>IFERROR(IF(Tabla1[[#This Row],[CONCEPTO mx]]="","",VLOOKUP(Tabla1[[#This Row],[CONCEPTO mx]],Tabla2[#All],2,0)),"")</f>
        <v/>
      </c>
      <c r="G262" s="49" t="str">
        <f>IFERROR(IF(Tabla1[[#This Row],[CONCEPTO mx]]="","",VLOOKUP(Tabla1[[#This Row],[CONCEPTO mx]],Tabla2[#All],3,0)),"")</f>
        <v/>
      </c>
      <c r="H262" s="49" t="s">
        <v>387</v>
      </c>
      <c r="I262" s="49" t="s">
        <v>2339</v>
      </c>
      <c r="J262" s="53"/>
    </row>
    <row r="263" spans="1:10" x14ac:dyDescent="0.25">
      <c r="A263" s="51">
        <v>43171</v>
      </c>
      <c r="C263" s="49" t="s">
        <v>1636</v>
      </c>
      <c r="D263" s="49" t="s">
        <v>2273</v>
      </c>
      <c r="F263" s="49" t="str">
        <f>IFERROR(IF(Tabla1[[#This Row],[CONCEPTO mx]]="","",VLOOKUP(Tabla1[[#This Row],[CONCEPTO mx]],Tabla2[#All],2,0)),"")</f>
        <v/>
      </c>
      <c r="G263" s="49" t="str">
        <f>IFERROR(IF(Tabla1[[#This Row],[CONCEPTO mx]]="","",VLOOKUP(Tabla1[[#This Row],[CONCEPTO mx]],Tabla2[#All],3,0)),"")</f>
        <v/>
      </c>
      <c r="H263" s="49" t="s">
        <v>388</v>
      </c>
      <c r="I263" s="49" t="s">
        <v>2298</v>
      </c>
      <c r="J263" s="53"/>
    </row>
    <row r="264" spans="1:10" x14ac:dyDescent="0.25">
      <c r="A264" s="51">
        <v>43173</v>
      </c>
      <c r="C264" s="49" t="s">
        <v>1645</v>
      </c>
      <c r="D264" s="49" t="s">
        <v>2273</v>
      </c>
      <c r="F264" s="49" t="str">
        <f>IFERROR(IF(Tabla1[[#This Row],[CONCEPTO mx]]="","",VLOOKUP(Tabla1[[#This Row],[CONCEPTO mx]],Tabla2[#All],2,0)),"")</f>
        <v/>
      </c>
      <c r="G264" s="49" t="str">
        <f>IFERROR(IF(Tabla1[[#This Row],[CONCEPTO mx]]="","",VLOOKUP(Tabla1[[#This Row],[CONCEPTO mx]],Tabla2[#All],3,0)),"")</f>
        <v/>
      </c>
      <c r="H264" s="49" t="s">
        <v>388</v>
      </c>
      <c r="I264" s="49" t="s">
        <v>2298</v>
      </c>
      <c r="J264" s="53"/>
    </row>
    <row r="265" spans="1:10" x14ac:dyDescent="0.25">
      <c r="A265" s="51">
        <v>43173</v>
      </c>
      <c r="C265" s="49" t="s">
        <v>1647</v>
      </c>
      <c r="D265" s="49" t="s">
        <v>2273</v>
      </c>
      <c r="F265" s="49" t="str">
        <f>IFERROR(IF(Tabla1[[#This Row],[CONCEPTO mx]]="","",VLOOKUP(Tabla1[[#This Row],[CONCEPTO mx]],Tabla2[#All],2,0)),"")</f>
        <v/>
      </c>
      <c r="G265" s="49" t="str">
        <f>IFERROR(IF(Tabla1[[#This Row],[CONCEPTO mx]]="","",VLOOKUP(Tabla1[[#This Row],[CONCEPTO mx]],Tabla2[#All],3,0)),"")</f>
        <v/>
      </c>
      <c r="H265" s="49" t="s">
        <v>334</v>
      </c>
      <c r="I265" s="49" t="s">
        <v>1648</v>
      </c>
      <c r="J265" s="53"/>
    </row>
    <row r="266" spans="1:10" x14ac:dyDescent="0.25">
      <c r="A266" s="51">
        <v>43173</v>
      </c>
      <c r="C266" s="49" t="s">
        <v>1646</v>
      </c>
      <c r="D266" s="49" t="s">
        <v>2273</v>
      </c>
      <c r="F266" s="49" t="str">
        <f>IFERROR(IF(Tabla1[[#This Row],[CONCEPTO mx]]="","",VLOOKUP(Tabla1[[#This Row],[CONCEPTO mx]],Tabla2[#All],2,0)),"")</f>
        <v/>
      </c>
      <c r="G266" s="49" t="str">
        <f>IFERROR(IF(Tabla1[[#This Row],[CONCEPTO mx]]="","",VLOOKUP(Tabla1[[#This Row],[CONCEPTO mx]],Tabla2[#All],3,0)),"")</f>
        <v/>
      </c>
      <c r="H266" s="49" t="s">
        <v>406</v>
      </c>
      <c r="I266" s="49" t="s">
        <v>2326</v>
      </c>
      <c r="J266" s="53"/>
    </row>
    <row r="267" spans="1:10" x14ac:dyDescent="0.25">
      <c r="A267" s="51">
        <v>43173</v>
      </c>
      <c r="C267" s="49" t="s">
        <v>1644</v>
      </c>
      <c r="D267" s="49" t="s">
        <v>51</v>
      </c>
      <c r="E267" s="49" t="s">
        <v>3315</v>
      </c>
      <c r="F267" s="49" t="str">
        <f>IFERROR(IF(Tabla1[[#This Row],[CONCEPTO mx]]="","",VLOOKUP(Tabla1[[#This Row],[CONCEPTO mx]],Tabla2[#All],2,0)),"")</f>
        <v>CM40</v>
      </c>
      <c r="G267" s="49" t="str">
        <f>IFERROR(IF(Tabla1[[#This Row],[CONCEPTO mx]]="","",VLOOKUP(Tabla1[[#This Row],[CONCEPTO mx]],Tabla2[#All],3,0)),"")</f>
        <v>SST</v>
      </c>
      <c r="H267" s="49" t="s">
        <v>388</v>
      </c>
      <c r="I267" s="49" t="s">
        <v>2316</v>
      </c>
      <c r="J267" s="53"/>
    </row>
    <row r="268" spans="1:10" x14ac:dyDescent="0.25">
      <c r="A268" s="51">
        <v>43173</v>
      </c>
      <c r="C268" s="49" t="s">
        <v>1568</v>
      </c>
      <c r="D268" s="49" t="s">
        <v>51</v>
      </c>
      <c r="E268" s="49" t="s">
        <v>3315</v>
      </c>
      <c r="F268" s="49" t="str">
        <f>IFERROR(IF(Tabla1[[#This Row],[CONCEPTO mx]]="","",VLOOKUP(Tabla1[[#This Row],[CONCEPTO mx]],Tabla2[#All],2,0)),"")</f>
        <v>CM40</v>
      </c>
      <c r="G268" s="49" t="str">
        <f>IFERROR(IF(Tabla1[[#This Row],[CONCEPTO mx]]="","",VLOOKUP(Tabla1[[#This Row],[CONCEPTO mx]],Tabla2[#All],3,0)),"")</f>
        <v>SST</v>
      </c>
      <c r="H268" s="49" t="s">
        <v>352</v>
      </c>
      <c r="I268" s="49" t="s">
        <v>2298</v>
      </c>
      <c r="J268" s="53"/>
    </row>
    <row r="269" spans="1:10" x14ac:dyDescent="0.25">
      <c r="A269" s="51">
        <v>43174</v>
      </c>
      <c r="C269" s="49" t="s">
        <v>1650</v>
      </c>
      <c r="D269" s="49" t="s">
        <v>51</v>
      </c>
      <c r="E269" s="49" t="s">
        <v>3315</v>
      </c>
      <c r="F269" s="49" t="str">
        <f>IFERROR(IF(Tabla1[[#This Row],[CONCEPTO mx]]="","",VLOOKUP(Tabla1[[#This Row],[CONCEPTO mx]],Tabla2[#All],2,0)),"")</f>
        <v>CM40</v>
      </c>
      <c r="G269" s="49" t="str">
        <f>IFERROR(IF(Tabla1[[#This Row],[CONCEPTO mx]]="","",VLOOKUP(Tabla1[[#This Row],[CONCEPTO mx]],Tabla2[#All],3,0)),"")</f>
        <v>SST</v>
      </c>
      <c r="H269" s="49" t="s">
        <v>550</v>
      </c>
      <c r="I269" s="49" t="s">
        <v>2298</v>
      </c>
      <c r="J269" s="53" t="s">
        <v>2768</v>
      </c>
    </row>
    <row r="270" spans="1:10" x14ac:dyDescent="0.25">
      <c r="A270" s="51">
        <v>43174</v>
      </c>
      <c r="C270" s="49" t="s">
        <v>1653</v>
      </c>
      <c r="D270" s="49" t="s">
        <v>51</v>
      </c>
      <c r="E270" s="49" t="s">
        <v>3315</v>
      </c>
      <c r="F270" s="49" t="str">
        <f>IFERROR(IF(Tabla1[[#This Row],[CONCEPTO mx]]="","",VLOOKUP(Tabla1[[#This Row],[CONCEPTO mx]],Tabla2[#All],2,0)),"")</f>
        <v>CM40</v>
      </c>
      <c r="G270" s="49" t="str">
        <f>IFERROR(IF(Tabla1[[#This Row],[CONCEPTO mx]]="","",VLOOKUP(Tabla1[[#This Row],[CONCEPTO mx]],Tabla2[#All],3,0)),"")</f>
        <v>SST</v>
      </c>
      <c r="H270" s="49" t="s">
        <v>486</v>
      </c>
      <c r="I270" s="49" t="s">
        <v>2298</v>
      </c>
      <c r="J270" s="53" t="s">
        <v>2769</v>
      </c>
    </row>
    <row r="271" spans="1:10" x14ac:dyDescent="0.25">
      <c r="A271" s="51">
        <v>43174</v>
      </c>
      <c r="C271" s="49" t="s">
        <v>1655</v>
      </c>
      <c r="D271" s="49" t="s">
        <v>51</v>
      </c>
      <c r="E271" s="49" t="s">
        <v>3315</v>
      </c>
      <c r="F271" s="49" t="str">
        <f>IFERROR(IF(Tabla1[[#This Row],[CONCEPTO mx]]="","",VLOOKUP(Tabla1[[#This Row],[CONCEPTO mx]],Tabla2[#All],2,0)),"")</f>
        <v>CM40</v>
      </c>
      <c r="G271" s="49" t="str">
        <f>IFERROR(IF(Tabla1[[#This Row],[CONCEPTO mx]]="","",VLOOKUP(Tabla1[[#This Row],[CONCEPTO mx]],Tabla2[#All],3,0)),"")</f>
        <v>SST</v>
      </c>
      <c r="H271" s="49" t="s">
        <v>550</v>
      </c>
      <c r="I271" s="49" t="s">
        <v>2327</v>
      </c>
      <c r="J271" s="53"/>
    </row>
    <row r="272" spans="1:10" x14ac:dyDescent="0.25">
      <c r="A272" s="51">
        <v>43174</v>
      </c>
      <c r="C272" s="49" t="s">
        <v>1654</v>
      </c>
      <c r="D272" s="49" t="s">
        <v>51</v>
      </c>
      <c r="F272" s="49" t="str">
        <f>IFERROR(IF(Tabla1[[#This Row],[CONCEPTO mx]]="","",VLOOKUP(Tabla1[[#This Row],[CONCEPTO mx]],Tabla2[#All],2,0)),"")</f>
        <v/>
      </c>
      <c r="G272" s="49" t="str">
        <f>IFERROR(IF(Tabla1[[#This Row],[CONCEPTO mx]]="","",VLOOKUP(Tabla1[[#This Row],[CONCEPTO mx]],Tabla2[#All],3,0)),"")</f>
        <v/>
      </c>
      <c r="H272" s="49" t="s">
        <v>486</v>
      </c>
      <c r="I272" s="49" t="s">
        <v>2298</v>
      </c>
      <c r="J272" s="53" t="s">
        <v>2769</v>
      </c>
    </row>
    <row r="273" spans="1:10" x14ac:dyDescent="0.25">
      <c r="A273" s="51">
        <v>43174</v>
      </c>
      <c r="C273" s="49" t="s">
        <v>1652</v>
      </c>
      <c r="D273" s="49" t="s">
        <v>51</v>
      </c>
      <c r="E273" s="49" t="s">
        <v>3315</v>
      </c>
      <c r="F273" s="49" t="str">
        <f>IFERROR(IF(Tabla1[[#This Row],[CONCEPTO mx]]="","",VLOOKUP(Tabla1[[#This Row],[CONCEPTO mx]],Tabla2[#All],2,0)),"")</f>
        <v>CM40</v>
      </c>
      <c r="G273" s="49" t="str">
        <f>IFERROR(IF(Tabla1[[#This Row],[CONCEPTO mx]]="","",VLOOKUP(Tabla1[[#This Row],[CONCEPTO mx]],Tabla2[#All],3,0)),"")</f>
        <v>SST</v>
      </c>
      <c r="H273" s="49" t="s">
        <v>486</v>
      </c>
      <c r="I273" s="49" t="s">
        <v>2298</v>
      </c>
      <c r="J273" s="53" t="s">
        <v>2769</v>
      </c>
    </row>
    <row r="274" spans="1:10" x14ac:dyDescent="0.25">
      <c r="A274" s="51">
        <v>43174</v>
      </c>
      <c r="C274" s="49" t="s">
        <v>1690</v>
      </c>
      <c r="D274" s="49" t="s">
        <v>51</v>
      </c>
      <c r="E274" s="49" t="s">
        <v>3315</v>
      </c>
      <c r="F274" s="49" t="str">
        <f>IFERROR(IF(Tabla1[[#This Row],[CONCEPTO mx]]="","",VLOOKUP(Tabla1[[#This Row],[CONCEPTO mx]],Tabla2[#All],2,0)),"")</f>
        <v>CM40</v>
      </c>
      <c r="G274" s="49" t="str">
        <f>IFERROR(IF(Tabla1[[#This Row],[CONCEPTO mx]]="","",VLOOKUP(Tabla1[[#This Row],[CONCEPTO mx]],Tabla2[#All],3,0)),"")</f>
        <v>SST</v>
      </c>
      <c r="H274" s="49" t="s">
        <v>438</v>
      </c>
      <c r="I274" s="49" t="s">
        <v>2298</v>
      </c>
      <c r="J274" s="53" t="s">
        <v>2770</v>
      </c>
    </row>
    <row r="275" spans="1:10" x14ac:dyDescent="0.25">
      <c r="A275" s="51">
        <v>43174</v>
      </c>
      <c r="C275" s="49" t="s">
        <v>1649</v>
      </c>
      <c r="D275" s="49" t="s">
        <v>51</v>
      </c>
      <c r="F275" s="49" t="str">
        <f>IFERROR(IF(Tabla1[[#This Row],[CONCEPTO mx]]="","",VLOOKUP(Tabla1[[#This Row],[CONCEPTO mx]],Tabla2[#All],2,0)),"")</f>
        <v/>
      </c>
      <c r="G275" s="49" t="str">
        <f>IFERROR(IF(Tabla1[[#This Row],[CONCEPTO mx]]="","",VLOOKUP(Tabla1[[#This Row],[CONCEPTO mx]],Tabla2[#All],3,0)),"")</f>
        <v/>
      </c>
      <c r="H275" s="49" t="s">
        <v>438</v>
      </c>
      <c r="I275" s="49" t="s">
        <v>2298</v>
      </c>
      <c r="J275" s="53" t="s">
        <v>2302</v>
      </c>
    </row>
    <row r="276" spans="1:10" x14ac:dyDescent="0.25">
      <c r="A276" s="51">
        <v>43174</v>
      </c>
      <c r="C276" s="49" t="s">
        <v>1658</v>
      </c>
      <c r="D276" s="49" t="s">
        <v>51</v>
      </c>
      <c r="E276" s="49" t="s">
        <v>3315</v>
      </c>
      <c r="F276" s="49" t="str">
        <f>IFERROR(IF(Tabla1[[#This Row],[CONCEPTO mx]]="","",VLOOKUP(Tabla1[[#This Row],[CONCEPTO mx]],Tabla2[#All],2,0)),"")</f>
        <v>CM40</v>
      </c>
      <c r="G276" s="49" t="str">
        <f>IFERROR(IF(Tabla1[[#This Row],[CONCEPTO mx]]="","",VLOOKUP(Tabla1[[#This Row],[CONCEPTO mx]],Tabla2[#All],3,0)),"")</f>
        <v>SST</v>
      </c>
      <c r="H276" s="49" t="s">
        <v>2393</v>
      </c>
      <c r="I276" s="49" t="s">
        <v>2318</v>
      </c>
      <c r="J276" s="53"/>
    </row>
    <row r="277" spans="1:10" x14ac:dyDescent="0.25">
      <c r="A277" s="51">
        <v>43174</v>
      </c>
      <c r="C277" s="49" t="s">
        <v>1659</v>
      </c>
      <c r="D277" s="49" t="s">
        <v>51</v>
      </c>
      <c r="E277" s="49" t="s">
        <v>3315</v>
      </c>
      <c r="F277" s="49" t="str">
        <f>IFERROR(IF(Tabla1[[#This Row],[CONCEPTO mx]]="","",VLOOKUP(Tabla1[[#This Row],[CONCEPTO mx]],Tabla2[#All],2,0)),"")</f>
        <v>CM40</v>
      </c>
      <c r="G277" s="49" t="str">
        <f>IFERROR(IF(Tabla1[[#This Row],[CONCEPTO mx]]="","",VLOOKUP(Tabla1[[#This Row],[CONCEPTO mx]],Tabla2[#All],3,0)),"")</f>
        <v>SST</v>
      </c>
      <c r="H277" s="49" t="s">
        <v>486</v>
      </c>
      <c r="I277" s="49" t="s">
        <v>2328</v>
      </c>
      <c r="J277" s="53"/>
    </row>
    <row r="278" spans="1:10" x14ac:dyDescent="0.25">
      <c r="A278" s="51">
        <v>43174</v>
      </c>
      <c r="C278" s="49" t="s">
        <v>1651</v>
      </c>
      <c r="D278" s="49" t="s">
        <v>51</v>
      </c>
      <c r="F278" s="49" t="str">
        <f>IFERROR(IF(Tabla1[[#This Row],[CONCEPTO mx]]="","",VLOOKUP(Tabla1[[#This Row],[CONCEPTO mx]],Tabla2[#All],2,0)),"")</f>
        <v/>
      </c>
      <c r="G278" s="49" t="str">
        <f>IFERROR(IF(Tabla1[[#This Row],[CONCEPTO mx]]="","",VLOOKUP(Tabla1[[#This Row],[CONCEPTO mx]],Tabla2[#All],3,0)),"")</f>
        <v/>
      </c>
      <c r="H278" s="49" t="s">
        <v>486</v>
      </c>
      <c r="I278" s="49" t="s">
        <v>2298</v>
      </c>
      <c r="J278" s="53" t="s">
        <v>2769</v>
      </c>
    </row>
    <row r="279" spans="1:10" x14ac:dyDescent="0.25">
      <c r="A279" s="51">
        <v>43174</v>
      </c>
      <c r="C279" s="49" t="s">
        <v>1656</v>
      </c>
      <c r="D279" s="49" t="s">
        <v>51</v>
      </c>
      <c r="F279" s="49" t="str">
        <f>IFERROR(IF(Tabla1[[#This Row],[CONCEPTO mx]]="","",VLOOKUP(Tabla1[[#This Row],[CONCEPTO mx]],Tabla2[#All],2,0)),"")</f>
        <v/>
      </c>
      <c r="G279" s="49" t="str">
        <f>IFERROR(IF(Tabla1[[#This Row],[CONCEPTO mx]]="","",VLOOKUP(Tabla1[[#This Row],[CONCEPTO mx]],Tabla2[#All],3,0)),"")</f>
        <v/>
      </c>
      <c r="H279" s="49" t="s">
        <v>486</v>
      </c>
      <c r="I279" s="49" t="s">
        <v>2298</v>
      </c>
      <c r="J279" s="53" t="s">
        <v>2769</v>
      </c>
    </row>
    <row r="280" spans="1:10" x14ac:dyDescent="0.25">
      <c r="A280" s="51">
        <v>43174</v>
      </c>
      <c r="C280" s="49" t="s">
        <v>1660</v>
      </c>
      <c r="D280" s="49" t="s">
        <v>2273</v>
      </c>
      <c r="F280" s="49" t="str">
        <f>IFERROR(IF(Tabla1[[#This Row],[CONCEPTO mx]]="","",VLOOKUP(Tabla1[[#This Row],[CONCEPTO mx]],Tabla2[#All],2,0)),"")</f>
        <v/>
      </c>
      <c r="G280" s="49" t="str">
        <f>IFERROR(IF(Tabla1[[#This Row],[CONCEPTO mx]]="","",VLOOKUP(Tabla1[[#This Row],[CONCEPTO mx]],Tabla2[#All],3,0)),"")</f>
        <v/>
      </c>
      <c r="H280" s="49" t="s">
        <v>470</v>
      </c>
      <c r="I280" s="49" t="s">
        <v>2298</v>
      </c>
      <c r="J280" s="53" t="s">
        <v>2769</v>
      </c>
    </row>
    <row r="281" spans="1:10" x14ac:dyDescent="0.25">
      <c r="A281" s="51">
        <v>43175</v>
      </c>
      <c r="C281" s="49" t="s">
        <v>1668</v>
      </c>
      <c r="D281" s="49" t="s">
        <v>51</v>
      </c>
      <c r="F281" s="49" t="str">
        <f>IFERROR(IF(Tabla1[[#This Row],[CONCEPTO mx]]="","",VLOOKUP(Tabla1[[#This Row],[CONCEPTO mx]],Tabla2[#All],2,0)),"")</f>
        <v/>
      </c>
      <c r="G281" s="49" t="str">
        <f>IFERROR(IF(Tabla1[[#This Row],[CONCEPTO mx]]="","",VLOOKUP(Tabla1[[#This Row],[CONCEPTO mx]],Tabla2[#All],3,0)),"")</f>
        <v/>
      </c>
      <c r="H281" s="49" t="s">
        <v>438</v>
      </c>
      <c r="I281" s="49" t="s">
        <v>2298</v>
      </c>
      <c r="J281" s="53" t="s">
        <v>2368</v>
      </c>
    </row>
    <row r="282" spans="1:10" x14ac:dyDescent="0.25">
      <c r="A282" s="51">
        <v>43175</v>
      </c>
      <c r="C282" s="49" t="s">
        <v>1683</v>
      </c>
      <c r="D282" s="49" t="s">
        <v>51</v>
      </c>
      <c r="E282" s="49" t="s">
        <v>3315</v>
      </c>
      <c r="F282" s="49" t="str">
        <f>IFERROR(IF(Tabla1[[#This Row],[CONCEPTO mx]]="","",VLOOKUP(Tabla1[[#This Row],[CONCEPTO mx]],Tabla2[#All],2,0)),"")</f>
        <v>CM40</v>
      </c>
      <c r="G282" s="49" t="str">
        <f>IFERROR(IF(Tabla1[[#This Row],[CONCEPTO mx]]="","",VLOOKUP(Tabla1[[#This Row],[CONCEPTO mx]],Tabla2[#All],3,0)),"")</f>
        <v>SST</v>
      </c>
      <c r="H282" s="49" t="s">
        <v>352</v>
      </c>
      <c r="I282" s="49" t="s">
        <v>2298</v>
      </c>
      <c r="J282" s="53" t="s">
        <v>2775</v>
      </c>
    </row>
    <row r="283" spans="1:10" x14ac:dyDescent="0.25">
      <c r="A283" s="51">
        <v>43175</v>
      </c>
      <c r="C283" s="49" t="s">
        <v>1685</v>
      </c>
      <c r="E283" s="49" t="s">
        <v>2355</v>
      </c>
      <c r="F283" s="49" t="str">
        <f>IFERROR(IF(Tabla1[[#This Row],[CONCEPTO mx]]="","",VLOOKUP(Tabla1[[#This Row],[CONCEPTO mx]],Tabla2[#All],2,0)),"")</f>
        <v>CM13</v>
      </c>
      <c r="G283" s="49" t="str">
        <f>IFERROR(IF(Tabla1[[#This Row],[CONCEPTO mx]]="","",VLOOKUP(Tabla1[[#This Row],[CONCEPTO mx]],Tabla2[#All],3,0)),"")</f>
        <v>Gestión Humana</v>
      </c>
      <c r="H283" s="49" t="s">
        <v>343</v>
      </c>
      <c r="I283" s="49" t="s">
        <v>2298</v>
      </c>
      <c r="J283" s="53" t="s">
        <v>2775</v>
      </c>
    </row>
    <row r="284" spans="1:10" x14ac:dyDescent="0.25">
      <c r="A284" s="51">
        <v>43175</v>
      </c>
      <c r="C284" s="49" t="s">
        <v>1662</v>
      </c>
      <c r="D284" s="49" t="s">
        <v>51</v>
      </c>
      <c r="F284" s="49" t="str">
        <f>IFERROR(IF(Tabla1[[#This Row],[CONCEPTO mx]]="","",VLOOKUP(Tabla1[[#This Row],[CONCEPTO mx]],Tabla2[#All],2,0)),"")</f>
        <v/>
      </c>
      <c r="G284" s="49" t="str">
        <f>IFERROR(IF(Tabla1[[#This Row],[CONCEPTO mx]]="","",VLOOKUP(Tabla1[[#This Row],[CONCEPTO mx]],Tabla2[#All],3,0)),"")</f>
        <v/>
      </c>
      <c r="H284" s="49" t="s">
        <v>343</v>
      </c>
      <c r="I284" s="49" t="s">
        <v>2298</v>
      </c>
      <c r="J284" s="53" t="s">
        <v>2707</v>
      </c>
    </row>
    <row r="285" spans="1:10" x14ac:dyDescent="0.25">
      <c r="A285" s="51">
        <v>43175</v>
      </c>
      <c r="C285" s="49" t="s">
        <v>1687</v>
      </c>
      <c r="D285" s="49" t="s">
        <v>51</v>
      </c>
      <c r="F285" s="49" t="str">
        <f>IFERROR(IF(Tabla1[[#This Row],[CONCEPTO mx]]="","",VLOOKUP(Tabla1[[#This Row],[CONCEPTO mx]],Tabla2[#All],2,0)),"")</f>
        <v/>
      </c>
      <c r="G285" s="49" t="str">
        <f>IFERROR(IF(Tabla1[[#This Row],[CONCEPTO mx]]="","",VLOOKUP(Tabla1[[#This Row],[CONCEPTO mx]],Tabla2[#All],3,0)),"")</f>
        <v/>
      </c>
      <c r="H285" s="49" t="s">
        <v>352</v>
      </c>
      <c r="I285" s="49" t="s">
        <v>2298</v>
      </c>
      <c r="J285" s="53" t="s">
        <v>2775</v>
      </c>
    </row>
    <row r="286" spans="1:10" x14ac:dyDescent="0.25">
      <c r="A286" s="51">
        <v>43175</v>
      </c>
      <c r="C286" s="49" t="s">
        <v>1688</v>
      </c>
      <c r="D286" s="49" t="s">
        <v>51</v>
      </c>
      <c r="F286" s="49" t="str">
        <f>IFERROR(IF(Tabla1[[#This Row],[CONCEPTO mx]]="","",VLOOKUP(Tabla1[[#This Row],[CONCEPTO mx]],Tabla2[#All],2,0)),"")</f>
        <v/>
      </c>
      <c r="G286" s="49" t="str">
        <f>IFERROR(IF(Tabla1[[#This Row],[CONCEPTO mx]]="","",VLOOKUP(Tabla1[[#This Row],[CONCEPTO mx]],Tabla2[#All],3,0)),"")</f>
        <v/>
      </c>
      <c r="H286" s="49" t="s">
        <v>352</v>
      </c>
      <c r="I286" s="49" t="s">
        <v>2298</v>
      </c>
      <c r="J286" s="53" t="s">
        <v>2775</v>
      </c>
    </row>
    <row r="287" spans="1:10" x14ac:dyDescent="0.25">
      <c r="A287" s="51">
        <v>43175</v>
      </c>
      <c r="C287" s="49" t="s">
        <v>1675</v>
      </c>
      <c r="D287" s="49" t="s">
        <v>2273</v>
      </c>
      <c r="F287" s="49" t="str">
        <f>IFERROR(IF(Tabla1[[#This Row],[CONCEPTO mx]]="","",VLOOKUP(Tabla1[[#This Row],[CONCEPTO mx]],Tabla2[#All],2,0)),"")</f>
        <v/>
      </c>
      <c r="G287" s="49" t="str">
        <f>IFERROR(IF(Tabla1[[#This Row],[CONCEPTO mx]]="","",VLOOKUP(Tabla1[[#This Row],[CONCEPTO mx]],Tabla2[#All],3,0)),"")</f>
        <v/>
      </c>
      <c r="H287" s="49" t="s">
        <v>486</v>
      </c>
      <c r="I287" s="49" t="s">
        <v>2298</v>
      </c>
      <c r="J287" s="53" t="s">
        <v>2775</v>
      </c>
    </row>
    <row r="288" spans="1:10" x14ac:dyDescent="0.25">
      <c r="A288" s="51">
        <v>43175</v>
      </c>
      <c r="C288" s="49" t="s">
        <v>1681</v>
      </c>
      <c r="E288" s="49" t="s">
        <v>2355</v>
      </c>
      <c r="F288" s="49" t="str">
        <f>IFERROR(IF(Tabla1[[#This Row],[CONCEPTO mx]]="","",VLOOKUP(Tabla1[[#This Row],[CONCEPTO mx]],Tabla2[#All],2,0)),"")</f>
        <v>CM13</v>
      </c>
      <c r="G288" s="49" t="str">
        <f>IFERROR(IF(Tabla1[[#This Row],[CONCEPTO mx]]="","",VLOOKUP(Tabla1[[#This Row],[CONCEPTO mx]],Tabla2[#All],3,0)),"")</f>
        <v>Gestión Humana</v>
      </c>
      <c r="H288" s="49" t="s">
        <v>352</v>
      </c>
      <c r="I288" s="49" t="s">
        <v>2298</v>
      </c>
      <c r="J288" s="53" t="s">
        <v>2775</v>
      </c>
    </row>
    <row r="289" spans="1:10" x14ac:dyDescent="0.25">
      <c r="A289" s="51">
        <v>43175</v>
      </c>
      <c r="C289" s="49" t="s">
        <v>1684</v>
      </c>
      <c r="E289" s="49" t="s">
        <v>2355</v>
      </c>
      <c r="F289" s="49" t="str">
        <f>IFERROR(IF(Tabla1[[#This Row],[CONCEPTO mx]]="","",VLOOKUP(Tabla1[[#This Row],[CONCEPTO mx]],Tabla2[#All],2,0)),"")</f>
        <v>CM13</v>
      </c>
      <c r="G289" s="49" t="str">
        <f>IFERROR(IF(Tabla1[[#This Row],[CONCEPTO mx]]="","",VLOOKUP(Tabla1[[#This Row],[CONCEPTO mx]],Tabla2[#All],3,0)),"")</f>
        <v>Gestión Humana</v>
      </c>
      <c r="H289" s="49" t="s">
        <v>352</v>
      </c>
      <c r="I289" s="49" t="s">
        <v>2298</v>
      </c>
      <c r="J289" s="53" t="s">
        <v>2775</v>
      </c>
    </row>
    <row r="290" spans="1:10" x14ac:dyDescent="0.25">
      <c r="A290" s="51">
        <v>43175</v>
      </c>
      <c r="C290" s="49" t="s">
        <v>1689</v>
      </c>
      <c r="D290" s="49" t="s">
        <v>51</v>
      </c>
      <c r="F290" s="49" t="str">
        <f>IFERROR(IF(Tabla1[[#This Row],[CONCEPTO mx]]="","",VLOOKUP(Tabla1[[#This Row],[CONCEPTO mx]],Tabla2[#All],2,0)),"")</f>
        <v/>
      </c>
      <c r="G290" s="49" t="str">
        <f>IFERROR(IF(Tabla1[[#This Row],[CONCEPTO mx]]="","",VLOOKUP(Tabla1[[#This Row],[CONCEPTO mx]],Tabla2[#All],3,0)),"")</f>
        <v/>
      </c>
      <c r="H290" s="49" t="s">
        <v>343</v>
      </c>
      <c r="I290" s="49" t="s">
        <v>2298</v>
      </c>
      <c r="J290" s="53" t="s">
        <v>2775</v>
      </c>
    </row>
    <row r="291" spans="1:10" x14ac:dyDescent="0.25">
      <c r="A291" s="51">
        <v>43175</v>
      </c>
      <c r="C291" s="49" t="s">
        <v>1673</v>
      </c>
      <c r="D291" s="49" t="s">
        <v>2273</v>
      </c>
      <c r="F291" s="49" t="str">
        <f>IFERROR(IF(Tabla1[[#This Row],[CONCEPTO mx]]="","",VLOOKUP(Tabla1[[#This Row],[CONCEPTO mx]],Tabla2[#All],2,0)),"")</f>
        <v/>
      </c>
      <c r="G291" s="49" t="str">
        <f>IFERROR(IF(Tabla1[[#This Row],[CONCEPTO mx]]="","",VLOOKUP(Tabla1[[#This Row],[CONCEPTO mx]],Tabla2[#All],3,0)),"")</f>
        <v/>
      </c>
      <c r="H291" s="49" t="s">
        <v>486</v>
      </c>
      <c r="I291" s="49" t="s">
        <v>2298</v>
      </c>
      <c r="J291" s="53" t="s">
        <v>2319</v>
      </c>
    </row>
    <row r="292" spans="1:10" x14ac:dyDescent="0.25">
      <c r="A292" s="51">
        <v>43175</v>
      </c>
      <c r="C292" s="49" t="s">
        <v>1672</v>
      </c>
      <c r="D292" s="49" t="s">
        <v>51</v>
      </c>
      <c r="F292" s="49" t="str">
        <f>IFERROR(IF(Tabla1[[#This Row],[CONCEPTO mx]]="","",VLOOKUP(Tabla1[[#This Row],[CONCEPTO mx]],Tabla2[#All],2,0)),"")</f>
        <v/>
      </c>
      <c r="G292" s="49" t="str">
        <f>IFERROR(IF(Tabla1[[#This Row],[CONCEPTO mx]]="","",VLOOKUP(Tabla1[[#This Row],[CONCEPTO mx]],Tabla2[#All],3,0)),"")</f>
        <v/>
      </c>
      <c r="H292" s="49" t="s">
        <v>438</v>
      </c>
      <c r="I292" s="49" t="s">
        <v>2298</v>
      </c>
      <c r="J292" s="53" t="s">
        <v>2773</v>
      </c>
    </row>
    <row r="293" spans="1:10" x14ac:dyDescent="0.25">
      <c r="A293" s="51">
        <v>43175</v>
      </c>
      <c r="C293" s="49" t="s">
        <v>1663</v>
      </c>
      <c r="E293" s="49" t="s">
        <v>2355</v>
      </c>
      <c r="F293" s="49" t="str">
        <f>IFERROR(IF(Tabla1[[#This Row],[CONCEPTO mx]]="","",VLOOKUP(Tabla1[[#This Row],[CONCEPTO mx]],Tabla2[#All],2,0)),"")</f>
        <v>CM13</v>
      </c>
      <c r="G293" s="49" t="str">
        <f>IFERROR(IF(Tabla1[[#This Row],[CONCEPTO mx]]="","",VLOOKUP(Tabla1[[#This Row],[CONCEPTO mx]],Tabla2[#All],3,0)),"")</f>
        <v>Gestión Humana</v>
      </c>
      <c r="H293" s="49" t="s">
        <v>542</v>
      </c>
      <c r="I293" s="49" t="s">
        <v>2298</v>
      </c>
      <c r="J293" s="53" t="s">
        <v>2769</v>
      </c>
    </row>
    <row r="294" spans="1:10" x14ac:dyDescent="0.25">
      <c r="A294" s="51">
        <v>43175</v>
      </c>
      <c r="C294" s="49" t="s">
        <v>1664</v>
      </c>
      <c r="D294" s="49" t="s">
        <v>51</v>
      </c>
      <c r="F294" s="49" t="str">
        <f>IFERROR(IF(Tabla1[[#This Row],[CONCEPTO mx]]="","",VLOOKUP(Tabla1[[#This Row],[CONCEPTO mx]],Tabla2[#All],2,0)),"")</f>
        <v/>
      </c>
      <c r="G294" s="49" t="str">
        <f>IFERROR(IF(Tabla1[[#This Row],[CONCEPTO mx]]="","",VLOOKUP(Tabla1[[#This Row],[CONCEPTO mx]],Tabla2[#All],3,0)),"")</f>
        <v/>
      </c>
      <c r="H294" s="49" t="s">
        <v>343</v>
      </c>
      <c r="I294" s="49" t="s">
        <v>2298</v>
      </c>
      <c r="J294" s="53" t="s">
        <v>2771</v>
      </c>
    </row>
    <row r="295" spans="1:10" x14ac:dyDescent="0.25">
      <c r="A295" s="51">
        <v>43175</v>
      </c>
      <c r="C295" s="49" t="s">
        <v>1677</v>
      </c>
      <c r="E295" s="49" t="s">
        <v>2355</v>
      </c>
      <c r="F295" s="49" t="str">
        <f>IFERROR(IF(Tabla1[[#This Row],[CONCEPTO mx]]="","",VLOOKUP(Tabla1[[#This Row],[CONCEPTO mx]],Tabla2[#All],2,0)),"")</f>
        <v>CM13</v>
      </c>
      <c r="G295" s="49" t="str">
        <f>IFERROR(IF(Tabla1[[#This Row],[CONCEPTO mx]]="","",VLOOKUP(Tabla1[[#This Row],[CONCEPTO mx]],Tabla2[#All],3,0)),"")</f>
        <v>Gestión Humana</v>
      </c>
      <c r="H295" s="49" t="s">
        <v>343</v>
      </c>
      <c r="I295" s="49" t="s">
        <v>2298</v>
      </c>
      <c r="J295" s="53" t="s">
        <v>2775</v>
      </c>
    </row>
    <row r="296" spans="1:10" x14ac:dyDescent="0.25">
      <c r="A296" s="51">
        <v>43175</v>
      </c>
      <c r="C296" s="49" t="s">
        <v>1669</v>
      </c>
      <c r="D296" s="49" t="s">
        <v>51</v>
      </c>
      <c r="F296" s="49" t="str">
        <f>IFERROR(IF(Tabla1[[#This Row],[CONCEPTO mx]]="","",VLOOKUP(Tabla1[[#This Row],[CONCEPTO mx]],Tabla2[#All],2,0)),"")</f>
        <v/>
      </c>
      <c r="G296" s="49" t="str">
        <f>IFERROR(IF(Tabla1[[#This Row],[CONCEPTO mx]]="","",VLOOKUP(Tabla1[[#This Row],[CONCEPTO mx]],Tabla2[#All],3,0)),"")</f>
        <v/>
      </c>
      <c r="H296" s="49" t="s">
        <v>2391</v>
      </c>
      <c r="I296" s="49" t="s">
        <v>2298</v>
      </c>
      <c r="J296" s="53" t="s">
        <v>2772</v>
      </c>
    </row>
    <row r="297" spans="1:10" x14ac:dyDescent="0.25">
      <c r="A297" s="51">
        <v>43175</v>
      </c>
      <c r="C297" s="49" t="s">
        <v>1676</v>
      </c>
      <c r="D297" s="49" t="s">
        <v>51</v>
      </c>
      <c r="E297" s="49" t="s">
        <v>3315</v>
      </c>
      <c r="F297" s="49" t="str">
        <f>IFERROR(IF(Tabla1[[#This Row],[CONCEPTO mx]]="","",VLOOKUP(Tabla1[[#This Row],[CONCEPTO mx]],Tabla2[#All],2,0)),"")</f>
        <v>CM40</v>
      </c>
      <c r="G297" s="49" t="str">
        <f>IFERROR(IF(Tabla1[[#This Row],[CONCEPTO mx]]="","",VLOOKUP(Tabla1[[#This Row],[CONCEPTO mx]],Tabla2[#All],3,0)),"")</f>
        <v>SST</v>
      </c>
      <c r="H297" s="49" t="s">
        <v>486</v>
      </c>
      <c r="I297" s="49" t="s">
        <v>2298</v>
      </c>
      <c r="J297" s="53" t="s">
        <v>2775</v>
      </c>
    </row>
    <row r="298" spans="1:10" x14ac:dyDescent="0.25">
      <c r="A298" s="51">
        <v>43175</v>
      </c>
      <c r="C298" s="49" t="s">
        <v>1674</v>
      </c>
      <c r="D298" s="49" t="s">
        <v>2273</v>
      </c>
      <c r="F298" s="49" t="str">
        <f>IFERROR(IF(Tabla1[[#This Row],[CONCEPTO mx]]="","",VLOOKUP(Tabla1[[#This Row],[CONCEPTO mx]],Tabla2[#All],2,0)),"")</f>
        <v/>
      </c>
      <c r="G298" s="49" t="str">
        <f>IFERROR(IF(Tabla1[[#This Row],[CONCEPTO mx]]="","",VLOOKUP(Tabla1[[#This Row],[CONCEPTO mx]],Tabla2[#All],3,0)),"")</f>
        <v/>
      </c>
      <c r="H298" s="49" t="s">
        <v>486</v>
      </c>
      <c r="I298" s="49" t="s">
        <v>2298</v>
      </c>
      <c r="J298" s="53" t="s">
        <v>2774</v>
      </c>
    </row>
    <row r="299" spans="1:10" x14ac:dyDescent="0.25">
      <c r="A299" s="51">
        <v>43175</v>
      </c>
      <c r="C299" s="49" t="s">
        <v>1670</v>
      </c>
      <c r="D299" s="49" t="s">
        <v>51</v>
      </c>
      <c r="F299" s="49" t="str">
        <f>IFERROR(IF(Tabla1[[#This Row],[CONCEPTO mx]]="","",VLOOKUP(Tabla1[[#This Row],[CONCEPTO mx]],Tabla2[#All],2,0)),"")</f>
        <v/>
      </c>
      <c r="G299" s="49" t="str">
        <f>IFERROR(IF(Tabla1[[#This Row],[CONCEPTO mx]]="","",VLOOKUP(Tabla1[[#This Row],[CONCEPTO mx]],Tabla2[#All],3,0)),"")</f>
        <v/>
      </c>
      <c r="H299" s="49" t="s">
        <v>470</v>
      </c>
      <c r="I299" s="49" t="s">
        <v>2298</v>
      </c>
      <c r="J299" s="53" t="s">
        <v>2769</v>
      </c>
    </row>
    <row r="300" spans="1:10" x14ac:dyDescent="0.25">
      <c r="A300" s="51">
        <v>43175</v>
      </c>
      <c r="C300" s="49" t="s">
        <v>1665</v>
      </c>
      <c r="D300" s="49" t="s">
        <v>51</v>
      </c>
      <c r="E300" s="49" t="s">
        <v>3315</v>
      </c>
      <c r="F300" s="49" t="str">
        <f>IFERROR(IF(Tabla1[[#This Row],[CONCEPTO mx]]="","",VLOOKUP(Tabla1[[#This Row],[CONCEPTO mx]],Tabla2[#All],2,0)),"")</f>
        <v>CM40</v>
      </c>
      <c r="G300" s="49" t="str">
        <f>IFERROR(IF(Tabla1[[#This Row],[CONCEPTO mx]]="","",VLOOKUP(Tabla1[[#This Row],[CONCEPTO mx]],Tabla2[#All],3,0)),"")</f>
        <v>SST</v>
      </c>
      <c r="H300" s="49" t="s">
        <v>352</v>
      </c>
      <c r="I300" s="49" t="s">
        <v>2298</v>
      </c>
      <c r="J300" s="53" t="s">
        <v>2769</v>
      </c>
    </row>
    <row r="301" spans="1:10" x14ac:dyDescent="0.25">
      <c r="A301" s="51">
        <v>43175</v>
      </c>
      <c r="C301" s="49" t="s">
        <v>1686</v>
      </c>
      <c r="D301" s="49" t="s">
        <v>51</v>
      </c>
      <c r="F301" s="49" t="str">
        <f>IFERROR(IF(Tabla1[[#This Row],[CONCEPTO mx]]="","",VLOOKUP(Tabla1[[#This Row],[CONCEPTO mx]],Tabla2[#All],2,0)),"")</f>
        <v/>
      </c>
      <c r="G301" s="49" t="str">
        <f>IFERROR(IF(Tabla1[[#This Row],[CONCEPTO mx]]="","",VLOOKUP(Tabla1[[#This Row],[CONCEPTO mx]],Tabla2[#All],3,0)),"")</f>
        <v/>
      </c>
      <c r="H301" s="49" t="s">
        <v>550</v>
      </c>
      <c r="I301" s="49" t="s">
        <v>2323</v>
      </c>
      <c r="J301" s="53" t="s">
        <v>2323</v>
      </c>
    </row>
    <row r="302" spans="1:10" x14ac:dyDescent="0.25">
      <c r="A302" s="51">
        <v>43175</v>
      </c>
      <c r="C302" s="49" t="s">
        <v>1661</v>
      </c>
      <c r="E302" s="49" t="s">
        <v>2355</v>
      </c>
      <c r="F302" s="49" t="str">
        <f>IFERROR(IF(Tabla1[[#This Row],[CONCEPTO mx]]="","",VLOOKUP(Tabla1[[#This Row],[CONCEPTO mx]],Tabla2[#All],2,0)),"")</f>
        <v>CM13</v>
      </c>
      <c r="G302" s="49" t="str">
        <f>IFERROR(IF(Tabla1[[#This Row],[CONCEPTO mx]]="","",VLOOKUP(Tabla1[[#This Row],[CONCEPTO mx]],Tabla2[#All],3,0)),"")</f>
        <v>Gestión Humana</v>
      </c>
      <c r="H302" s="49" t="s">
        <v>438</v>
      </c>
      <c r="I302" s="49" t="s">
        <v>2298</v>
      </c>
      <c r="J302" s="53" t="s">
        <v>2769</v>
      </c>
    </row>
    <row r="303" spans="1:10" x14ac:dyDescent="0.25">
      <c r="A303" s="51">
        <v>43175</v>
      </c>
      <c r="C303" s="49" t="s">
        <v>1679</v>
      </c>
      <c r="D303" s="49" t="s">
        <v>51</v>
      </c>
      <c r="E303" s="49" t="s">
        <v>3315</v>
      </c>
      <c r="F303" s="49" t="str">
        <f>IFERROR(IF(Tabla1[[#This Row],[CONCEPTO mx]]="","",VLOOKUP(Tabla1[[#This Row],[CONCEPTO mx]],Tabla2[#All],2,0)),"")</f>
        <v>CM40</v>
      </c>
      <c r="G303" s="49" t="str">
        <f>IFERROR(IF(Tabla1[[#This Row],[CONCEPTO mx]]="","",VLOOKUP(Tabla1[[#This Row],[CONCEPTO mx]],Tabla2[#All],3,0)),"")</f>
        <v>SST</v>
      </c>
      <c r="H303" s="49" t="s">
        <v>352</v>
      </c>
      <c r="I303" s="49" t="s">
        <v>2298</v>
      </c>
      <c r="J303" s="53" t="s">
        <v>2775</v>
      </c>
    </row>
    <row r="304" spans="1:10" x14ac:dyDescent="0.25">
      <c r="A304" s="51">
        <v>43175</v>
      </c>
      <c r="C304" s="49" t="s">
        <v>1666</v>
      </c>
      <c r="D304" s="49" t="s">
        <v>51</v>
      </c>
      <c r="E304" s="49" t="s">
        <v>3315</v>
      </c>
      <c r="F304" s="49" t="str">
        <f>IFERROR(IF(Tabla1[[#This Row],[CONCEPTO mx]]="","",VLOOKUP(Tabla1[[#This Row],[CONCEPTO mx]],Tabla2[#All],2,0)),"")</f>
        <v>CM40</v>
      </c>
      <c r="G304" s="49" t="str">
        <f>IFERROR(IF(Tabla1[[#This Row],[CONCEPTO mx]]="","",VLOOKUP(Tabla1[[#This Row],[CONCEPTO mx]],Tabla2[#All],3,0)),"")</f>
        <v>SST</v>
      </c>
      <c r="H304" s="49" t="s">
        <v>352</v>
      </c>
      <c r="I304" s="49" t="s">
        <v>2298</v>
      </c>
      <c r="J304" s="53" t="s">
        <v>2769</v>
      </c>
    </row>
    <row r="305" spans="1:10" x14ac:dyDescent="0.25">
      <c r="A305" s="51">
        <v>43175</v>
      </c>
      <c r="C305" s="49" t="s">
        <v>1678</v>
      </c>
      <c r="D305" s="49" t="s">
        <v>51</v>
      </c>
      <c r="F305" s="49" t="str">
        <f>IFERROR(IF(Tabla1[[#This Row],[CONCEPTO mx]]="","",VLOOKUP(Tabla1[[#This Row],[CONCEPTO mx]],Tabla2[#All],2,0)),"")</f>
        <v/>
      </c>
      <c r="G305" s="49" t="str">
        <f>IFERROR(IF(Tabla1[[#This Row],[CONCEPTO mx]]="","",VLOOKUP(Tabla1[[#This Row],[CONCEPTO mx]],Tabla2[#All],3,0)),"")</f>
        <v/>
      </c>
      <c r="H305" s="49" t="s">
        <v>352</v>
      </c>
      <c r="I305" s="49" t="s">
        <v>2298</v>
      </c>
      <c r="J305" s="53" t="s">
        <v>2775</v>
      </c>
    </row>
    <row r="306" spans="1:10" x14ac:dyDescent="0.25">
      <c r="A306" s="51">
        <v>43175</v>
      </c>
      <c r="C306" s="49" t="s">
        <v>1682</v>
      </c>
      <c r="E306" s="49" t="s">
        <v>2355</v>
      </c>
      <c r="F306" s="49" t="str">
        <f>IFERROR(IF(Tabla1[[#This Row],[CONCEPTO mx]]="","",VLOOKUP(Tabla1[[#This Row],[CONCEPTO mx]],Tabla2[#All],2,0)),"")</f>
        <v>CM13</v>
      </c>
      <c r="G306" s="49" t="str">
        <f>IFERROR(IF(Tabla1[[#This Row],[CONCEPTO mx]]="","",VLOOKUP(Tabla1[[#This Row],[CONCEPTO mx]],Tabla2[#All],3,0)),"")</f>
        <v>Gestión Humana</v>
      </c>
      <c r="H306" s="49" t="s">
        <v>352</v>
      </c>
      <c r="I306" s="49" t="s">
        <v>2298</v>
      </c>
      <c r="J306" s="53" t="s">
        <v>2775</v>
      </c>
    </row>
    <row r="307" spans="1:10" x14ac:dyDescent="0.25">
      <c r="A307" s="51">
        <v>43175</v>
      </c>
      <c r="C307" s="49" t="s">
        <v>1667</v>
      </c>
      <c r="D307" s="49" t="s">
        <v>51</v>
      </c>
      <c r="F307" s="49" t="str">
        <f>IFERROR(IF(Tabla1[[#This Row],[CONCEPTO mx]]="","",VLOOKUP(Tabla1[[#This Row],[CONCEPTO mx]],Tabla2[#All],2,0)),"")</f>
        <v/>
      </c>
      <c r="G307" s="49" t="str">
        <f>IFERROR(IF(Tabla1[[#This Row],[CONCEPTO mx]]="","",VLOOKUP(Tabla1[[#This Row],[CONCEPTO mx]],Tabla2[#All],3,0)),"")</f>
        <v/>
      </c>
      <c r="H307" s="49" t="s">
        <v>352</v>
      </c>
      <c r="I307" s="49" t="s">
        <v>2298</v>
      </c>
      <c r="J307" s="53" t="s">
        <v>2769</v>
      </c>
    </row>
    <row r="308" spans="1:10" x14ac:dyDescent="0.25">
      <c r="A308" s="51">
        <v>43175</v>
      </c>
      <c r="C308" s="49" t="s">
        <v>1671</v>
      </c>
      <c r="D308" s="49" t="s">
        <v>51</v>
      </c>
      <c r="F308" s="49" t="str">
        <f>IFERROR(IF(Tabla1[[#This Row],[CONCEPTO mx]]="","",VLOOKUP(Tabla1[[#This Row],[CONCEPTO mx]],Tabla2[#All],2,0)),"")</f>
        <v/>
      </c>
      <c r="G308" s="49" t="str">
        <f>IFERROR(IF(Tabla1[[#This Row],[CONCEPTO mx]]="","",VLOOKUP(Tabla1[[#This Row],[CONCEPTO mx]],Tabla2[#All],3,0)),"")</f>
        <v/>
      </c>
      <c r="H308" s="49" t="s">
        <v>438</v>
      </c>
      <c r="I308" s="49" t="s">
        <v>2298</v>
      </c>
      <c r="J308" s="53" t="s">
        <v>2769</v>
      </c>
    </row>
    <row r="309" spans="1:10" x14ac:dyDescent="0.25">
      <c r="A309" s="51">
        <v>43175</v>
      </c>
      <c r="C309" s="49" t="s">
        <v>1680</v>
      </c>
      <c r="E309" s="49" t="s">
        <v>2355</v>
      </c>
      <c r="F309" s="49" t="str">
        <f>IFERROR(IF(Tabla1[[#This Row],[CONCEPTO mx]]="","",VLOOKUP(Tabla1[[#This Row],[CONCEPTO mx]],Tabla2[#All],2,0)),"")</f>
        <v>CM13</v>
      </c>
      <c r="G309" s="49" t="str">
        <f>IFERROR(IF(Tabla1[[#This Row],[CONCEPTO mx]]="","",VLOOKUP(Tabla1[[#This Row],[CONCEPTO mx]],Tabla2[#All],3,0)),"")</f>
        <v>Gestión Humana</v>
      </c>
      <c r="H309" s="49" t="s">
        <v>352</v>
      </c>
      <c r="I309" s="49" t="s">
        <v>2298</v>
      </c>
      <c r="J309" s="53" t="s">
        <v>2775</v>
      </c>
    </row>
    <row r="310" spans="1:10" x14ac:dyDescent="0.25">
      <c r="A310" s="51">
        <v>43179</v>
      </c>
      <c r="C310" s="49" t="s">
        <v>1691</v>
      </c>
      <c r="D310" s="49" t="s">
        <v>51</v>
      </c>
      <c r="F310" s="49" t="str">
        <f>IFERROR(IF(Tabla1[[#This Row],[CONCEPTO mx]]="","",VLOOKUP(Tabla1[[#This Row],[CONCEPTO mx]],Tabla2[#All],2,0)),"")</f>
        <v/>
      </c>
      <c r="G310" s="49" t="str">
        <f>IFERROR(IF(Tabla1[[#This Row],[CONCEPTO mx]]="","",VLOOKUP(Tabla1[[#This Row],[CONCEPTO mx]],Tabla2[#All],3,0)),"")</f>
        <v/>
      </c>
      <c r="H310" s="49" t="s">
        <v>352</v>
      </c>
      <c r="I310" s="49" t="s">
        <v>2298</v>
      </c>
      <c r="J310" s="53" t="s">
        <v>2775</v>
      </c>
    </row>
    <row r="311" spans="1:10" x14ac:dyDescent="0.25">
      <c r="A311" s="51">
        <v>43179</v>
      </c>
      <c r="C311" s="49" t="s">
        <v>1692</v>
      </c>
      <c r="D311" s="49" t="s">
        <v>51</v>
      </c>
      <c r="F311" s="49" t="str">
        <f>IFERROR(IF(Tabla1[[#This Row],[CONCEPTO mx]]="","",VLOOKUP(Tabla1[[#This Row],[CONCEPTO mx]],Tabla2[#All],2,0)),"")</f>
        <v/>
      </c>
      <c r="G311" s="49" t="str">
        <f>IFERROR(IF(Tabla1[[#This Row],[CONCEPTO mx]]="","",VLOOKUP(Tabla1[[#This Row],[CONCEPTO mx]],Tabla2[#All],3,0)),"")</f>
        <v/>
      </c>
      <c r="H311" s="49" t="s">
        <v>352</v>
      </c>
      <c r="I311" s="49" t="s">
        <v>2298</v>
      </c>
      <c r="J311" s="53" t="s">
        <v>2775</v>
      </c>
    </row>
    <row r="312" spans="1:10" x14ac:dyDescent="0.25">
      <c r="A312" s="51">
        <v>43179</v>
      </c>
      <c r="C312" s="49" t="s">
        <v>1693</v>
      </c>
      <c r="E312" s="49" t="s">
        <v>2355</v>
      </c>
      <c r="F312" s="49" t="str">
        <f>IFERROR(IF(Tabla1[[#This Row],[CONCEPTO mx]]="","",VLOOKUP(Tabla1[[#This Row],[CONCEPTO mx]],Tabla2[#All],2,0)),"")</f>
        <v>CM13</v>
      </c>
      <c r="G312" s="49" t="str">
        <f>IFERROR(IF(Tabla1[[#This Row],[CONCEPTO mx]]="","",VLOOKUP(Tabla1[[#This Row],[CONCEPTO mx]],Tabla2[#All],3,0)),"")</f>
        <v>Gestión Humana</v>
      </c>
      <c r="H312" s="49" t="s">
        <v>352</v>
      </c>
      <c r="I312" s="49" t="s">
        <v>2298</v>
      </c>
      <c r="J312" s="53" t="s">
        <v>2775</v>
      </c>
    </row>
    <row r="313" spans="1:10" x14ac:dyDescent="0.25">
      <c r="A313" s="51">
        <v>43179</v>
      </c>
      <c r="C313" s="49" t="s">
        <v>1704</v>
      </c>
      <c r="D313" s="49" t="s">
        <v>51</v>
      </c>
      <c r="F313" s="49" t="str">
        <f>IFERROR(IF(Tabla1[[#This Row],[CONCEPTO mx]]="","",VLOOKUP(Tabla1[[#This Row],[CONCEPTO mx]],Tabla2[#All],2,0)),"")</f>
        <v/>
      </c>
      <c r="G313" s="49" t="str">
        <f>IFERROR(IF(Tabla1[[#This Row],[CONCEPTO mx]]="","",VLOOKUP(Tabla1[[#This Row],[CONCEPTO mx]],Tabla2[#All],3,0)),"")</f>
        <v/>
      </c>
      <c r="H313" s="49" t="s">
        <v>352</v>
      </c>
      <c r="I313" s="49" t="s">
        <v>2298</v>
      </c>
      <c r="J313" s="53" t="s">
        <v>2775</v>
      </c>
    </row>
    <row r="314" spans="1:10" x14ac:dyDescent="0.25">
      <c r="A314" s="51">
        <v>43179</v>
      </c>
      <c r="C314" s="49" t="s">
        <v>1703</v>
      </c>
      <c r="E314" s="49" t="s">
        <v>2355</v>
      </c>
      <c r="F314" s="49" t="str">
        <f>IFERROR(IF(Tabla1[[#This Row],[CONCEPTO mx]]="","",VLOOKUP(Tabla1[[#This Row],[CONCEPTO mx]],Tabla2[#All],2,0)),"")</f>
        <v>CM13</v>
      </c>
      <c r="G314" s="49" t="str">
        <f>IFERROR(IF(Tabla1[[#This Row],[CONCEPTO mx]]="","",VLOOKUP(Tabla1[[#This Row],[CONCEPTO mx]],Tabla2[#All],3,0)),"")</f>
        <v>Gestión Humana</v>
      </c>
      <c r="H314" s="49" t="s">
        <v>343</v>
      </c>
      <c r="I314" s="49" t="s">
        <v>2298</v>
      </c>
      <c r="J314" s="53" t="s">
        <v>2775</v>
      </c>
    </row>
    <row r="315" spans="1:10" x14ac:dyDescent="0.25">
      <c r="A315" s="51">
        <v>43179</v>
      </c>
      <c r="C315" s="49" t="s">
        <v>1701</v>
      </c>
      <c r="D315" s="49" t="s">
        <v>51</v>
      </c>
      <c r="F315" s="49" t="str">
        <f>IFERROR(IF(Tabla1[[#This Row],[CONCEPTO mx]]="","",VLOOKUP(Tabla1[[#This Row],[CONCEPTO mx]],Tabla2[#All],2,0)),"")</f>
        <v/>
      </c>
      <c r="G315" s="49" t="str">
        <f>IFERROR(IF(Tabla1[[#This Row],[CONCEPTO mx]]="","",VLOOKUP(Tabla1[[#This Row],[CONCEPTO mx]],Tabla2[#All],3,0)),"")</f>
        <v/>
      </c>
      <c r="H315" s="49" t="s">
        <v>352</v>
      </c>
      <c r="I315" s="49" t="s">
        <v>2298</v>
      </c>
      <c r="J315" s="53" t="s">
        <v>2775</v>
      </c>
    </row>
    <row r="316" spans="1:10" x14ac:dyDescent="0.25">
      <c r="A316" s="51">
        <v>43179</v>
      </c>
      <c r="C316" s="49" t="s">
        <v>1696</v>
      </c>
      <c r="D316" s="49" t="s">
        <v>51</v>
      </c>
      <c r="E316" s="49" t="s">
        <v>3315</v>
      </c>
      <c r="F316" s="49" t="str">
        <f>IFERROR(IF(Tabla1[[#This Row],[CONCEPTO mx]]="","",VLOOKUP(Tabla1[[#This Row],[CONCEPTO mx]],Tabla2[#All],2,0)),"")</f>
        <v>CM40</v>
      </c>
      <c r="G316" s="49" t="str">
        <f>IFERROR(IF(Tabla1[[#This Row],[CONCEPTO mx]]="","",VLOOKUP(Tabla1[[#This Row],[CONCEPTO mx]],Tabla2[#All],3,0)),"")</f>
        <v>SST</v>
      </c>
      <c r="H316" s="49" t="s">
        <v>352</v>
      </c>
      <c r="I316" s="49" t="s">
        <v>2298</v>
      </c>
      <c r="J316" s="53" t="s">
        <v>2775</v>
      </c>
    </row>
    <row r="317" spans="1:10" x14ac:dyDescent="0.25">
      <c r="A317" s="51">
        <v>43179</v>
      </c>
      <c r="C317" s="49" t="s">
        <v>109</v>
      </c>
      <c r="D317" s="49" t="s">
        <v>51</v>
      </c>
      <c r="F317" s="49" t="str">
        <f>IFERROR(IF(Tabla1[[#This Row],[CONCEPTO mx]]="","",VLOOKUP(Tabla1[[#This Row],[CONCEPTO mx]],Tabla2[#All],2,0)),"")</f>
        <v/>
      </c>
      <c r="G317" s="49" t="str">
        <f>IFERROR(IF(Tabla1[[#This Row],[CONCEPTO mx]]="","",VLOOKUP(Tabla1[[#This Row],[CONCEPTO mx]],Tabla2[#All],3,0)),"")</f>
        <v/>
      </c>
      <c r="H317" s="49" t="s">
        <v>388</v>
      </c>
      <c r="I317" s="49" t="s">
        <v>2298</v>
      </c>
      <c r="J317" s="53" t="s">
        <v>2775</v>
      </c>
    </row>
    <row r="318" spans="1:10" x14ac:dyDescent="0.25">
      <c r="A318" s="51">
        <v>43179</v>
      </c>
      <c r="C318" s="49" t="s">
        <v>1700</v>
      </c>
      <c r="E318" s="49" t="s">
        <v>2355</v>
      </c>
      <c r="F318" s="49" t="str">
        <f>IFERROR(IF(Tabla1[[#This Row],[CONCEPTO mx]]="","",VLOOKUP(Tabla1[[#This Row],[CONCEPTO mx]],Tabla2[#All],2,0)),"")</f>
        <v>CM13</v>
      </c>
      <c r="G318" s="49" t="str">
        <f>IFERROR(IF(Tabla1[[#This Row],[CONCEPTO mx]]="","",VLOOKUP(Tabla1[[#This Row],[CONCEPTO mx]],Tabla2[#All],3,0)),"")</f>
        <v>Gestión Humana</v>
      </c>
      <c r="H318" s="49" t="s">
        <v>352</v>
      </c>
      <c r="I318" s="49" t="s">
        <v>2298</v>
      </c>
      <c r="J318" s="53" t="s">
        <v>2775</v>
      </c>
    </row>
    <row r="319" spans="1:10" x14ac:dyDescent="0.25">
      <c r="A319" s="51">
        <v>43179</v>
      </c>
      <c r="C319" s="49" t="s">
        <v>1707</v>
      </c>
      <c r="E319" s="49" t="s">
        <v>2355</v>
      </c>
      <c r="F319" s="49" t="str">
        <f>IFERROR(IF(Tabla1[[#This Row],[CONCEPTO mx]]="","",VLOOKUP(Tabla1[[#This Row],[CONCEPTO mx]],Tabla2[#All],2,0)),"")</f>
        <v>CM13</v>
      </c>
      <c r="G319" s="49" t="str">
        <f>IFERROR(IF(Tabla1[[#This Row],[CONCEPTO mx]]="","",VLOOKUP(Tabla1[[#This Row],[CONCEPTO mx]],Tabla2[#All],3,0)),"")</f>
        <v>Gestión Humana</v>
      </c>
      <c r="H319" s="49" t="s">
        <v>352</v>
      </c>
      <c r="I319" s="49" t="s">
        <v>2298</v>
      </c>
      <c r="J319" s="53" t="s">
        <v>2775</v>
      </c>
    </row>
    <row r="320" spans="1:10" x14ac:dyDescent="0.25">
      <c r="A320" s="51">
        <v>43179</v>
      </c>
      <c r="C320" s="49" t="s">
        <v>1706</v>
      </c>
      <c r="D320" s="49" t="s">
        <v>51</v>
      </c>
      <c r="E320" s="49" t="s">
        <v>3315</v>
      </c>
      <c r="F320" s="49" t="str">
        <f>IFERROR(IF(Tabla1[[#This Row],[CONCEPTO mx]]="","",VLOOKUP(Tabla1[[#This Row],[CONCEPTO mx]],Tabla2[#All],2,0)),"")</f>
        <v>CM40</v>
      </c>
      <c r="G320" s="49" t="str">
        <f>IFERROR(IF(Tabla1[[#This Row],[CONCEPTO mx]]="","",VLOOKUP(Tabla1[[#This Row],[CONCEPTO mx]],Tabla2[#All],3,0)),"")</f>
        <v>SST</v>
      </c>
      <c r="H320" s="49" t="s">
        <v>343</v>
      </c>
      <c r="I320" s="49" t="s">
        <v>2298</v>
      </c>
      <c r="J320" s="53" t="s">
        <v>2775</v>
      </c>
    </row>
    <row r="321" spans="1:10" x14ac:dyDescent="0.25">
      <c r="A321" s="51">
        <v>43179</v>
      </c>
      <c r="C321" s="49" t="s">
        <v>1694</v>
      </c>
      <c r="D321" s="49" t="s">
        <v>51</v>
      </c>
      <c r="F321" s="49" t="str">
        <f>IFERROR(IF(Tabla1[[#This Row],[CONCEPTO mx]]="","",VLOOKUP(Tabla1[[#This Row],[CONCEPTO mx]],Tabla2[#All],2,0)),"")</f>
        <v/>
      </c>
      <c r="G321" s="49" t="str">
        <f>IFERROR(IF(Tabla1[[#This Row],[CONCEPTO mx]]="","",VLOOKUP(Tabla1[[#This Row],[CONCEPTO mx]],Tabla2[#All],3,0)),"")</f>
        <v/>
      </c>
      <c r="H321" s="49" t="s">
        <v>352</v>
      </c>
      <c r="I321" s="49" t="s">
        <v>2298</v>
      </c>
      <c r="J321" s="53" t="s">
        <v>2775</v>
      </c>
    </row>
    <row r="322" spans="1:10" x14ac:dyDescent="0.25">
      <c r="A322" s="51">
        <v>43179</v>
      </c>
      <c r="C322" s="49" t="s">
        <v>1695</v>
      </c>
      <c r="D322" s="49" t="s">
        <v>51</v>
      </c>
      <c r="F322" s="49" t="str">
        <f>IFERROR(IF(Tabla1[[#This Row],[CONCEPTO mx]]="","",VLOOKUP(Tabla1[[#This Row],[CONCEPTO mx]],Tabla2[#All],2,0)),"")</f>
        <v/>
      </c>
      <c r="G322" s="49" t="str">
        <f>IFERROR(IF(Tabla1[[#This Row],[CONCEPTO mx]]="","",VLOOKUP(Tabla1[[#This Row],[CONCEPTO mx]],Tabla2[#All],3,0)),"")</f>
        <v/>
      </c>
      <c r="H322" s="49" t="s">
        <v>352</v>
      </c>
      <c r="I322" s="49" t="s">
        <v>2298</v>
      </c>
      <c r="J322" s="53" t="s">
        <v>2775</v>
      </c>
    </row>
    <row r="323" spans="1:10" x14ac:dyDescent="0.25">
      <c r="A323" s="51">
        <v>43179</v>
      </c>
      <c r="C323" s="49" t="s">
        <v>1699</v>
      </c>
      <c r="D323" s="49" t="s">
        <v>51</v>
      </c>
      <c r="E323" s="49" t="s">
        <v>3315</v>
      </c>
      <c r="F323" s="49" t="str">
        <f>IFERROR(IF(Tabla1[[#This Row],[CONCEPTO mx]]="","",VLOOKUP(Tabla1[[#This Row],[CONCEPTO mx]],Tabla2[#All],2,0)),"")</f>
        <v>CM40</v>
      </c>
      <c r="G323" s="49" t="str">
        <f>IFERROR(IF(Tabla1[[#This Row],[CONCEPTO mx]]="","",VLOOKUP(Tabla1[[#This Row],[CONCEPTO mx]],Tabla2[#All],3,0)),"")</f>
        <v>SST</v>
      </c>
      <c r="H323" s="49" t="s">
        <v>352</v>
      </c>
      <c r="I323" s="49" t="s">
        <v>2298</v>
      </c>
      <c r="J323" s="53" t="s">
        <v>2775</v>
      </c>
    </row>
    <row r="324" spans="1:10" x14ac:dyDescent="0.25">
      <c r="A324" s="51">
        <v>43179</v>
      </c>
      <c r="C324" s="49" t="s">
        <v>1705</v>
      </c>
      <c r="E324" s="49" t="s">
        <v>2355</v>
      </c>
      <c r="F324" s="49" t="str">
        <f>IFERROR(IF(Tabla1[[#This Row],[CONCEPTO mx]]="","",VLOOKUP(Tabla1[[#This Row],[CONCEPTO mx]],Tabla2[#All],2,0)),"")</f>
        <v>CM13</v>
      </c>
      <c r="G324" s="49" t="str">
        <f>IFERROR(IF(Tabla1[[#This Row],[CONCEPTO mx]]="","",VLOOKUP(Tabla1[[#This Row],[CONCEPTO mx]],Tabla2[#All],3,0)),"")</f>
        <v>Gestión Humana</v>
      </c>
      <c r="H324" s="49" t="s">
        <v>352</v>
      </c>
      <c r="I324" s="49" t="s">
        <v>2298</v>
      </c>
      <c r="J324" s="53" t="s">
        <v>2775</v>
      </c>
    </row>
    <row r="325" spans="1:10" x14ac:dyDescent="0.25">
      <c r="A325" s="51">
        <v>43179</v>
      </c>
      <c r="C325" s="49" t="s">
        <v>1698</v>
      </c>
      <c r="E325" s="49" t="s">
        <v>2355</v>
      </c>
      <c r="F325" s="49" t="str">
        <f>IFERROR(IF(Tabla1[[#This Row],[CONCEPTO mx]]="","",VLOOKUP(Tabla1[[#This Row],[CONCEPTO mx]],Tabla2[#All],2,0)),"")</f>
        <v>CM13</v>
      </c>
      <c r="G325" s="49" t="str">
        <f>IFERROR(IF(Tabla1[[#This Row],[CONCEPTO mx]]="","",VLOOKUP(Tabla1[[#This Row],[CONCEPTO mx]],Tabla2[#All],3,0)),"")</f>
        <v>Gestión Humana</v>
      </c>
      <c r="H325" s="49" t="s">
        <v>352</v>
      </c>
      <c r="I325" s="49" t="s">
        <v>2298</v>
      </c>
      <c r="J325" s="53" t="s">
        <v>2775</v>
      </c>
    </row>
    <row r="326" spans="1:10" x14ac:dyDescent="0.25">
      <c r="A326" s="51">
        <v>43179</v>
      </c>
      <c r="C326" s="49" t="s">
        <v>1697</v>
      </c>
      <c r="D326" s="49" t="s">
        <v>2273</v>
      </c>
      <c r="F326" s="49" t="str">
        <f>IFERROR(IF(Tabla1[[#This Row],[CONCEPTO mx]]="","",VLOOKUP(Tabla1[[#This Row],[CONCEPTO mx]],Tabla2[#All],2,0)),"")</f>
        <v/>
      </c>
      <c r="G326" s="49" t="str">
        <f>IFERROR(IF(Tabla1[[#This Row],[CONCEPTO mx]]="","",VLOOKUP(Tabla1[[#This Row],[CONCEPTO mx]],Tabla2[#All],3,0)),"")</f>
        <v/>
      </c>
      <c r="H326" s="49" t="s">
        <v>352</v>
      </c>
      <c r="I326" s="49" t="s">
        <v>2298</v>
      </c>
      <c r="J326" s="53" t="s">
        <v>2775</v>
      </c>
    </row>
    <row r="327" spans="1:10" x14ac:dyDescent="0.25">
      <c r="A327" s="51">
        <v>43179</v>
      </c>
      <c r="C327" s="49" t="s">
        <v>1708</v>
      </c>
      <c r="D327" s="49" t="s">
        <v>51</v>
      </c>
      <c r="F327" s="49" t="str">
        <f>IFERROR(IF(Tabla1[[#This Row],[CONCEPTO mx]]="","",VLOOKUP(Tabla1[[#This Row],[CONCEPTO mx]],Tabla2[#All],2,0)),"")</f>
        <v/>
      </c>
      <c r="G327" s="49" t="str">
        <f>IFERROR(IF(Tabla1[[#This Row],[CONCEPTO mx]]="","",VLOOKUP(Tabla1[[#This Row],[CONCEPTO mx]],Tabla2[#All],3,0)),"")</f>
        <v/>
      </c>
      <c r="H327" s="49" t="s">
        <v>387</v>
      </c>
      <c r="I327" s="49" t="s">
        <v>2419</v>
      </c>
      <c r="J327" s="53" t="s">
        <v>2333</v>
      </c>
    </row>
    <row r="328" spans="1:10" x14ac:dyDescent="0.25">
      <c r="A328" s="51">
        <v>43180</v>
      </c>
      <c r="C328" s="49" t="s">
        <v>1709</v>
      </c>
      <c r="D328" s="49" t="s">
        <v>51</v>
      </c>
      <c r="F328" s="49" t="str">
        <f>IFERROR(IF(Tabla1[[#This Row],[CONCEPTO mx]]="","",VLOOKUP(Tabla1[[#This Row],[CONCEPTO mx]],Tabla2[#All],2,0)),"")</f>
        <v/>
      </c>
      <c r="G328" s="49" t="str">
        <f>IFERROR(IF(Tabla1[[#This Row],[CONCEPTO mx]]="","",VLOOKUP(Tabla1[[#This Row],[CONCEPTO mx]],Tabla2[#All],3,0)),"")</f>
        <v/>
      </c>
      <c r="H328" s="49" t="s">
        <v>357</v>
      </c>
      <c r="I328" s="49" t="s">
        <v>2298</v>
      </c>
      <c r="J328" s="53" t="s">
        <v>2351</v>
      </c>
    </row>
    <row r="329" spans="1:10" x14ac:dyDescent="0.25">
      <c r="A329" s="51">
        <v>43181</v>
      </c>
      <c r="C329" s="49" t="s">
        <v>1710</v>
      </c>
      <c r="E329" s="49" t="s">
        <v>2355</v>
      </c>
      <c r="F329" s="49" t="str">
        <f>IFERROR(IF(Tabla1[[#This Row],[CONCEPTO mx]]="","",VLOOKUP(Tabla1[[#This Row],[CONCEPTO mx]],Tabla2[#All],2,0)),"")</f>
        <v>CM13</v>
      </c>
      <c r="G329" s="49" t="str">
        <f>IFERROR(IF(Tabla1[[#This Row],[CONCEPTO mx]]="","",VLOOKUP(Tabla1[[#This Row],[CONCEPTO mx]],Tabla2[#All],3,0)),"")</f>
        <v>Gestión Humana</v>
      </c>
      <c r="H329" s="49" t="s">
        <v>352</v>
      </c>
      <c r="I329" s="49" t="s">
        <v>2298</v>
      </c>
      <c r="J329" s="53" t="s">
        <v>2775</v>
      </c>
    </row>
    <row r="330" spans="1:10" x14ac:dyDescent="0.25">
      <c r="A330" s="51">
        <v>43181</v>
      </c>
      <c r="C330" s="49" t="s">
        <v>1712</v>
      </c>
      <c r="E330" s="49" t="s">
        <v>2355</v>
      </c>
      <c r="F330" s="49" t="str">
        <f>IFERROR(IF(Tabla1[[#This Row],[CONCEPTO mx]]="","",VLOOKUP(Tabla1[[#This Row],[CONCEPTO mx]],Tabla2[#All],2,0)),"")</f>
        <v>CM13</v>
      </c>
      <c r="G330" s="49" t="str">
        <f>IFERROR(IF(Tabla1[[#This Row],[CONCEPTO mx]]="","",VLOOKUP(Tabla1[[#This Row],[CONCEPTO mx]],Tabla2[#All],3,0)),"")</f>
        <v>Gestión Humana</v>
      </c>
      <c r="H330" s="49" t="s">
        <v>470</v>
      </c>
      <c r="I330" s="49" t="s">
        <v>2298</v>
      </c>
      <c r="J330" s="53" t="s">
        <v>2314</v>
      </c>
    </row>
    <row r="331" spans="1:10" x14ac:dyDescent="0.25">
      <c r="A331" s="51">
        <v>43182</v>
      </c>
      <c r="C331" s="49" t="s">
        <v>1716</v>
      </c>
      <c r="D331" s="49" t="s">
        <v>51</v>
      </c>
      <c r="E331" s="49" t="s">
        <v>3315</v>
      </c>
      <c r="F331" s="49" t="str">
        <f>IFERROR(IF(Tabla1[[#This Row],[CONCEPTO mx]]="","",VLOOKUP(Tabla1[[#This Row],[CONCEPTO mx]],Tabla2[#All],2,0)),"")</f>
        <v>CM40</v>
      </c>
      <c r="G331" s="49" t="str">
        <f>IFERROR(IF(Tabla1[[#This Row],[CONCEPTO mx]]="","",VLOOKUP(Tabla1[[#This Row],[CONCEPTO mx]],Tabla2[#All],3,0)),"")</f>
        <v>SST</v>
      </c>
      <c r="H331" s="49" t="s">
        <v>352</v>
      </c>
      <c r="I331" s="49" t="s">
        <v>2298</v>
      </c>
      <c r="J331" s="53" t="s">
        <v>2775</v>
      </c>
    </row>
    <row r="332" spans="1:10" x14ac:dyDescent="0.25">
      <c r="A332" s="51">
        <v>43182</v>
      </c>
      <c r="C332" s="49" t="s">
        <v>1714</v>
      </c>
      <c r="D332" s="49" t="s">
        <v>51</v>
      </c>
      <c r="F332" s="49" t="str">
        <f>IFERROR(IF(Tabla1[[#This Row],[CONCEPTO mx]]="","",VLOOKUP(Tabla1[[#This Row],[CONCEPTO mx]],Tabla2[#All],2,0)),"")</f>
        <v/>
      </c>
      <c r="G332" s="49" t="str">
        <f>IFERROR(IF(Tabla1[[#This Row],[CONCEPTO mx]]="","",VLOOKUP(Tabla1[[#This Row],[CONCEPTO mx]],Tabla2[#All],3,0)),"")</f>
        <v/>
      </c>
      <c r="H332" s="49" t="s">
        <v>486</v>
      </c>
      <c r="I332" s="49" t="s">
        <v>2298</v>
      </c>
      <c r="J332" s="53" t="s">
        <v>2322</v>
      </c>
    </row>
    <row r="333" spans="1:10" x14ac:dyDescent="0.25">
      <c r="A333" s="51">
        <v>43182</v>
      </c>
      <c r="C333" s="49" t="s">
        <v>109</v>
      </c>
      <c r="D333" s="49" t="s">
        <v>51</v>
      </c>
      <c r="F333" s="49" t="str">
        <f>IFERROR(IF(Tabla1[[#This Row],[CONCEPTO mx]]="","",VLOOKUP(Tabla1[[#This Row],[CONCEPTO mx]],Tabla2[#All],2,0)),"")</f>
        <v/>
      </c>
      <c r="G333" s="49" t="str">
        <f>IFERROR(IF(Tabla1[[#This Row],[CONCEPTO mx]]="","",VLOOKUP(Tabla1[[#This Row],[CONCEPTO mx]],Tabla2[#All],3,0)),"")</f>
        <v/>
      </c>
      <c r="H333" s="49" t="s">
        <v>352</v>
      </c>
      <c r="I333" s="49" t="s">
        <v>2298</v>
      </c>
      <c r="J333" s="53" t="s">
        <v>2775</v>
      </c>
    </row>
    <row r="334" spans="1:10" x14ac:dyDescent="0.25">
      <c r="A334" s="51">
        <v>43182</v>
      </c>
      <c r="C334" s="49" t="s">
        <v>1713</v>
      </c>
      <c r="D334" s="49" t="s">
        <v>51</v>
      </c>
      <c r="F334" s="49" t="str">
        <f>IFERROR(IF(Tabla1[[#This Row],[CONCEPTO mx]]="","",VLOOKUP(Tabla1[[#This Row],[CONCEPTO mx]],Tabla2[#All],2,0)),"")</f>
        <v/>
      </c>
      <c r="G334" s="49" t="str">
        <f>IFERROR(IF(Tabla1[[#This Row],[CONCEPTO mx]]="","",VLOOKUP(Tabla1[[#This Row],[CONCEPTO mx]],Tabla2[#All],3,0)),"")</f>
        <v/>
      </c>
      <c r="H334" s="49" t="s">
        <v>438</v>
      </c>
      <c r="I334" s="49" t="s">
        <v>2298</v>
      </c>
      <c r="J334" s="53" t="s">
        <v>2776</v>
      </c>
    </row>
    <row r="335" spans="1:10" x14ac:dyDescent="0.25">
      <c r="A335" s="51">
        <v>43182</v>
      </c>
      <c r="C335" s="49" t="s">
        <v>1715</v>
      </c>
      <c r="D335" s="49" t="s">
        <v>51</v>
      </c>
      <c r="E335" s="49" t="s">
        <v>3315</v>
      </c>
      <c r="F335" s="49" t="str">
        <f>IFERROR(IF(Tabla1[[#This Row],[CONCEPTO mx]]="","",VLOOKUP(Tabla1[[#This Row],[CONCEPTO mx]],Tabla2[#All],2,0)),"")</f>
        <v>CM40</v>
      </c>
      <c r="G335" s="49" t="str">
        <f>IFERROR(IF(Tabla1[[#This Row],[CONCEPTO mx]]="","",VLOOKUP(Tabla1[[#This Row],[CONCEPTO mx]],Tabla2[#All],3,0)),"")</f>
        <v>SST</v>
      </c>
      <c r="H335" s="49" t="s">
        <v>352</v>
      </c>
      <c r="I335" s="49" t="s">
        <v>2298</v>
      </c>
      <c r="J335" s="53" t="s">
        <v>2775</v>
      </c>
    </row>
    <row r="336" spans="1:10" x14ac:dyDescent="0.25">
      <c r="A336" s="51">
        <v>43182</v>
      </c>
      <c r="C336" s="49" t="s">
        <v>1717</v>
      </c>
      <c r="D336" s="49" t="s">
        <v>51</v>
      </c>
      <c r="F336" s="49" t="str">
        <f>IFERROR(IF(Tabla1[[#This Row],[CONCEPTO mx]]="","",VLOOKUP(Tabla1[[#This Row],[CONCEPTO mx]],Tabla2[#All],2,0)),"")</f>
        <v/>
      </c>
      <c r="G336" s="49" t="str">
        <f>IFERROR(IF(Tabla1[[#This Row],[CONCEPTO mx]]="","",VLOOKUP(Tabla1[[#This Row],[CONCEPTO mx]],Tabla2[#All],3,0)),"")</f>
        <v/>
      </c>
      <c r="H336" s="49" t="s">
        <v>486</v>
      </c>
      <c r="I336" s="49" t="s">
        <v>2298</v>
      </c>
      <c r="J336" s="53" t="s">
        <v>2777</v>
      </c>
    </row>
    <row r="337" spans="1:10" x14ac:dyDescent="0.25">
      <c r="A337" s="51">
        <v>43185</v>
      </c>
      <c r="C337" s="49" t="s">
        <v>1736</v>
      </c>
      <c r="D337" s="49" t="s">
        <v>51</v>
      </c>
      <c r="E337" s="49" t="s">
        <v>3315</v>
      </c>
      <c r="F337" s="49" t="str">
        <f>IFERROR(IF(Tabla1[[#This Row],[CONCEPTO mx]]="","",VLOOKUP(Tabla1[[#This Row],[CONCEPTO mx]],Tabla2[#All],2,0)),"")</f>
        <v>CM40</v>
      </c>
      <c r="G337" s="49" t="str">
        <f>IFERROR(IF(Tabla1[[#This Row],[CONCEPTO mx]]="","",VLOOKUP(Tabla1[[#This Row],[CONCEPTO mx]],Tabla2[#All],3,0)),"")</f>
        <v>SST</v>
      </c>
      <c r="H337" s="49" t="s">
        <v>438</v>
      </c>
      <c r="I337" s="49" t="s">
        <v>2298</v>
      </c>
      <c r="J337" s="53" t="s">
        <v>2781</v>
      </c>
    </row>
    <row r="338" spans="1:10" x14ac:dyDescent="0.25">
      <c r="A338" s="51">
        <v>43185</v>
      </c>
      <c r="C338" s="49" t="s">
        <v>1730</v>
      </c>
      <c r="D338" s="49" t="s">
        <v>51</v>
      </c>
      <c r="F338" s="49" t="str">
        <f>IFERROR(IF(Tabla1[[#This Row],[CONCEPTO mx]]="","",VLOOKUP(Tabla1[[#This Row],[CONCEPTO mx]],Tabla2[#All],2,0)),"")</f>
        <v/>
      </c>
      <c r="G338" s="49" t="str">
        <f>IFERROR(IF(Tabla1[[#This Row],[CONCEPTO mx]]="","",VLOOKUP(Tabla1[[#This Row],[CONCEPTO mx]],Tabla2[#All],3,0)),"")</f>
        <v/>
      </c>
      <c r="H338" s="49" t="s">
        <v>486</v>
      </c>
      <c r="I338" s="49" t="s">
        <v>2298</v>
      </c>
      <c r="J338" s="53" t="s">
        <v>2353</v>
      </c>
    </row>
    <row r="339" spans="1:10" x14ac:dyDescent="0.25">
      <c r="A339" s="51">
        <v>43185</v>
      </c>
      <c r="C339" s="49" t="s">
        <v>1720</v>
      </c>
      <c r="E339" s="49" t="s">
        <v>2355</v>
      </c>
      <c r="F339" s="49" t="str">
        <f>IFERROR(IF(Tabla1[[#This Row],[CONCEPTO mx]]="","",VLOOKUP(Tabla1[[#This Row],[CONCEPTO mx]],Tabla2[#All],2,0)),"")</f>
        <v>CM13</v>
      </c>
      <c r="G339" s="49" t="str">
        <f>IFERROR(IF(Tabla1[[#This Row],[CONCEPTO mx]]="","",VLOOKUP(Tabla1[[#This Row],[CONCEPTO mx]],Tabla2[#All],3,0)),"")</f>
        <v>Gestión Humana</v>
      </c>
      <c r="H339" s="49" t="s">
        <v>438</v>
      </c>
      <c r="I339" s="49" t="s">
        <v>2298</v>
      </c>
      <c r="J339" s="53" t="s">
        <v>2775</v>
      </c>
    </row>
    <row r="340" spans="1:10" x14ac:dyDescent="0.25">
      <c r="A340" s="51">
        <v>43185</v>
      </c>
      <c r="C340" s="49" t="s">
        <v>1728</v>
      </c>
      <c r="D340" s="49" t="s">
        <v>51</v>
      </c>
      <c r="E340" s="49" t="s">
        <v>3315</v>
      </c>
      <c r="F340" s="49" t="str">
        <f>IFERROR(IF(Tabla1[[#This Row],[CONCEPTO mx]]="","",VLOOKUP(Tabla1[[#This Row],[CONCEPTO mx]],Tabla2[#All],2,0)),"")</f>
        <v>CM40</v>
      </c>
      <c r="G340" s="49" t="str">
        <f>IFERROR(IF(Tabla1[[#This Row],[CONCEPTO mx]]="","",VLOOKUP(Tabla1[[#This Row],[CONCEPTO mx]],Tabla2[#All],3,0)),"")</f>
        <v>SST</v>
      </c>
      <c r="H340" s="49" t="s">
        <v>357</v>
      </c>
      <c r="I340" s="49" t="s">
        <v>2319</v>
      </c>
      <c r="J340" s="53"/>
    </row>
    <row r="341" spans="1:10" x14ac:dyDescent="0.25">
      <c r="A341" s="51">
        <v>43185</v>
      </c>
      <c r="C341" s="49" t="s">
        <v>1739</v>
      </c>
      <c r="E341" s="49" t="s">
        <v>2355</v>
      </c>
      <c r="F341" s="49" t="str">
        <f>IFERROR(IF(Tabla1[[#This Row],[CONCEPTO mx]]="","",VLOOKUP(Tabla1[[#This Row],[CONCEPTO mx]],Tabla2[#All],2,0)),"")</f>
        <v>CM13</v>
      </c>
      <c r="G341" s="49" t="str">
        <f>IFERROR(IF(Tabla1[[#This Row],[CONCEPTO mx]]="","",VLOOKUP(Tabla1[[#This Row],[CONCEPTO mx]],Tabla2[#All],3,0)),"")</f>
        <v>Gestión Humana</v>
      </c>
      <c r="H341" s="49" t="s">
        <v>438</v>
      </c>
      <c r="I341" s="49" t="s">
        <v>2298</v>
      </c>
      <c r="J341" s="53" t="s">
        <v>2781</v>
      </c>
    </row>
    <row r="342" spans="1:10" x14ac:dyDescent="0.25">
      <c r="A342" s="51">
        <v>43185</v>
      </c>
      <c r="C342" s="49" t="s">
        <v>1725</v>
      </c>
      <c r="E342" s="49" t="s">
        <v>2355</v>
      </c>
      <c r="F342" s="49" t="str">
        <f>IFERROR(IF(Tabla1[[#This Row],[CONCEPTO mx]]="","",VLOOKUP(Tabla1[[#This Row],[CONCEPTO mx]],Tabla2[#All],2,0)),"")</f>
        <v>CM13</v>
      </c>
      <c r="G342" s="49" t="str">
        <f>IFERROR(IF(Tabla1[[#This Row],[CONCEPTO mx]]="","",VLOOKUP(Tabla1[[#This Row],[CONCEPTO mx]],Tabla2[#All],3,0)),"")</f>
        <v>Gestión Humana</v>
      </c>
      <c r="H342" s="49" t="s">
        <v>438</v>
      </c>
      <c r="I342" s="49" t="s">
        <v>2298</v>
      </c>
      <c r="J342" s="53" t="s">
        <v>2775</v>
      </c>
    </row>
    <row r="343" spans="1:10" x14ac:dyDescent="0.25">
      <c r="A343" s="51">
        <v>43185</v>
      </c>
      <c r="C343" s="49" t="s">
        <v>1724</v>
      </c>
      <c r="D343" s="49" t="s">
        <v>2273</v>
      </c>
      <c r="F343" s="49" t="str">
        <f>IFERROR(IF(Tabla1[[#This Row],[CONCEPTO mx]]="","",VLOOKUP(Tabla1[[#This Row],[CONCEPTO mx]],Tabla2[#All],2,0)),"")</f>
        <v/>
      </c>
      <c r="G343" s="49" t="str">
        <f>IFERROR(IF(Tabla1[[#This Row],[CONCEPTO mx]]="","",VLOOKUP(Tabla1[[#This Row],[CONCEPTO mx]],Tabla2[#All],3,0)),"")</f>
        <v/>
      </c>
      <c r="H343" s="49" t="s">
        <v>550</v>
      </c>
      <c r="I343" s="49" t="s">
        <v>2332</v>
      </c>
      <c r="J343" s="53"/>
    </row>
    <row r="344" spans="1:10" x14ac:dyDescent="0.25">
      <c r="A344" s="51">
        <v>43185</v>
      </c>
      <c r="C344" s="49" t="s">
        <v>1729</v>
      </c>
      <c r="D344" s="49" t="s">
        <v>51</v>
      </c>
      <c r="F344" s="49" t="str">
        <f>IFERROR(IF(Tabla1[[#This Row],[CONCEPTO mx]]="","",VLOOKUP(Tabla1[[#This Row],[CONCEPTO mx]],Tabla2[#All],2,0)),"")</f>
        <v/>
      </c>
      <c r="G344" s="49" t="str">
        <f>IFERROR(IF(Tabla1[[#This Row],[CONCEPTO mx]]="","",VLOOKUP(Tabla1[[#This Row],[CONCEPTO mx]],Tabla2[#All],3,0)),"")</f>
        <v/>
      </c>
      <c r="H344" s="49" t="s">
        <v>470</v>
      </c>
      <c r="I344" s="49" t="s">
        <v>2298</v>
      </c>
      <c r="J344" s="53" t="s">
        <v>2775</v>
      </c>
    </row>
    <row r="345" spans="1:10" x14ac:dyDescent="0.25">
      <c r="A345" s="51">
        <v>43185</v>
      </c>
      <c r="C345" s="49" t="s">
        <v>1737</v>
      </c>
      <c r="D345" s="49" t="s">
        <v>51</v>
      </c>
      <c r="E345" s="49" t="s">
        <v>3315</v>
      </c>
      <c r="F345" s="49" t="str">
        <f>IFERROR(IF(Tabla1[[#This Row],[CONCEPTO mx]]="","",VLOOKUP(Tabla1[[#This Row],[CONCEPTO mx]],Tabla2[#All],2,0)),"")</f>
        <v>CM40</v>
      </c>
      <c r="G345" s="49" t="str">
        <f>IFERROR(IF(Tabla1[[#This Row],[CONCEPTO mx]]="","",VLOOKUP(Tabla1[[#This Row],[CONCEPTO mx]],Tabla2[#All],3,0)),"")</f>
        <v>SST</v>
      </c>
      <c r="H345" s="49" t="s">
        <v>2391</v>
      </c>
      <c r="I345" s="49" t="s">
        <v>1738</v>
      </c>
      <c r="J345" s="53"/>
    </row>
    <row r="346" spans="1:10" x14ac:dyDescent="0.25">
      <c r="A346" s="51">
        <v>43185</v>
      </c>
      <c r="C346" s="49" t="s">
        <v>1727</v>
      </c>
      <c r="E346" s="49" t="s">
        <v>2355</v>
      </c>
      <c r="F346" s="49" t="str">
        <f>IFERROR(IF(Tabla1[[#This Row],[CONCEPTO mx]]="","",VLOOKUP(Tabla1[[#This Row],[CONCEPTO mx]],Tabla2[#All],2,0)),"")</f>
        <v>CM13</v>
      </c>
      <c r="G346" s="49" t="str">
        <f>IFERROR(IF(Tabla1[[#This Row],[CONCEPTO mx]]="","",VLOOKUP(Tabla1[[#This Row],[CONCEPTO mx]],Tabla2[#All],3,0)),"")</f>
        <v>Gestión Humana</v>
      </c>
      <c r="H346" s="49" t="s">
        <v>470</v>
      </c>
      <c r="I346" s="49" t="s">
        <v>2298</v>
      </c>
      <c r="J346" s="53" t="s">
        <v>2779</v>
      </c>
    </row>
    <row r="347" spans="1:10" x14ac:dyDescent="0.25">
      <c r="A347" s="51">
        <v>43185</v>
      </c>
      <c r="C347" s="49" t="s">
        <v>1733</v>
      </c>
      <c r="E347" s="49" t="s">
        <v>2355</v>
      </c>
      <c r="F347" s="49" t="str">
        <f>IFERROR(IF(Tabla1[[#This Row],[CONCEPTO mx]]="","",VLOOKUP(Tabla1[[#This Row],[CONCEPTO mx]],Tabla2[#All],2,0)),"")</f>
        <v>CM13</v>
      </c>
      <c r="G347" s="49" t="str">
        <f>IFERROR(IF(Tabla1[[#This Row],[CONCEPTO mx]]="","",VLOOKUP(Tabla1[[#This Row],[CONCEPTO mx]],Tabla2[#All],3,0)),"")</f>
        <v>Gestión Humana</v>
      </c>
      <c r="H347" s="49" t="s">
        <v>438</v>
      </c>
      <c r="I347" s="49" t="s">
        <v>2298</v>
      </c>
      <c r="J347" s="53" t="s">
        <v>2775</v>
      </c>
    </row>
    <row r="348" spans="1:10" x14ac:dyDescent="0.25">
      <c r="A348" s="51">
        <v>43185</v>
      </c>
      <c r="C348" s="49" t="s">
        <v>1732</v>
      </c>
      <c r="D348" s="49" t="s">
        <v>51</v>
      </c>
      <c r="F348" s="49" t="str">
        <f>IFERROR(IF(Tabla1[[#This Row],[CONCEPTO mx]]="","",VLOOKUP(Tabla1[[#This Row],[CONCEPTO mx]],Tabla2[#All],2,0)),"")</f>
        <v/>
      </c>
      <c r="G348" s="49" t="str">
        <f>IFERROR(IF(Tabla1[[#This Row],[CONCEPTO mx]]="","",VLOOKUP(Tabla1[[#This Row],[CONCEPTO mx]],Tabla2[#All],3,0)),"")</f>
        <v/>
      </c>
      <c r="H348" s="49" t="s">
        <v>470</v>
      </c>
      <c r="I348" s="49" t="s">
        <v>2298</v>
      </c>
      <c r="J348" s="53" t="s">
        <v>2302</v>
      </c>
    </row>
    <row r="349" spans="1:10" x14ac:dyDescent="0.25">
      <c r="A349" s="51">
        <v>43185</v>
      </c>
      <c r="C349" s="49" t="s">
        <v>1722</v>
      </c>
      <c r="D349" s="49" t="s">
        <v>51</v>
      </c>
      <c r="F349" s="49" t="str">
        <f>IFERROR(IF(Tabla1[[#This Row],[CONCEPTO mx]]="","",VLOOKUP(Tabla1[[#This Row],[CONCEPTO mx]],Tabla2[#All],2,0)),"")</f>
        <v/>
      </c>
      <c r="G349" s="49" t="str">
        <f>IFERROR(IF(Tabla1[[#This Row],[CONCEPTO mx]]="","",VLOOKUP(Tabla1[[#This Row],[CONCEPTO mx]],Tabla2[#All],3,0)),"")</f>
        <v/>
      </c>
      <c r="H349" s="49" t="s">
        <v>438</v>
      </c>
      <c r="I349" s="49" t="s">
        <v>2325</v>
      </c>
      <c r="J349" s="53"/>
    </row>
    <row r="350" spans="1:10" x14ac:dyDescent="0.25">
      <c r="A350" s="51">
        <v>43185</v>
      </c>
      <c r="C350" s="49" t="s">
        <v>1726</v>
      </c>
      <c r="D350" s="49" t="s">
        <v>51</v>
      </c>
      <c r="F350" s="49" t="str">
        <f>IFERROR(IF(Tabla1[[#This Row],[CONCEPTO mx]]="","",VLOOKUP(Tabla1[[#This Row],[CONCEPTO mx]],Tabla2[#All],2,0)),"")</f>
        <v/>
      </c>
      <c r="G350" s="49" t="str">
        <f>IFERROR(IF(Tabla1[[#This Row],[CONCEPTO mx]]="","",VLOOKUP(Tabla1[[#This Row],[CONCEPTO mx]],Tabla2[#All],3,0)),"")</f>
        <v/>
      </c>
      <c r="H350" s="49" t="s">
        <v>470</v>
      </c>
      <c r="I350" s="49" t="s">
        <v>2298</v>
      </c>
      <c r="J350" s="53" t="s">
        <v>2351</v>
      </c>
    </row>
    <row r="351" spans="1:10" x14ac:dyDescent="0.25">
      <c r="A351" s="51">
        <v>43185</v>
      </c>
      <c r="C351" s="49" t="s">
        <v>1743</v>
      </c>
      <c r="D351" s="49" t="s">
        <v>51</v>
      </c>
      <c r="E351" s="49" t="s">
        <v>3315</v>
      </c>
      <c r="F351" s="49" t="str">
        <f>IFERROR(IF(Tabla1[[#This Row],[CONCEPTO mx]]="","",VLOOKUP(Tabla1[[#This Row],[CONCEPTO mx]],Tabla2[#All],2,0)),"")</f>
        <v>CM40</v>
      </c>
      <c r="G351" s="49" t="str">
        <f>IFERROR(IF(Tabla1[[#This Row],[CONCEPTO mx]]="","",VLOOKUP(Tabla1[[#This Row],[CONCEPTO mx]],Tabla2[#All],3,0)),"")</f>
        <v>SST</v>
      </c>
      <c r="H351" s="49" t="s">
        <v>357</v>
      </c>
      <c r="I351" s="49" t="s">
        <v>2319</v>
      </c>
      <c r="J351" s="53"/>
    </row>
    <row r="352" spans="1:10" x14ac:dyDescent="0.25">
      <c r="A352" s="51">
        <v>43185</v>
      </c>
      <c r="C352" s="49" t="s">
        <v>1735</v>
      </c>
      <c r="D352" s="49" t="s">
        <v>2273</v>
      </c>
      <c r="F352" s="49" t="str">
        <f>IFERROR(IF(Tabla1[[#This Row],[CONCEPTO mx]]="","",VLOOKUP(Tabla1[[#This Row],[CONCEPTO mx]],Tabla2[#All],2,0)),"")</f>
        <v/>
      </c>
      <c r="G352" s="49" t="str">
        <f>IFERROR(IF(Tabla1[[#This Row],[CONCEPTO mx]]="","",VLOOKUP(Tabla1[[#This Row],[CONCEPTO mx]],Tabla2[#All],3,0)),"")</f>
        <v/>
      </c>
      <c r="H352" s="49" t="s">
        <v>438</v>
      </c>
      <c r="I352" s="49" t="s">
        <v>2298</v>
      </c>
      <c r="J352" s="53" t="s">
        <v>2780</v>
      </c>
    </row>
    <row r="353" spans="1:11" x14ac:dyDescent="0.25">
      <c r="A353" s="51">
        <v>43185</v>
      </c>
      <c r="C353" s="49" t="s">
        <v>1721</v>
      </c>
      <c r="D353" s="49" t="s">
        <v>51</v>
      </c>
      <c r="E353" s="49" t="s">
        <v>3315</v>
      </c>
      <c r="F353" s="49" t="str">
        <f>IFERROR(IF(Tabla1[[#This Row],[CONCEPTO mx]]="","",VLOOKUP(Tabla1[[#This Row],[CONCEPTO mx]],Tabla2[#All],2,0)),"")</f>
        <v>CM40</v>
      </c>
      <c r="G353" s="49" t="str">
        <f>IFERROR(IF(Tabla1[[#This Row],[CONCEPTO mx]]="","",VLOOKUP(Tabla1[[#This Row],[CONCEPTO mx]],Tabla2[#All],3,0)),"")</f>
        <v>SST</v>
      </c>
      <c r="H353" s="49" t="s">
        <v>550</v>
      </c>
      <c r="I353" s="49" t="s">
        <v>2318</v>
      </c>
      <c r="J353" s="53"/>
    </row>
    <row r="354" spans="1:11" x14ac:dyDescent="0.25">
      <c r="A354" s="51">
        <v>43185</v>
      </c>
      <c r="C354" s="49" t="s">
        <v>1740</v>
      </c>
      <c r="D354" s="49" t="s">
        <v>51</v>
      </c>
      <c r="F354" s="49" t="str">
        <f>IFERROR(IF(Tabla1[[#This Row],[CONCEPTO mx]]="","",VLOOKUP(Tabla1[[#This Row],[CONCEPTO mx]],Tabla2[#All],2,0)),"")</f>
        <v/>
      </c>
      <c r="G354" s="49" t="str">
        <f>IFERROR(IF(Tabla1[[#This Row],[CONCEPTO mx]]="","",VLOOKUP(Tabla1[[#This Row],[CONCEPTO mx]],Tabla2[#All],3,0)),"")</f>
        <v/>
      </c>
      <c r="H354" s="49" t="s">
        <v>1741</v>
      </c>
      <c r="I354" s="49" t="s">
        <v>1742</v>
      </c>
      <c r="J354" s="53"/>
    </row>
    <row r="355" spans="1:11" x14ac:dyDescent="0.25">
      <c r="A355" s="51">
        <v>43185</v>
      </c>
      <c r="C355" s="49" t="s">
        <v>1723</v>
      </c>
      <c r="E355" s="49" t="s">
        <v>2355</v>
      </c>
      <c r="F355" s="49" t="str">
        <f>IFERROR(IF(Tabla1[[#This Row],[CONCEPTO mx]]="","",VLOOKUP(Tabla1[[#This Row],[CONCEPTO mx]],Tabla2[#All],2,0)),"")</f>
        <v>CM13</v>
      </c>
      <c r="G355" s="49" t="str">
        <f>IFERROR(IF(Tabla1[[#This Row],[CONCEPTO mx]]="","",VLOOKUP(Tabla1[[#This Row],[CONCEPTO mx]],Tabla2[#All],3,0)),"")</f>
        <v>Gestión Humana</v>
      </c>
      <c r="H355" s="49" t="s">
        <v>486</v>
      </c>
      <c r="I355" s="49" t="s">
        <v>2298</v>
      </c>
      <c r="J355" s="53" t="s">
        <v>2775</v>
      </c>
    </row>
    <row r="356" spans="1:11" x14ac:dyDescent="0.25">
      <c r="A356" s="51">
        <v>43185</v>
      </c>
      <c r="C356" s="49" t="s">
        <v>1719</v>
      </c>
      <c r="D356" s="49" t="s">
        <v>51</v>
      </c>
      <c r="F356" s="49" t="str">
        <f>IFERROR(IF(Tabla1[[#This Row],[CONCEPTO mx]]="","",VLOOKUP(Tabla1[[#This Row],[CONCEPTO mx]],Tabla2[#All],2,0)),"")</f>
        <v/>
      </c>
      <c r="G356" s="49" t="str">
        <f>IFERROR(IF(Tabla1[[#This Row],[CONCEPTO mx]]="","",VLOOKUP(Tabla1[[#This Row],[CONCEPTO mx]],Tabla2[#All],3,0)),"")</f>
        <v/>
      </c>
      <c r="H356" s="49" t="s">
        <v>438</v>
      </c>
      <c r="I356" s="49" t="s">
        <v>2298</v>
      </c>
      <c r="J356" s="53" t="s">
        <v>2775</v>
      </c>
    </row>
    <row r="357" spans="1:11" x14ac:dyDescent="0.25">
      <c r="A357" s="51">
        <v>43185</v>
      </c>
      <c r="C357" s="49" t="s">
        <v>1734</v>
      </c>
      <c r="E357" s="49" t="s">
        <v>2355</v>
      </c>
      <c r="F357" s="49" t="str">
        <f>IFERROR(IF(Tabla1[[#This Row],[CONCEPTO mx]]="","",VLOOKUP(Tabla1[[#This Row],[CONCEPTO mx]],Tabla2[#All],2,0)),"")</f>
        <v>CM13</v>
      </c>
      <c r="G357" s="49" t="str">
        <f>IFERROR(IF(Tabla1[[#This Row],[CONCEPTO mx]]="","",VLOOKUP(Tabla1[[#This Row],[CONCEPTO mx]],Tabla2[#All],3,0)),"")</f>
        <v>Gestión Humana</v>
      </c>
      <c r="H357" s="49" t="s">
        <v>486</v>
      </c>
      <c r="I357" s="49" t="s">
        <v>2298</v>
      </c>
      <c r="J357" s="53" t="s">
        <v>2775</v>
      </c>
    </row>
    <row r="358" spans="1:11" x14ac:dyDescent="0.25">
      <c r="A358" s="51">
        <v>43186</v>
      </c>
      <c r="C358" s="49" t="s">
        <v>1702</v>
      </c>
      <c r="D358" s="49" t="s">
        <v>2273</v>
      </c>
      <c r="F358" s="49" t="str">
        <f>IFERROR(IF(Tabla1[[#This Row],[CONCEPTO mx]]="","",VLOOKUP(Tabla1[[#This Row],[CONCEPTO mx]],Tabla2[#All],2,0)),"")</f>
        <v/>
      </c>
      <c r="G358" s="49" t="str">
        <f>IFERROR(IF(Tabla1[[#This Row],[CONCEPTO mx]]="","",VLOOKUP(Tabla1[[#This Row],[CONCEPTO mx]],Tabla2[#All],3,0)),"")</f>
        <v/>
      </c>
      <c r="H358" s="49" t="s">
        <v>542</v>
      </c>
      <c r="I358" s="49" t="s">
        <v>2298</v>
      </c>
      <c r="J358" s="53" t="s">
        <v>2769</v>
      </c>
      <c r="K358" s="51">
        <v>43179</v>
      </c>
    </row>
    <row r="359" spans="1:11" x14ac:dyDescent="0.25">
      <c r="A359" s="51">
        <v>43186</v>
      </c>
      <c r="C359" s="49" t="s">
        <v>1751</v>
      </c>
      <c r="D359" s="49" t="s">
        <v>51</v>
      </c>
      <c r="F359" s="49" t="str">
        <f>IFERROR(IF(Tabla1[[#This Row],[CONCEPTO mx]]="","",VLOOKUP(Tabla1[[#This Row],[CONCEPTO mx]],Tabla2[#All],2,0)),"")</f>
        <v/>
      </c>
      <c r="G359" s="49" t="str">
        <f>IFERROR(IF(Tabla1[[#This Row],[CONCEPTO mx]]="","",VLOOKUP(Tabla1[[#This Row],[CONCEPTO mx]],Tabla2[#All],3,0)),"")</f>
        <v/>
      </c>
      <c r="H359" s="49" t="s">
        <v>470</v>
      </c>
      <c r="I359" s="49" t="s">
        <v>2339</v>
      </c>
      <c r="J359" s="53"/>
    </row>
    <row r="360" spans="1:11" x14ac:dyDescent="0.25">
      <c r="A360" s="51">
        <v>43186</v>
      </c>
      <c r="C360" s="49" t="s">
        <v>1657</v>
      </c>
      <c r="D360" s="49" t="s">
        <v>2273</v>
      </c>
      <c r="F360" s="49" t="str">
        <f>IFERROR(IF(Tabla1[[#This Row],[CONCEPTO mx]]="","",VLOOKUP(Tabla1[[#This Row],[CONCEPTO mx]],Tabla2[#All],2,0)),"")</f>
        <v/>
      </c>
      <c r="G360" s="49" t="str">
        <f>IFERROR(IF(Tabla1[[#This Row],[CONCEPTO mx]]="","",VLOOKUP(Tabla1[[#This Row],[CONCEPTO mx]],Tabla2[#All],3,0)),"")</f>
        <v/>
      </c>
      <c r="H360" s="49" t="s">
        <v>486</v>
      </c>
      <c r="I360" s="49" t="s">
        <v>2298</v>
      </c>
      <c r="J360" s="53" t="s">
        <v>2769</v>
      </c>
      <c r="K360" s="51">
        <v>43174</v>
      </c>
    </row>
    <row r="361" spans="1:11" x14ac:dyDescent="0.25">
      <c r="A361" s="51">
        <v>43186</v>
      </c>
      <c r="C361" s="49" t="s">
        <v>1756</v>
      </c>
      <c r="D361" s="49" t="s">
        <v>51</v>
      </c>
      <c r="F361" s="49" t="str">
        <f>IFERROR(IF(Tabla1[[#This Row],[CONCEPTO mx]]="","",VLOOKUP(Tabla1[[#This Row],[CONCEPTO mx]],Tabla2[#All],2,0)),"")</f>
        <v/>
      </c>
      <c r="G361" s="49" t="str">
        <f>IFERROR(IF(Tabla1[[#This Row],[CONCEPTO mx]]="","",VLOOKUP(Tabla1[[#This Row],[CONCEPTO mx]],Tabla2[#All],3,0)),"")</f>
        <v/>
      </c>
      <c r="H361" s="49" t="s">
        <v>357</v>
      </c>
      <c r="I361" s="49" t="s">
        <v>2298</v>
      </c>
      <c r="J361" s="53" t="s">
        <v>2778</v>
      </c>
    </row>
    <row r="362" spans="1:11" x14ac:dyDescent="0.25">
      <c r="A362" s="51">
        <v>43186</v>
      </c>
      <c r="C362" s="49" t="s">
        <v>1750</v>
      </c>
      <c r="D362" s="49" t="s">
        <v>2273</v>
      </c>
      <c r="F362" s="49" t="str">
        <f>IFERROR(IF(Tabla1[[#This Row],[CONCEPTO mx]]="","",VLOOKUP(Tabla1[[#This Row],[CONCEPTO mx]],Tabla2[#All],2,0)),"")</f>
        <v/>
      </c>
      <c r="G362" s="49" t="str">
        <f>IFERROR(IF(Tabla1[[#This Row],[CONCEPTO mx]]="","",VLOOKUP(Tabla1[[#This Row],[CONCEPTO mx]],Tabla2[#All],3,0)),"")</f>
        <v/>
      </c>
      <c r="H362" s="49" t="s">
        <v>628</v>
      </c>
      <c r="I362" s="49" t="s">
        <v>2339</v>
      </c>
      <c r="J362" s="53"/>
    </row>
    <row r="363" spans="1:11" x14ac:dyDescent="0.25">
      <c r="A363" s="51">
        <v>43186</v>
      </c>
      <c r="C363" s="49" t="s">
        <v>1693</v>
      </c>
      <c r="D363" s="49" t="s">
        <v>2273</v>
      </c>
      <c r="F363" s="49" t="str">
        <f>IFERROR(IF(Tabla1[[#This Row],[CONCEPTO mx]]="","",VLOOKUP(Tabla1[[#This Row],[CONCEPTO mx]],Tabla2[#All],2,0)),"")</f>
        <v/>
      </c>
      <c r="G363" s="49" t="str">
        <f>IFERROR(IF(Tabla1[[#This Row],[CONCEPTO mx]]="","",VLOOKUP(Tabla1[[#This Row],[CONCEPTO mx]],Tabla2[#All],3,0)),"")</f>
        <v/>
      </c>
      <c r="H363" s="49" t="s">
        <v>352</v>
      </c>
      <c r="I363" s="49" t="s">
        <v>2298</v>
      </c>
      <c r="J363" s="53" t="s">
        <v>2769</v>
      </c>
    </row>
    <row r="364" spans="1:11" x14ac:dyDescent="0.25">
      <c r="A364" s="51">
        <v>43186</v>
      </c>
      <c r="C364" s="49" t="s">
        <v>1681</v>
      </c>
      <c r="D364" s="49" t="s">
        <v>2273</v>
      </c>
      <c r="F364" s="49" t="str">
        <f>IFERROR(IF(Tabla1[[#This Row],[CONCEPTO mx]]="","",VLOOKUP(Tabla1[[#This Row],[CONCEPTO mx]],Tabla2[#All],2,0)),"")</f>
        <v/>
      </c>
      <c r="G364" s="49" t="str">
        <f>IFERROR(IF(Tabla1[[#This Row],[CONCEPTO mx]]="","",VLOOKUP(Tabla1[[#This Row],[CONCEPTO mx]],Tabla2[#All],3,0)),"")</f>
        <v/>
      </c>
      <c r="H364" s="49" t="s">
        <v>352</v>
      </c>
      <c r="I364" s="49" t="s">
        <v>2298</v>
      </c>
      <c r="J364" s="53" t="s">
        <v>2769</v>
      </c>
    </row>
    <row r="365" spans="1:11" x14ac:dyDescent="0.25">
      <c r="A365" s="51">
        <v>43186</v>
      </c>
      <c r="C365" s="49" t="s">
        <v>1748</v>
      </c>
      <c r="D365" s="49" t="s">
        <v>1749</v>
      </c>
      <c r="F365" s="49" t="str">
        <f>IFERROR(IF(Tabla1[[#This Row],[CONCEPTO mx]]="","",VLOOKUP(Tabla1[[#This Row],[CONCEPTO mx]],Tabla2[#All],2,0)),"")</f>
        <v/>
      </c>
      <c r="G365" s="49" t="str">
        <f>IFERROR(IF(Tabla1[[#This Row],[CONCEPTO mx]]="","",VLOOKUP(Tabla1[[#This Row],[CONCEPTO mx]],Tabla2[#All],3,0)),"")</f>
        <v/>
      </c>
      <c r="H365" s="49" t="s">
        <v>542</v>
      </c>
      <c r="I365" s="49" t="s">
        <v>2339</v>
      </c>
      <c r="J365" s="53"/>
    </row>
    <row r="366" spans="1:11" x14ac:dyDescent="0.25">
      <c r="A366" s="51">
        <v>43186</v>
      </c>
      <c r="C366" s="49" t="s">
        <v>1606</v>
      </c>
      <c r="D366" s="49" t="s">
        <v>2273</v>
      </c>
      <c r="F366" s="49" t="str">
        <f>IFERROR(IF(Tabla1[[#This Row],[CONCEPTO mx]]="","",VLOOKUP(Tabla1[[#This Row],[CONCEPTO mx]],Tabla2[#All],2,0)),"")</f>
        <v/>
      </c>
      <c r="G366" s="49" t="str">
        <f>IFERROR(IF(Tabla1[[#This Row],[CONCEPTO mx]]="","",VLOOKUP(Tabla1[[#This Row],[CONCEPTO mx]],Tabla2[#All],3,0)),"")</f>
        <v/>
      </c>
      <c r="H366" s="49" t="s">
        <v>406</v>
      </c>
      <c r="I366" s="49" t="s">
        <v>2298</v>
      </c>
      <c r="J366" s="53"/>
    </row>
    <row r="367" spans="1:11" x14ac:dyDescent="0.25">
      <c r="A367" s="51">
        <v>43186</v>
      </c>
      <c r="C367" s="49" t="s">
        <v>1744</v>
      </c>
      <c r="D367" s="49" t="s">
        <v>51</v>
      </c>
      <c r="E367" s="49" t="s">
        <v>3315</v>
      </c>
      <c r="F367" s="49" t="str">
        <f>IFERROR(IF(Tabla1[[#This Row],[CONCEPTO mx]]="","",VLOOKUP(Tabla1[[#This Row],[CONCEPTO mx]],Tabla2[#All],2,0)),"")</f>
        <v>CM40</v>
      </c>
      <c r="G367" s="49" t="str">
        <f>IFERROR(IF(Tabla1[[#This Row],[CONCEPTO mx]]="","",VLOOKUP(Tabla1[[#This Row],[CONCEPTO mx]],Tabla2[#All],3,0)),"")</f>
        <v>SST</v>
      </c>
      <c r="H367" s="49" t="s">
        <v>438</v>
      </c>
      <c r="I367" s="49" t="s">
        <v>2298</v>
      </c>
      <c r="J367" s="53" t="s">
        <v>2710</v>
      </c>
    </row>
    <row r="368" spans="1:11" x14ac:dyDescent="0.25">
      <c r="A368" s="51">
        <v>43186</v>
      </c>
      <c r="C368" s="49" t="s">
        <v>1759</v>
      </c>
      <c r="D368" s="49" t="s">
        <v>51</v>
      </c>
      <c r="F368" s="49" t="str">
        <f>IFERROR(IF(Tabla1[[#This Row],[CONCEPTO mx]]="","",VLOOKUP(Tabla1[[#This Row],[CONCEPTO mx]],Tabla2[#All],2,0)),"")</f>
        <v/>
      </c>
      <c r="G368" s="49" t="str">
        <f>IFERROR(IF(Tabla1[[#This Row],[CONCEPTO mx]]="","",VLOOKUP(Tabla1[[#This Row],[CONCEPTO mx]],Tabla2[#All],3,0)),"")</f>
        <v/>
      </c>
      <c r="H368" s="49" t="s">
        <v>470</v>
      </c>
      <c r="I368" s="49" t="s">
        <v>2339</v>
      </c>
      <c r="J368" s="53"/>
    </row>
    <row r="369" spans="1:10" x14ac:dyDescent="0.25">
      <c r="A369" s="51">
        <v>43186</v>
      </c>
      <c r="C369" s="49" t="s">
        <v>1753</v>
      </c>
      <c r="D369" s="49" t="s">
        <v>51</v>
      </c>
      <c r="F369" s="49" t="str">
        <f>IFERROR(IF(Tabla1[[#This Row],[CONCEPTO mx]]="","",VLOOKUP(Tabla1[[#This Row],[CONCEPTO mx]],Tabla2[#All],2,0)),"")</f>
        <v/>
      </c>
      <c r="G369" s="49" t="str">
        <f>IFERROR(IF(Tabla1[[#This Row],[CONCEPTO mx]]="","",VLOOKUP(Tabla1[[#This Row],[CONCEPTO mx]],Tabla2[#All],3,0)),"")</f>
        <v/>
      </c>
      <c r="H369" s="49" t="s">
        <v>470</v>
      </c>
      <c r="I369" s="49" t="s">
        <v>2298</v>
      </c>
      <c r="J369" s="53" t="s">
        <v>2782</v>
      </c>
    </row>
    <row r="370" spans="1:10" x14ac:dyDescent="0.25">
      <c r="A370" s="51">
        <v>43186</v>
      </c>
      <c r="C370" s="49" t="s">
        <v>1746</v>
      </c>
      <c r="E370" s="49" t="s">
        <v>2355</v>
      </c>
      <c r="F370" s="49" t="str">
        <f>IFERROR(IF(Tabla1[[#This Row],[CONCEPTO mx]]="","",VLOOKUP(Tabla1[[#This Row],[CONCEPTO mx]],Tabla2[#All],2,0)),"")</f>
        <v>CM13</v>
      </c>
      <c r="G370" s="49" t="str">
        <f>IFERROR(IF(Tabla1[[#This Row],[CONCEPTO mx]]="","",VLOOKUP(Tabla1[[#This Row],[CONCEPTO mx]],Tabla2[#All],3,0)),"")</f>
        <v>Gestión Humana</v>
      </c>
      <c r="H370" s="49" t="s">
        <v>388</v>
      </c>
      <c r="I370" s="49" t="s">
        <v>2298</v>
      </c>
      <c r="J370" s="53" t="s">
        <v>2775</v>
      </c>
    </row>
    <row r="371" spans="1:10" x14ac:dyDescent="0.25">
      <c r="A371" s="51">
        <v>43186</v>
      </c>
      <c r="C371" s="49" t="s">
        <v>1754</v>
      </c>
      <c r="D371" s="49" t="s">
        <v>51</v>
      </c>
      <c r="E371" s="49" t="s">
        <v>3315</v>
      </c>
      <c r="F371" s="49" t="str">
        <f>IFERROR(IF(Tabla1[[#This Row],[CONCEPTO mx]]="","",VLOOKUP(Tabla1[[#This Row],[CONCEPTO mx]],Tabla2[#All],2,0)),"")</f>
        <v>CM40</v>
      </c>
      <c r="G371" s="49" t="str">
        <f>IFERROR(IF(Tabla1[[#This Row],[CONCEPTO mx]]="","",VLOOKUP(Tabla1[[#This Row],[CONCEPTO mx]],Tabla2[#All],3,0)),"")</f>
        <v>SST</v>
      </c>
      <c r="H371" s="49" t="s">
        <v>486</v>
      </c>
      <c r="I371" s="49" t="s">
        <v>2298</v>
      </c>
      <c r="J371" s="53" t="s">
        <v>2783</v>
      </c>
    </row>
    <row r="372" spans="1:10" x14ac:dyDescent="0.25">
      <c r="A372" s="51">
        <v>43186</v>
      </c>
      <c r="C372" s="49" t="s">
        <v>1747</v>
      </c>
      <c r="D372" s="49" t="s">
        <v>2273</v>
      </c>
      <c r="F372" s="49" t="str">
        <f>IFERROR(IF(Tabla1[[#This Row],[CONCEPTO mx]]="","",VLOOKUP(Tabla1[[#This Row],[CONCEPTO mx]],Tabla2[#All],2,0)),"")</f>
        <v/>
      </c>
      <c r="G372" s="49" t="str">
        <f>IFERROR(IF(Tabla1[[#This Row],[CONCEPTO mx]]="","",VLOOKUP(Tabla1[[#This Row],[CONCEPTO mx]],Tabla2[#All],3,0)),"")</f>
        <v/>
      </c>
      <c r="H372" s="49" t="s">
        <v>387</v>
      </c>
      <c r="I372" s="49" t="s">
        <v>2339</v>
      </c>
      <c r="J372" s="53"/>
    </row>
    <row r="373" spans="1:10" x14ac:dyDescent="0.25">
      <c r="A373" s="51">
        <v>43186</v>
      </c>
      <c r="C373" s="49" t="s">
        <v>1760</v>
      </c>
      <c r="D373" s="49" t="s">
        <v>51</v>
      </c>
      <c r="F373" s="49" t="str">
        <f>IFERROR(IF(Tabla1[[#This Row],[CONCEPTO mx]]="","",VLOOKUP(Tabla1[[#This Row],[CONCEPTO mx]],Tabla2[#All],2,0)),"")</f>
        <v/>
      </c>
      <c r="G373" s="49" t="str">
        <f>IFERROR(IF(Tabla1[[#This Row],[CONCEPTO mx]]="","",VLOOKUP(Tabla1[[#This Row],[CONCEPTO mx]],Tabla2[#All],3,0)),"")</f>
        <v/>
      </c>
      <c r="H373" s="49" t="s">
        <v>542</v>
      </c>
      <c r="I373" s="49" t="s">
        <v>2298</v>
      </c>
      <c r="J373" s="53" t="s">
        <v>2323</v>
      </c>
    </row>
    <row r="374" spans="1:10" x14ac:dyDescent="0.25">
      <c r="A374" s="51">
        <v>43186</v>
      </c>
      <c r="C374" s="49" t="s">
        <v>1757</v>
      </c>
      <c r="E374" s="49" t="s">
        <v>2355</v>
      </c>
      <c r="F374" s="49" t="str">
        <f>IFERROR(IF(Tabla1[[#This Row],[CONCEPTO mx]]="","",VLOOKUP(Tabla1[[#This Row],[CONCEPTO mx]],Tabla2[#All],2,0)),"")</f>
        <v>CM13</v>
      </c>
      <c r="G374" s="49" t="str">
        <f>IFERROR(IF(Tabla1[[#This Row],[CONCEPTO mx]]="","",VLOOKUP(Tabla1[[#This Row],[CONCEPTO mx]],Tabla2[#All],3,0)),"")</f>
        <v>Gestión Humana</v>
      </c>
      <c r="H374" s="49" t="s">
        <v>439</v>
      </c>
      <c r="I374" s="49" t="s">
        <v>2339</v>
      </c>
      <c r="J374" s="53"/>
    </row>
    <row r="375" spans="1:10" x14ac:dyDescent="0.25">
      <c r="A375" s="51">
        <v>43186</v>
      </c>
      <c r="C375" s="49" t="s">
        <v>1752</v>
      </c>
      <c r="D375" s="49" t="s">
        <v>51</v>
      </c>
      <c r="E375" s="49" t="s">
        <v>3315</v>
      </c>
      <c r="F375" s="49" t="str">
        <f>IFERROR(IF(Tabla1[[#This Row],[CONCEPTO mx]]="","",VLOOKUP(Tabla1[[#This Row],[CONCEPTO mx]],Tabla2[#All],2,0)),"")</f>
        <v>CM40</v>
      </c>
      <c r="G375" s="49" t="str">
        <f>IFERROR(IF(Tabla1[[#This Row],[CONCEPTO mx]]="","",VLOOKUP(Tabla1[[#This Row],[CONCEPTO mx]],Tabla2[#All],3,0)),"")</f>
        <v>SST</v>
      </c>
      <c r="H375" s="49" t="s">
        <v>357</v>
      </c>
      <c r="I375" s="49" t="s">
        <v>2319</v>
      </c>
      <c r="J375" s="53"/>
    </row>
    <row r="376" spans="1:10" x14ac:dyDescent="0.25">
      <c r="A376" s="51">
        <v>43186</v>
      </c>
      <c r="C376" s="49" t="s">
        <v>1712</v>
      </c>
      <c r="D376" s="49" t="s">
        <v>51</v>
      </c>
      <c r="F376" s="49" t="str">
        <f>IFERROR(IF(Tabla1[[#This Row],[CONCEPTO mx]]="","",VLOOKUP(Tabla1[[#This Row],[CONCEPTO mx]],Tabla2[#All],2,0)),"")</f>
        <v/>
      </c>
      <c r="G376" s="49" t="str">
        <f>IFERROR(IF(Tabla1[[#This Row],[CONCEPTO mx]]="","",VLOOKUP(Tabla1[[#This Row],[CONCEPTO mx]],Tabla2[#All],3,0)),"")</f>
        <v/>
      </c>
      <c r="H376" s="49" t="s">
        <v>470</v>
      </c>
      <c r="I376" s="49" t="s">
        <v>2298</v>
      </c>
      <c r="J376" s="53" t="s">
        <v>2314</v>
      </c>
    </row>
    <row r="377" spans="1:10" x14ac:dyDescent="0.25">
      <c r="A377" s="51">
        <v>43186</v>
      </c>
      <c r="C377" s="49" t="s">
        <v>1661</v>
      </c>
      <c r="D377" s="49" t="s">
        <v>2273</v>
      </c>
      <c r="F377" s="49" t="str">
        <f>IFERROR(IF(Tabla1[[#This Row],[CONCEPTO mx]]="","",VLOOKUP(Tabla1[[#This Row],[CONCEPTO mx]],Tabla2[#All],2,0)),"")</f>
        <v/>
      </c>
      <c r="G377" s="49" t="str">
        <f>IFERROR(IF(Tabla1[[#This Row],[CONCEPTO mx]]="","",VLOOKUP(Tabla1[[#This Row],[CONCEPTO mx]],Tabla2[#All],3,0)),"")</f>
        <v/>
      </c>
      <c r="H377" s="49" t="s">
        <v>438</v>
      </c>
      <c r="I377" s="49" t="s">
        <v>2298</v>
      </c>
      <c r="J377" s="53" t="s">
        <v>2769</v>
      </c>
    </row>
    <row r="378" spans="1:10" x14ac:dyDescent="0.25">
      <c r="A378" s="51">
        <v>43186</v>
      </c>
      <c r="C378" s="49" t="s">
        <v>1755</v>
      </c>
      <c r="E378" s="49" t="s">
        <v>2355</v>
      </c>
      <c r="F378" s="49" t="str">
        <f>IFERROR(IF(Tabla1[[#This Row],[CONCEPTO mx]]="","",VLOOKUP(Tabla1[[#This Row],[CONCEPTO mx]],Tabla2[#All],2,0)),"")</f>
        <v>CM13</v>
      </c>
      <c r="G378" s="49" t="str">
        <f>IFERROR(IF(Tabla1[[#This Row],[CONCEPTO mx]]="","",VLOOKUP(Tabla1[[#This Row],[CONCEPTO mx]],Tabla2[#All],3,0)),"")</f>
        <v>Gestión Humana</v>
      </c>
      <c r="H378" s="49" t="s">
        <v>486</v>
      </c>
      <c r="I378" s="49" t="s">
        <v>2298</v>
      </c>
      <c r="J378" s="53" t="s">
        <v>2341</v>
      </c>
    </row>
    <row r="379" spans="1:10" x14ac:dyDescent="0.25">
      <c r="A379" s="51">
        <v>43186</v>
      </c>
      <c r="C379" s="49" t="s">
        <v>1745</v>
      </c>
      <c r="E379" s="49" t="s">
        <v>2355</v>
      </c>
      <c r="F379" s="49" t="str">
        <f>IFERROR(IF(Tabla1[[#This Row],[CONCEPTO mx]]="","",VLOOKUP(Tabla1[[#This Row],[CONCEPTO mx]],Tabla2[#All],2,0)),"")</f>
        <v>CM13</v>
      </c>
      <c r="G379" s="49" t="str">
        <f>IFERROR(IF(Tabla1[[#This Row],[CONCEPTO mx]]="","",VLOOKUP(Tabla1[[#This Row],[CONCEPTO mx]],Tabla2[#All],3,0)),"")</f>
        <v>Gestión Humana</v>
      </c>
      <c r="H379" s="49" t="s">
        <v>542</v>
      </c>
      <c r="I379" s="49" t="s">
        <v>2298</v>
      </c>
      <c r="J379" s="53" t="s">
        <v>2775</v>
      </c>
    </row>
    <row r="380" spans="1:10" x14ac:dyDescent="0.25">
      <c r="A380" s="51">
        <v>43186</v>
      </c>
      <c r="C380" s="49" t="s">
        <v>1758</v>
      </c>
      <c r="D380" s="49" t="s">
        <v>51</v>
      </c>
      <c r="E380" s="49" t="s">
        <v>3315</v>
      </c>
      <c r="F380" s="49" t="str">
        <f>IFERROR(IF(Tabla1[[#This Row],[CONCEPTO mx]]="","",VLOOKUP(Tabla1[[#This Row],[CONCEPTO mx]],Tabla2[#All],2,0)),"")</f>
        <v>CM40</v>
      </c>
      <c r="G380" s="49" t="str">
        <f>IFERROR(IF(Tabla1[[#This Row],[CONCEPTO mx]]="","",VLOOKUP(Tabla1[[#This Row],[CONCEPTO mx]],Tabla2[#All],3,0)),"")</f>
        <v>SST</v>
      </c>
      <c r="H380" s="49" t="s">
        <v>486</v>
      </c>
      <c r="I380" s="49" t="s">
        <v>2339</v>
      </c>
      <c r="J380" s="53"/>
    </row>
    <row r="381" spans="1:10" x14ac:dyDescent="0.25">
      <c r="A381" s="51">
        <v>43186</v>
      </c>
      <c r="C381" s="49" t="s">
        <v>1680</v>
      </c>
      <c r="D381" s="49" t="s">
        <v>2273</v>
      </c>
      <c r="F381" s="49" t="str">
        <f>IFERROR(IF(Tabla1[[#This Row],[CONCEPTO mx]]="","",VLOOKUP(Tabla1[[#This Row],[CONCEPTO mx]],Tabla2[#All],2,0)),"")</f>
        <v/>
      </c>
      <c r="G381" s="49" t="str">
        <f>IFERROR(IF(Tabla1[[#This Row],[CONCEPTO mx]]="","",VLOOKUP(Tabla1[[#This Row],[CONCEPTO mx]],Tabla2[#All],3,0)),"")</f>
        <v/>
      </c>
      <c r="H381" s="49" t="s">
        <v>352</v>
      </c>
      <c r="I381" s="49" t="s">
        <v>2298</v>
      </c>
      <c r="J381" s="53" t="s">
        <v>2784</v>
      </c>
    </row>
    <row r="382" spans="1:10" x14ac:dyDescent="0.25">
      <c r="A382" s="51">
        <v>43187</v>
      </c>
      <c r="C382" s="49" t="s">
        <v>1763</v>
      </c>
      <c r="E382" s="49" t="s">
        <v>2355</v>
      </c>
      <c r="F382" s="49" t="str">
        <f>IFERROR(IF(Tabla1[[#This Row],[CONCEPTO mx]]="","",VLOOKUP(Tabla1[[#This Row],[CONCEPTO mx]],Tabla2[#All],2,0)),"")</f>
        <v>CM13</v>
      </c>
      <c r="G382" s="49" t="str">
        <f>IFERROR(IF(Tabla1[[#This Row],[CONCEPTO mx]]="","",VLOOKUP(Tabla1[[#This Row],[CONCEPTO mx]],Tabla2[#All],3,0)),"")</f>
        <v>Gestión Humana</v>
      </c>
      <c r="H382" s="49" t="s">
        <v>388</v>
      </c>
      <c r="I382" s="49" t="s">
        <v>2298</v>
      </c>
      <c r="J382" s="53" t="s">
        <v>2769</v>
      </c>
    </row>
    <row r="383" spans="1:10" x14ac:dyDescent="0.25">
      <c r="A383" s="51">
        <v>43187</v>
      </c>
      <c r="C383" s="49" t="s">
        <v>1761</v>
      </c>
      <c r="D383" s="49" t="s">
        <v>51</v>
      </c>
      <c r="F383" s="49" t="str">
        <f>IFERROR(IF(Tabla1[[#This Row],[CONCEPTO mx]]="","",VLOOKUP(Tabla1[[#This Row],[CONCEPTO mx]],Tabla2[#All],2,0)),"")</f>
        <v/>
      </c>
      <c r="G383" s="49" t="str">
        <f>IFERROR(IF(Tabla1[[#This Row],[CONCEPTO mx]]="","",VLOOKUP(Tabla1[[#This Row],[CONCEPTO mx]],Tabla2[#All],3,0)),"")</f>
        <v/>
      </c>
      <c r="H383" s="49" t="s">
        <v>352</v>
      </c>
      <c r="I383" s="49" t="s">
        <v>2298</v>
      </c>
      <c r="J383" s="53" t="s">
        <v>2769</v>
      </c>
    </row>
    <row r="384" spans="1:10" x14ac:dyDescent="0.25">
      <c r="A384" s="51">
        <v>43187</v>
      </c>
      <c r="C384" s="49" t="s">
        <v>1700</v>
      </c>
      <c r="D384" s="49" t="s">
        <v>51</v>
      </c>
      <c r="F384" s="49" t="str">
        <f>IFERROR(IF(Tabla1[[#This Row],[CONCEPTO mx]]="","",VLOOKUP(Tabla1[[#This Row],[CONCEPTO mx]],Tabla2[#All],2,0)),"")</f>
        <v/>
      </c>
      <c r="G384" s="49" t="str">
        <f>IFERROR(IF(Tabla1[[#This Row],[CONCEPTO mx]]="","",VLOOKUP(Tabla1[[#This Row],[CONCEPTO mx]],Tabla2[#All],3,0)),"")</f>
        <v/>
      </c>
      <c r="H384" s="49" t="s">
        <v>352</v>
      </c>
      <c r="I384" s="49" t="s">
        <v>2298</v>
      </c>
      <c r="J384" s="53" t="s">
        <v>2769</v>
      </c>
    </row>
    <row r="385" spans="1:11" x14ac:dyDescent="0.25">
      <c r="A385" s="51">
        <v>43187</v>
      </c>
      <c r="C385" s="49" t="s">
        <v>1707</v>
      </c>
      <c r="D385" s="49" t="s">
        <v>51</v>
      </c>
      <c r="F385" s="49" t="str">
        <f>IFERROR(IF(Tabla1[[#This Row],[CONCEPTO mx]]="","",VLOOKUP(Tabla1[[#This Row],[CONCEPTO mx]],Tabla2[#All],2,0)),"")</f>
        <v/>
      </c>
      <c r="G385" s="49" t="str">
        <f>IFERROR(IF(Tabla1[[#This Row],[CONCEPTO mx]]="","",VLOOKUP(Tabla1[[#This Row],[CONCEPTO mx]],Tabla2[#All],3,0)),"")</f>
        <v/>
      </c>
      <c r="H385" s="49" t="s">
        <v>352</v>
      </c>
      <c r="I385" s="49" t="s">
        <v>2298</v>
      </c>
      <c r="J385" s="53" t="s">
        <v>2769</v>
      </c>
    </row>
    <row r="386" spans="1:11" x14ac:dyDescent="0.25">
      <c r="A386" s="51">
        <v>43187</v>
      </c>
      <c r="C386" s="49" t="s">
        <v>1762</v>
      </c>
      <c r="D386" s="49" t="s">
        <v>51</v>
      </c>
      <c r="E386" s="49" t="s">
        <v>3315</v>
      </c>
      <c r="F386" s="49" t="str">
        <f>IFERROR(IF(Tabla1[[#This Row],[CONCEPTO mx]]="","",VLOOKUP(Tabla1[[#This Row],[CONCEPTO mx]],Tabla2[#All],2,0)),"")</f>
        <v>CM40</v>
      </c>
      <c r="G386" s="49" t="str">
        <f>IFERROR(IF(Tabla1[[#This Row],[CONCEPTO mx]]="","",VLOOKUP(Tabla1[[#This Row],[CONCEPTO mx]],Tabla2[#All],3,0)),"")</f>
        <v>SST</v>
      </c>
      <c r="H386" s="49" t="s">
        <v>352</v>
      </c>
      <c r="I386" s="49" t="s">
        <v>2298</v>
      </c>
      <c r="J386" s="53" t="s">
        <v>2769</v>
      </c>
    </row>
    <row r="387" spans="1:11" x14ac:dyDescent="0.25">
      <c r="A387" s="51">
        <v>43187</v>
      </c>
      <c r="C387" s="49" t="s">
        <v>1705</v>
      </c>
      <c r="D387" s="49" t="s">
        <v>51</v>
      </c>
      <c r="F387" s="49" t="str">
        <f>IFERROR(IF(Tabla1[[#This Row],[CONCEPTO mx]]="","",VLOOKUP(Tabla1[[#This Row],[CONCEPTO mx]],Tabla2[#All],2,0)),"")</f>
        <v/>
      </c>
      <c r="G387" s="49" t="str">
        <f>IFERROR(IF(Tabla1[[#This Row],[CONCEPTO mx]]="","",VLOOKUP(Tabla1[[#This Row],[CONCEPTO mx]],Tabla2[#All],3,0)),"")</f>
        <v/>
      </c>
      <c r="H387" s="49" t="s">
        <v>352</v>
      </c>
      <c r="I387" s="49" t="s">
        <v>2298</v>
      </c>
      <c r="J387" s="53" t="s">
        <v>2769</v>
      </c>
    </row>
    <row r="388" spans="1:11" x14ac:dyDescent="0.25">
      <c r="A388" s="51">
        <v>43187</v>
      </c>
      <c r="C388" s="49" t="s">
        <v>1698</v>
      </c>
      <c r="D388" s="49" t="s">
        <v>51</v>
      </c>
      <c r="F388" s="49" t="str">
        <f>IFERROR(IF(Tabla1[[#This Row],[CONCEPTO mx]]="","",VLOOKUP(Tabla1[[#This Row],[CONCEPTO mx]],Tabla2[#All],2,0)),"")</f>
        <v/>
      </c>
      <c r="G388" s="49" t="str">
        <f>IFERROR(IF(Tabla1[[#This Row],[CONCEPTO mx]]="","",VLOOKUP(Tabla1[[#This Row],[CONCEPTO mx]],Tabla2[#All],3,0)),"")</f>
        <v/>
      </c>
      <c r="H388" s="49" t="s">
        <v>352</v>
      </c>
      <c r="I388" s="49" t="s">
        <v>2298</v>
      </c>
      <c r="J388" s="53" t="s">
        <v>2769</v>
      </c>
    </row>
    <row r="389" spans="1:11" x14ac:dyDescent="0.25">
      <c r="A389" s="51">
        <v>43192</v>
      </c>
      <c r="C389" s="49" t="s">
        <v>1771</v>
      </c>
      <c r="D389" s="49" t="s">
        <v>51</v>
      </c>
      <c r="F389" s="49" t="str">
        <f>IFERROR(IF(Tabla1[[#This Row],[CONCEPTO mx]]="","",VLOOKUP(Tabla1[[#This Row],[CONCEPTO mx]],Tabla2[#All],2,0)),"")</f>
        <v/>
      </c>
      <c r="G389" s="49" t="str">
        <f>IFERROR(IF(Tabla1[[#This Row],[CONCEPTO mx]]="","",VLOOKUP(Tabla1[[#This Row],[CONCEPTO mx]],Tabla2[#All],3,0)),"")</f>
        <v/>
      </c>
      <c r="H389" s="49" t="s">
        <v>352</v>
      </c>
      <c r="I389" s="49" t="s">
        <v>2419</v>
      </c>
      <c r="J389" s="53"/>
    </row>
    <row r="390" spans="1:11" x14ac:dyDescent="0.25">
      <c r="A390" s="51">
        <v>43192</v>
      </c>
      <c r="C390" s="49" t="s">
        <v>1772</v>
      </c>
      <c r="D390" s="49" t="s">
        <v>51</v>
      </c>
      <c r="F390" s="49" t="str">
        <f>IFERROR(IF(Tabla1[[#This Row],[CONCEPTO mx]]="","",VLOOKUP(Tabla1[[#This Row],[CONCEPTO mx]],Tabla2[#All],2,0)),"")</f>
        <v/>
      </c>
      <c r="G390" s="49" t="str">
        <f>IFERROR(IF(Tabla1[[#This Row],[CONCEPTO mx]]="","",VLOOKUP(Tabla1[[#This Row],[CONCEPTO mx]],Tabla2[#All],3,0)),"")</f>
        <v/>
      </c>
      <c r="H390" s="49" t="s">
        <v>2391</v>
      </c>
      <c r="I390" s="49" t="s">
        <v>1738</v>
      </c>
      <c r="J390" s="53"/>
    </row>
    <row r="391" spans="1:11" s="57" customFormat="1" x14ac:dyDescent="0.25">
      <c r="A391" s="64">
        <v>43192</v>
      </c>
      <c r="B391" s="65"/>
      <c r="C391" s="57" t="s">
        <v>1769</v>
      </c>
      <c r="D391" s="49" t="s">
        <v>51</v>
      </c>
      <c r="F391" s="57" t="str">
        <f>IFERROR(IF(Tabla1[[#This Row],[CONCEPTO mx]]="","",VLOOKUP(Tabla1[[#This Row],[CONCEPTO mx]],Tabla2[#All],2,0)),"")</f>
        <v/>
      </c>
      <c r="G391" s="57" t="str">
        <f>IFERROR(IF(Tabla1[[#This Row],[CONCEPTO mx]]="","",VLOOKUP(Tabla1[[#This Row],[CONCEPTO mx]],Tabla2[#All],3,0)),"")</f>
        <v/>
      </c>
      <c r="H391" s="49" t="s">
        <v>438</v>
      </c>
      <c r="I391" s="57" t="s">
        <v>333</v>
      </c>
      <c r="J391" s="66" t="s">
        <v>2787</v>
      </c>
    </row>
    <row r="392" spans="1:11" x14ac:dyDescent="0.25">
      <c r="A392" s="51">
        <v>43192</v>
      </c>
      <c r="C392" s="49" t="s">
        <v>1767</v>
      </c>
      <c r="D392" s="49" t="s">
        <v>51</v>
      </c>
      <c r="F392" s="49" t="str">
        <f>IFERROR(IF(Tabla1[[#This Row],[CONCEPTO mx]]="","",VLOOKUP(Tabla1[[#This Row],[CONCEPTO mx]],Tabla2[#All],2,0)),"")</f>
        <v/>
      </c>
      <c r="G392" s="49" t="str">
        <f>IFERROR(IF(Tabla1[[#This Row],[CONCEPTO mx]]="","",VLOOKUP(Tabla1[[#This Row],[CONCEPTO mx]],Tabla2[#All],3,0)),"")</f>
        <v/>
      </c>
      <c r="H392" s="49" t="s">
        <v>2391</v>
      </c>
      <c r="I392" s="49" t="s">
        <v>2298</v>
      </c>
      <c r="J392" s="53" t="s">
        <v>2769</v>
      </c>
    </row>
    <row r="393" spans="1:11" x14ac:dyDescent="0.25">
      <c r="A393" s="51">
        <v>43192</v>
      </c>
      <c r="C393" s="49" t="s">
        <v>1770</v>
      </c>
      <c r="D393" s="49" t="s">
        <v>51</v>
      </c>
      <c r="F393" s="49" t="str">
        <f>IFERROR(IF(Tabla1[[#This Row],[CONCEPTO mx]]="","",VLOOKUP(Tabla1[[#This Row],[CONCEPTO mx]],Tabla2[#All],2,0)),"")</f>
        <v/>
      </c>
      <c r="G393" s="49" t="str">
        <f>IFERROR(IF(Tabla1[[#This Row],[CONCEPTO mx]]="","",VLOOKUP(Tabla1[[#This Row],[CONCEPTO mx]],Tabla2[#All],3,0)),"")</f>
        <v/>
      </c>
      <c r="H393" s="49" t="s">
        <v>470</v>
      </c>
      <c r="I393" s="49" t="s">
        <v>2298</v>
      </c>
      <c r="J393" s="53" t="s">
        <v>2302</v>
      </c>
    </row>
    <row r="394" spans="1:11" x14ac:dyDescent="0.25">
      <c r="A394" s="51">
        <v>43192</v>
      </c>
      <c r="C394" s="49" t="s">
        <v>1765</v>
      </c>
      <c r="D394" s="49" t="s">
        <v>51</v>
      </c>
      <c r="E394" s="49" t="s">
        <v>3315</v>
      </c>
      <c r="F394" s="49" t="str">
        <f>IFERROR(IF(Tabla1[[#This Row],[CONCEPTO mx]]="","",VLOOKUP(Tabla1[[#This Row],[CONCEPTO mx]],Tabla2[#All],2,0)),"")</f>
        <v>CM40</v>
      </c>
      <c r="G394" s="49" t="str">
        <f>IFERROR(IF(Tabla1[[#This Row],[CONCEPTO mx]]="","",VLOOKUP(Tabla1[[#This Row],[CONCEPTO mx]],Tabla2[#All],3,0)),"")</f>
        <v>SST</v>
      </c>
      <c r="H394" s="49" t="s">
        <v>2393</v>
      </c>
      <c r="I394" s="49" t="s">
        <v>2328</v>
      </c>
      <c r="J394" s="53"/>
    </row>
    <row r="395" spans="1:11" x14ac:dyDescent="0.25">
      <c r="A395" s="51">
        <v>43192</v>
      </c>
      <c r="C395" s="49" t="s">
        <v>1764</v>
      </c>
      <c r="D395" s="49" t="s">
        <v>51</v>
      </c>
      <c r="E395" s="49" t="s">
        <v>3315</v>
      </c>
      <c r="F395" s="49" t="str">
        <f>IFERROR(IF(Tabla1[[#This Row],[CONCEPTO mx]]="","",VLOOKUP(Tabla1[[#This Row],[CONCEPTO mx]],Tabla2[#All],2,0)),"")</f>
        <v>CM40</v>
      </c>
      <c r="G395" s="49" t="str">
        <f>IFERROR(IF(Tabla1[[#This Row],[CONCEPTO mx]]="","",VLOOKUP(Tabla1[[#This Row],[CONCEPTO mx]],Tabla2[#All],3,0)),"")</f>
        <v>SST</v>
      </c>
      <c r="H395" s="49" t="s">
        <v>2393</v>
      </c>
      <c r="I395" s="49" t="s">
        <v>2330</v>
      </c>
      <c r="J395" s="53"/>
    </row>
    <row r="396" spans="1:11" x14ac:dyDescent="0.25">
      <c r="A396" s="51">
        <v>43192</v>
      </c>
      <c r="C396" s="49" t="s">
        <v>1768</v>
      </c>
      <c r="D396" s="49" t="s">
        <v>51</v>
      </c>
      <c r="F396" s="49" t="str">
        <f>IFERROR(IF(Tabla1[[#This Row],[CONCEPTO mx]]="","",VLOOKUP(Tabla1[[#This Row],[CONCEPTO mx]],Tabla2[#All],2,0)),"")</f>
        <v/>
      </c>
      <c r="G396" s="49" t="str">
        <f>IFERROR(IF(Tabla1[[#This Row],[CONCEPTO mx]]="","",VLOOKUP(Tabla1[[#This Row],[CONCEPTO mx]],Tabla2[#All],3,0)),"")</f>
        <v/>
      </c>
      <c r="H396" s="49" t="s">
        <v>2391</v>
      </c>
      <c r="I396" s="49" t="s">
        <v>2298</v>
      </c>
      <c r="J396" s="53" t="s">
        <v>2786</v>
      </c>
    </row>
    <row r="397" spans="1:11" x14ac:dyDescent="0.25">
      <c r="A397" s="51">
        <v>43192</v>
      </c>
      <c r="C397" s="49" t="s">
        <v>1766</v>
      </c>
      <c r="D397" s="49" t="s">
        <v>51</v>
      </c>
      <c r="F397" s="49" t="str">
        <f>IFERROR(IF(Tabla1[[#This Row],[CONCEPTO mx]]="","",VLOOKUP(Tabla1[[#This Row],[CONCEPTO mx]],Tabla2[#All],2,0)),"")</f>
        <v/>
      </c>
      <c r="G397" s="49" t="str">
        <f>IFERROR(IF(Tabla1[[#This Row],[CONCEPTO mx]]="","",VLOOKUP(Tabla1[[#This Row],[CONCEPTO mx]],Tabla2[#All],3,0)),"")</f>
        <v/>
      </c>
      <c r="H397" s="49" t="s">
        <v>2391</v>
      </c>
      <c r="I397" s="49" t="s">
        <v>2298</v>
      </c>
      <c r="J397" s="53" t="s">
        <v>2785</v>
      </c>
    </row>
    <row r="398" spans="1:11" x14ac:dyDescent="0.25">
      <c r="A398" s="51">
        <v>43193</v>
      </c>
      <c r="C398" s="49" t="s">
        <v>1731</v>
      </c>
      <c r="D398" s="49" t="s">
        <v>51</v>
      </c>
      <c r="F398" s="49" t="str">
        <f>IFERROR(IF(Tabla1[[#This Row],[CONCEPTO mx]]="","",VLOOKUP(Tabla1[[#This Row],[CONCEPTO mx]],Tabla2[#All],2,0)),"")</f>
        <v/>
      </c>
      <c r="G398" s="49" t="str">
        <f>IFERROR(IF(Tabla1[[#This Row],[CONCEPTO mx]]="","",VLOOKUP(Tabla1[[#This Row],[CONCEPTO mx]],Tabla2[#All],3,0)),"")</f>
        <v/>
      </c>
      <c r="H398" s="49" t="s">
        <v>470</v>
      </c>
      <c r="I398" s="49" t="s">
        <v>2298</v>
      </c>
      <c r="J398" s="53" t="s">
        <v>2789</v>
      </c>
      <c r="K398" s="51">
        <v>43185</v>
      </c>
    </row>
    <row r="399" spans="1:11" x14ac:dyDescent="0.25">
      <c r="A399" s="51">
        <v>43193</v>
      </c>
      <c r="C399" s="49" t="s">
        <v>1720</v>
      </c>
      <c r="D399" s="49" t="s">
        <v>2273</v>
      </c>
      <c r="F399" s="49" t="str">
        <f>IFERROR(IF(Tabla1[[#This Row],[CONCEPTO mx]]="","",VLOOKUP(Tabla1[[#This Row],[CONCEPTO mx]],Tabla2[#All],2,0)),"")</f>
        <v/>
      </c>
      <c r="G399" s="49" t="str">
        <f>IFERROR(IF(Tabla1[[#This Row],[CONCEPTO mx]]="","",VLOOKUP(Tabla1[[#This Row],[CONCEPTO mx]],Tabla2[#All],3,0)),"")</f>
        <v/>
      </c>
      <c r="H399" s="49" t="s">
        <v>438</v>
      </c>
      <c r="I399" s="49" t="s">
        <v>2298</v>
      </c>
      <c r="J399" s="53" t="s">
        <v>2791</v>
      </c>
    </row>
    <row r="400" spans="1:11" x14ac:dyDescent="0.25">
      <c r="A400" s="51">
        <v>43193</v>
      </c>
      <c r="C400" s="49" t="s">
        <v>1775</v>
      </c>
      <c r="D400" s="49" t="s">
        <v>51</v>
      </c>
      <c r="E400" s="49" t="s">
        <v>3315</v>
      </c>
      <c r="F400" s="49" t="str">
        <f>IFERROR(IF(Tabla1[[#This Row],[CONCEPTO mx]]="","",VLOOKUP(Tabla1[[#This Row],[CONCEPTO mx]],Tabla2[#All],2,0)),"")</f>
        <v>CM40</v>
      </c>
      <c r="G400" s="49" t="str">
        <f>IFERROR(IF(Tabla1[[#This Row],[CONCEPTO mx]]="","",VLOOKUP(Tabla1[[#This Row],[CONCEPTO mx]],Tabla2[#All],3,0)),"")</f>
        <v>SST</v>
      </c>
      <c r="H400" s="49" t="s">
        <v>438</v>
      </c>
      <c r="I400" s="49" t="s">
        <v>2298</v>
      </c>
      <c r="J400" s="53" t="s">
        <v>2781</v>
      </c>
    </row>
    <row r="401" spans="1:11" x14ac:dyDescent="0.25">
      <c r="A401" s="51">
        <v>43193</v>
      </c>
      <c r="C401" s="49" t="s">
        <v>1725</v>
      </c>
      <c r="D401" s="49" t="s">
        <v>2273</v>
      </c>
      <c r="F401" s="49" t="str">
        <f>IFERROR(IF(Tabla1[[#This Row],[CONCEPTO mx]]="","",VLOOKUP(Tabla1[[#This Row],[CONCEPTO mx]],Tabla2[#All],2,0)),"")</f>
        <v/>
      </c>
      <c r="G401" s="49" t="str">
        <f>IFERROR(IF(Tabla1[[#This Row],[CONCEPTO mx]]="","",VLOOKUP(Tabla1[[#This Row],[CONCEPTO mx]],Tabla2[#All],3,0)),"")</f>
        <v/>
      </c>
      <c r="H401" s="49" t="s">
        <v>438</v>
      </c>
      <c r="I401" s="49" t="s">
        <v>2298</v>
      </c>
      <c r="J401" s="53" t="s">
        <v>2302</v>
      </c>
    </row>
    <row r="402" spans="1:11" x14ac:dyDescent="0.25">
      <c r="A402" s="51">
        <v>43193</v>
      </c>
      <c r="C402" s="49" t="s">
        <v>1774</v>
      </c>
      <c r="D402" s="49" t="s">
        <v>51</v>
      </c>
      <c r="F402" s="49" t="str">
        <f>IFERROR(IF(Tabla1[[#This Row],[CONCEPTO mx]]="","",VLOOKUP(Tabla1[[#This Row],[CONCEPTO mx]],Tabla2[#All],2,0)),"")</f>
        <v/>
      </c>
      <c r="G402" s="49" t="str">
        <f>IFERROR(IF(Tabla1[[#This Row],[CONCEPTO mx]]="","",VLOOKUP(Tabla1[[#This Row],[CONCEPTO mx]],Tabla2[#All],3,0)),"")</f>
        <v/>
      </c>
      <c r="H402" s="49" t="s">
        <v>486</v>
      </c>
      <c r="I402" s="49" t="s">
        <v>2298</v>
      </c>
      <c r="J402" s="53" t="s">
        <v>2789</v>
      </c>
    </row>
    <row r="403" spans="1:11" x14ac:dyDescent="0.25">
      <c r="A403" s="51">
        <v>43193</v>
      </c>
      <c r="C403" s="49" t="s">
        <v>1733</v>
      </c>
      <c r="D403" s="49" t="s">
        <v>51</v>
      </c>
      <c r="F403" s="49" t="str">
        <f>IFERROR(IF(Tabla1[[#This Row],[CONCEPTO mx]]="","",VLOOKUP(Tabla1[[#This Row],[CONCEPTO mx]],Tabla2[#All],2,0)),"")</f>
        <v/>
      </c>
      <c r="G403" s="49" t="str">
        <f>IFERROR(IF(Tabla1[[#This Row],[CONCEPTO mx]]="","",VLOOKUP(Tabla1[[#This Row],[CONCEPTO mx]],Tabla2[#All],3,0)),"")</f>
        <v/>
      </c>
      <c r="H403" s="49" t="s">
        <v>438</v>
      </c>
      <c r="I403" s="49" t="s">
        <v>2298</v>
      </c>
      <c r="J403" s="53" t="s">
        <v>2790</v>
      </c>
    </row>
    <row r="404" spans="1:11" x14ac:dyDescent="0.25">
      <c r="A404" s="51">
        <v>43193</v>
      </c>
      <c r="C404" s="49" t="s">
        <v>255</v>
      </c>
      <c r="D404" s="49" t="s">
        <v>51</v>
      </c>
      <c r="F404" s="49" t="str">
        <f>IFERROR(IF(Tabla1[[#This Row],[CONCEPTO mx]]="","",VLOOKUP(Tabla1[[#This Row],[CONCEPTO mx]],Tabla2[#All],2,0)),"")</f>
        <v/>
      </c>
      <c r="G404" s="49" t="str">
        <f>IFERROR(IF(Tabla1[[#This Row],[CONCEPTO mx]]="","",VLOOKUP(Tabla1[[#This Row],[CONCEPTO mx]],Tabla2[#All],3,0)),"")</f>
        <v/>
      </c>
      <c r="H404" s="49" t="s">
        <v>438</v>
      </c>
      <c r="I404" s="49" t="s">
        <v>2298</v>
      </c>
      <c r="J404" s="53" t="s">
        <v>2788</v>
      </c>
    </row>
    <row r="405" spans="1:11" x14ac:dyDescent="0.25">
      <c r="A405" s="51">
        <v>43193</v>
      </c>
      <c r="C405" s="49" t="s">
        <v>1757</v>
      </c>
      <c r="D405" s="49" t="s">
        <v>2273</v>
      </c>
      <c r="F405" s="49" t="str">
        <f>IFERROR(IF(Tabla1[[#This Row],[CONCEPTO mx]]="","",VLOOKUP(Tabla1[[#This Row],[CONCEPTO mx]],Tabla2[#All],2,0)),"")</f>
        <v/>
      </c>
      <c r="G405" s="49" t="str">
        <f>IFERROR(IF(Tabla1[[#This Row],[CONCEPTO mx]]="","",VLOOKUP(Tabla1[[#This Row],[CONCEPTO mx]],Tabla2[#All],3,0)),"")</f>
        <v/>
      </c>
      <c r="H405" s="49" t="s">
        <v>439</v>
      </c>
      <c r="I405" s="49" t="s">
        <v>2339</v>
      </c>
      <c r="J405" s="53"/>
    </row>
    <row r="406" spans="1:11" x14ac:dyDescent="0.25">
      <c r="A406" s="51">
        <v>43193</v>
      </c>
      <c r="C406" s="49" t="s">
        <v>1642</v>
      </c>
      <c r="D406" s="49" t="s">
        <v>2273</v>
      </c>
      <c r="F406" s="49" t="str">
        <f>IFERROR(IF(Tabla1[[#This Row],[CONCEPTO mx]]="","",VLOOKUP(Tabla1[[#This Row],[CONCEPTO mx]],Tabla2[#All],2,0)),"")</f>
        <v/>
      </c>
      <c r="G406" s="49" t="str">
        <f>IFERROR(IF(Tabla1[[#This Row],[CONCEPTO mx]]="","",VLOOKUP(Tabla1[[#This Row],[CONCEPTO mx]],Tabla2[#All],3,0)),"")</f>
        <v/>
      </c>
      <c r="H406" s="49" t="s">
        <v>550</v>
      </c>
      <c r="I406" s="49" t="s">
        <v>2318</v>
      </c>
      <c r="J406" s="53"/>
    </row>
    <row r="407" spans="1:11" x14ac:dyDescent="0.25">
      <c r="A407" s="51">
        <v>43193</v>
      </c>
      <c r="C407" s="49" t="s">
        <v>1773</v>
      </c>
      <c r="D407" s="49" t="s">
        <v>51</v>
      </c>
      <c r="E407" s="49" t="s">
        <v>3315</v>
      </c>
      <c r="F407" s="49" t="str">
        <f>IFERROR(IF(Tabla1[[#This Row],[CONCEPTO mx]]="","",VLOOKUP(Tabla1[[#This Row],[CONCEPTO mx]],Tabla2[#All],2,0)),"")</f>
        <v>CM40</v>
      </c>
      <c r="G407" s="49" t="str">
        <f>IFERROR(IF(Tabla1[[#This Row],[CONCEPTO mx]]="","",VLOOKUP(Tabla1[[#This Row],[CONCEPTO mx]],Tabla2[#All],3,0)),"")</f>
        <v>SST</v>
      </c>
      <c r="H407" s="49" t="s">
        <v>486</v>
      </c>
      <c r="I407" s="49" t="s">
        <v>2298</v>
      </c>
      <c r="J407" s="53" t="s">
        <v>2789</v>
      </c>
    </row>
    <row r="408" spans="1:11" x14ac:dyDescent="0.25">
      <c r="A408" s="51">
        <v>43193</v>
      </c>
      <c r="C408" s="49" t="s">
        <v>1723</v>
      </c>
      <c r="D408" s="49" t="s">
        <v>51</v>
      </c>
      <c r="F408" s="49" t="str">
        <f>IFERROR(IF(Tabla1[[#This Row],[CONCEPTO mx]]="","",VLOOKUP(Tabla1[[#This Row],[CONCEPTO mx]],Tabla2[#All],2,0)),"")</f>
        <v/>
      </c>
      <c r="G408" s="49" t="str">
        <f>IFERROR(IF(Tabla1[[#This Row],[CONCEPTO mx]]="","",VLOOKUP(Tabla1[[#This Row],[CONCEPTO mx]],Tabla2[#All],3,0)),"")</f>
        <v/>
      </c>
      <c r="H408" s="49" t="s">
        <v>486</v>
      </c>
      <c r="I408" s="49" t="s">
        <v>2298</v>
      </c>
      <c r="J408" s="53" t="s">
        <v>2789</v>
      </c>
    </row>
    <row r="409" spans="1:11" x14ac:dyDescent="0.25">
      <c r="A409" s="51">
        <v>43193</v>
      </c>
      <c r="C409" s="49" t="s">
        <v>1734</v>
      </c>
      <c r="D409" s="49" t="s">
        <v>2273</v>
      </c>
      <c r="F409" s="49" t="str">
        <f>IFERROR(IF(Tabla1[[#This Row],[CONCEPTO mx]]="","",VLOOKUP(Tabla1[[#This Row],[CONCEPTO mx]],Tabla2[#All],2,0)),"")</f>
        <v/>
      </c>
      <c r="G409" s="49" t="str">
        <f>IFERROR(IF(Tabla1[[#This Row],[CONCEPTO mx]]="","",VLOOKUP(Tabla1[[#This Row],[CONCEPTO mx]],Tabla2[#All],3,0)),"")</f>
        <v/>
      </c>
      <c r="H409" s="49" t="s">
        <v>486</v>
      </c>
      <c r="I409" s="49" t="s">
        <v>2298</v>
      </c>
      <c r="J409" s="53" t="s">
        <v>2789</v>
      </c>
    </row>
    <row r="410" spans="1:11" x14ac:dyDescent="0.25">
      <c r="A410" s="51">
        <v>43195</v>
      </c>
      <c r="C410" s="49" t="s">
        <v>1711</v>
      </c>
      <c r="D410" s="49" t="s">
        <v>51</v>
      </c>
      <c r="F410" s="49" t="str">
        <f>IFERROR(IF(Tabla1[[#This Row],[CONCEPTO mx]]="","",VLOOKUP(Tabla1[[#This Row],[CONCEPTO mx]],Tabla2[#All],2,0)),"")</f>
        <v/>
      </c>
      <c r="G410" s="49" t="str">
        <f>IFERROR(IF(Tabla1[[#This Row],[CONCEPTO mx]]="","",VLOOKUP(Tabla1[[#This Row],[CONCEPTO mx]],Tabla2[#All],3,0)),"")</f>
        <v/>
      </c>
      <c r="H410" s="49" t="s">
        <v>628</v>
      </c>
      <c r="I410" s="49" t="s">
        <v>2298</v>
      </c>
      <c r="J410" s="53" t="s">
        <v>2790</v>
      </c>
      <c r="K410" s="51">
        <v>43181</v>
      </c>
    </row>
    <row r="411" spans="1:11" x14ac:dyDescent="0.25">
      <c r="A411" s="51">
        <v>43195</v>
      </c>
      <c r="C411" s="49" t="s">
        <v>1703</v>
      </c>
      <c r="D411" s="49" t="s">
        <v>51</v>
      </c>
      <c r="E411" s="49" t="s">
        <v>3315</v>
      </c>
      <c r="F411" s="49" t="str">
        <f>IFERROR(IF(Tabla1[[#This Row],[CONCEPTO mx]]="","",VLOOKUP(Tabla1[[#This Row],[CONCEPTO mx]],Tabla2[#All],2,0)),"")</f>
        <v>CM40</v>
      </c>
      <c r="G411" s="49" t="str">
        <f>IFERROR(IF(Tabla1[[#This Row],[CONCEPTO mx]]="","",VLOOKUP(Tabla1[[#This Row],[CONCEPTO mx]],Tabla2[#All],3,0)),"")</f>
        <v>SST</v>
      </c>
      <c r="H411" s="49" t="s">
        <v>343</v>
      </c>
      <c r="I411" s="49" t="s">
        <v>2298</v>
      </c>
      <c r="J411" s="53" t="s">
        <v>2790</v>
      </c>
    </row>
    <row r="412" spans="1:11" x14ac:dyDescent="0.25">
      <c r="A412" s="51">
        <v>43195</v>
      </c>
      <c r="C412" s="49" t="s">
        <v>1684</v>
      </c>
      <c r="D412" s="49" t="s">
        <v>51</v>
      </c>
      <c r="F412" s="49" t="str">
        <f>IFERROR(IF(Tabla1[[#This Row],[CONCEPTO mx]]="","",VLOOKUP(Tabla1[[#This Row],[CONCEPTO mx]],Tabla2[#All],2,0)),"")</f>
        <v/>
      </c>
      <c r="G412" s="49" t="str">
        <f>IFERROR(IF(Tabla1[[#This Row],[CONCEPTO mx]]="","",VLOOKUP(Tabla1[[#This Row],[CONCEPTO mx]],Tabla2[#All],3,0)),"")</f>
        <v/>
      </c>
      <c r="H412" s="49" t="s">
        <v>352</v>
      </c>
      <c r="I412" s="49" t="s">
        <v>2298</v>
      </c>
      <c r="J412" s="53" t="s">
        <v>2790</v>
      </c>
    </row>
    <row r="413" spans="1:11" x14ac:dyDescent="0.25">
      <c r="A413" s="51">
        <v>43195</v>
      </c>
      <c r="C413" s="49" t="s">
        <v>1776</v>
      </c>
      <c r="D413" s="49" t="s">
        <v>2273</v>
      </c>
      <c r="F413" s="49" t="str">
        <f>IFERROR(IF(Tabla1[[#This Row],[CONCEPTO mx]]="","",VLOOKUP(Tabla1[[#This Row],[CONCEPTO mx]],Tabla2[#All],2,0)),"")</f>
        <v/>
      </c>
      <c r="G413" s="49" t="str">
        <f>IFERROR(IF(Tabla1[[#This Row],[CONCEPTO mx]]="","",VLOOKUP(Tabla1[[#This Row],[CONCEPTO mx]],Tabla2[#All],3,0)),"")</f>
        <v/>
      </c>
      <c r="H413" s="49" t="s">
        <v>441</v>
      </c>
      <c r="I413" s="49" t="s">
        <v>2298</v>
      </c>
      <c r="J413" s="53" t="s">
        <v>2792</v>
      </c>
    </row>
    <row r="414" spans="1:11" x14ac:dyDescent="0.25">
      <c r="A414" s="51">
        <v>43195</v>
      </c>
      <c r="C414" s="49" t="s">
        <v>1663</v>
      </c>
      <c r="D414" s="49" t="s">
        <v>2273</v>
      </c>
      <c r="F414" s="49" t="str">
        <f>IFERROR(IF(Tabla1[[#This Row],[CONCEPTO mx]]="","",VLOOKUP(Tabla1[[#This Row],[CONCEPTO mx]],Tabla2[#All],2,0)),"")</f>
        <v/>
      </c>
      <c r="G414" s="49" t="str">
        <f>IFERROR(IF(Tabla1[[#This Row],[CONCEPTO mx]]="","",VLOOKUP(Tabla1[[#This Row],[CONCEPTO mx]],Tabla2[#All],3,0)),"")</f>
        <v/>
      </c>
      <c r="H414" s="49" t="s">
        <v>542</v>
      </c>
      <c r="I414" s="49" t="s">
        <v>2298</v>
      </c>
      <c r="J414" s="53" t="s">
        <v>2793</v>
      </c>
    </row>
    <row r="415" spans="1:11" x14ac:dyDescent="0.25">
      <c r="A415" s="51">
        <v>43195</v>
      </c>
      <c r="C415" s="49" t="s">
        <v>1746</v>
      </c>
      <c r="D415" s="49" t="s">
        <v>51</v>
      </c>
      <c r="F415" s="49" t="str">
        <f>IFERROR(IF(Tabla1[[#This Row],[CONCEPTO mx]]="","",VLOOKUP(Tabla1[[#This Row],[CONCEPTO mx]],Tabla2[#All],2,0)),"")</f>
        <v/>
      </c>
      <c r="G415" s="49" t="str">
        <f>IFERROR(IF(Tabla1[[#This Row],[CONCEPTO mx]]="","",VLOOKUP(Tabla1[[#This Row],[CONCEPTO mx]],Tabla2[#All],3,0)),"")</f>
        <v/>
      </c>
      <c r="H415" s="49" t="s">
        <v>388</v>
      </c>
      <c r="I415" s="49" t="s">
        <v>2298</v>
      </c>
      <c r="J415" s="53" t="s">
        <v>2790</v>
      </c>
    </row>
    <row r="416" spans="1:11" x14ac:dyDescent="0.25">
      <c r="A416" s="51">
        <v>43195</v>
      </c>
      <c r="C416" s="49" t="s">
        <v>1745</v>
      </c>
      <c r="D416" s="49" t="s">
        <v>51</v>
      </c>
      <c r="E416" s="49" t="s">
        <v>3315</v>
      </c>
      <c r="F416" s="49" t="str">
        <f>IFERROR(IF(Tabla1[[#This Row],[CONCEPTO mx]]="","",VLOOKUP(Tabla1[[#This Row],[CONCEPTO mx]],Tabla2[#All],2,0)),"")</f>
        <v>CM40</v>
      </c>
      <c r="G416" s="49" t="str">
        <f>IFERROR(IF(Tabla1[[#This Row],[CONCEPTO mx]]="","",VLOOKUP(Tabla1[[#This Row],[CONCEPTO mx]],Tabla2[#All],3,0)),"")</f>
        <v>SST</v>
      </c>
      <c r="H416" s="49" t="s">
        <v>542</v>
      </c>
      <c r="I416" s="49" t="s">
        <v>2298</v>
      </c>
      <c r="J416" s="53" t="s">
        <v>2790</v>
      </c>
    </row>
    <row r="417" spans="1:11" x14ac:dyDescent="0.25">
      <c r="A417" s="51">
        <v>43196</v>
      </c>
      <c r="C417" s="49" t="s">
        <v>1718</v>
      </c>
      <c r="D417" s="49" t="s">
        <v>2273</v>
      </c>
      <c r="F417" s="49" t="str">
        <f>IFERROR(IF(Tabla1[[#This Row],[CONCEPTO mx]]="","",VLOOKUP(Tabla1[[#This Row],[CONCEPTO mx]],Tabla2[#All],2,0)),"")</f>
        <v/>
      </c>
      <c r="G417" s="49" t="str">
        <f>IFERROR(IF(Tabla1[[#This Row],[CONCEPTO mx]]="","",VLOOKUP(Tabla1[[#This Row],[CONCEPTO mx]],Tabla2[#All],3,0)),"")</f>
        <v/>
      </c>
      <c r="H417" s="49" t="s">
        <v>438</v>
      </c>
      <c r="I417" s="49" t="s">
        <v>2298</v>
      </c>
      <c r="J417" s="53" t="s">
        <v>2778</v>
      </c>
      <c r="K417" s="51">
        <v>43185</v>
      </c>
    </row>
    <row r="418" spans="1:11" x14ac:dyDescent="0.25">
      <c r="A418" s="51">
        <v>43196</v>
      </c>
      <c r="C418" s="49" t="s">
        <v>1779</v>
      </c>
      <c r="D418" s="49" t="s">
        <v>51</v>
      </c>
      <c r="F418" s="49" t="str">
        <f>IFERROR(IF(Tabla1[[#This Row],[CONCEPTO mx]]="","",VLOOKUP(Tabla1[[#This Row],[CONCEPTO mx]],Tabla2[#All],2,0)),"")</f>
        <v/>
      </c>
      <c r="G418" s="49" t="str">
        <f>IFERROR(IF(Tabla1[[#This Row],[CONCEPTO mx]]="","",VLOOKUP(Tabla1[[#This Row],[CONCEPTO mx]],Tabla2[#All],3,0)),"")</f>
        <v/>
      </c>
      <c r="H418" s="49" t="s">
        <v>542</v>
      </c>
      <c r="I418" s="49" t="s">
        <v>2298</v>
      </c>
      <c r="J418" s="53" t="s">
        <v>2794</v>
      </c>
    </row>
    <row r="419" spans="1:11" x14ac:dyDescent="0.25">
      <c r="A419" s="51">
        <v>43196</v>
      </c>
      <c r="C419" s="49" t="s">
        <v>1777</v>
      </c>
      <c r="D419" s="49" t="s">
        <v>51</v>
      </c>
      <c r="F419" s="49" t="str">
        <f>IFERROR(IF(Tabla1[[#This Row],[CONCEPTO mx]]="","",VLOOKUP(Tabla1[[#This Row],[CONCEPTO mx]],Tabla2[#All],2,0)),"")</f>
        <v/>
      </c>
      <c r="G419" s="49" t="str">
        <f>IFERROR(IF(Tabla1[[#This Row],[CONCEPTO mx]]="","",VLOOKUP(Tabla1[[#This Row],[CONCEPTO mx]],Tabla2[#All],3,0)),"")</f>
        <v/>
      </c>
      <c r="H419" s="49" t="s">
        <v>2392</v>
      </c>
      <c r="I419" s="49" t="s">
        <v>1778</v>
      </c>
      <c r="J419" s="53"/>
    </row>
    <row r="420" spans="1:11" x14ac:dyDescent="0.25">
      <c r="A420" s="51">
        <v>43196</v>
      </c>
      <c r="C420" s="49" t="s">
        <v>1783</v>
      </c>
      <c r="E420" s="49" t="s">
        <v>2355</v>
      </c>
      <c r="F420" s="49" t="str">
        <f>IFERROR(IF(Tabla1[[#This Row],[CONCEPTO mx]]="","",VLOOKUP(Tabla1[[#This Row],[CONCEPTO mx]],Tabla2[#All],2,0)),"")</f>
        <v>CM13</v>
      </c>
      <c r="G420" s="49" t="str">
        <f>IFERROR(IF(Tabla1[[#This Row],[CONCEPTO mx]]="","",VLOOKUP(Tabla1[[#This Row],[CONCEPTO mx]],Tabla2[#All],3,0)),"")</f>
        <v>Gestión Humana</v>
      </c>
      <c r="H420" s="49" t="s">
        <v>486</v>
      </c>
      <c r="I420" s="49" t="s">
        <v>2298</v>
      </c>
      <c r="J420" s="53" t="s">
        <v>2796</v>
      </c>
    </row>
    <row r="421" spans="1:11" x14ac:dyDescent="0.25">
      <c r="A421" s="51">
        <v>43196</v>
      </c>
      <c r="C421" s="49" t="s">
        <v>1785</v>
      </c>
      <c r="D421" s="49" t="s">
        <v>51</v>
      </c>
      <c r="F421" s="49" t="str">
        <f>IFERROR(IF(Tabla1[[#This Row],[CONCEPTO mx]]="","",VLOOKUP(Tabla1[[#This Row],[CONCEPTO mx]],Tabla2[#All],2,0)),"")</f>
        <v/>
      </c>
      <c r="G421" s="49" t="str">
        <f>IFERROR(IF(Tabla1[[#This Row],[CONCEPTO mx]]="","",VLOOKUP(Tabla1[[#This Row],[CONCEPTO mx]],Tabla2[#All],3,0)),"")</f>
        <v/>
      </c>
      <c r="H421" s="49" t="s">
        <v>470</v>
      </c>
      <c r="I421" s="49" t="s">
        <v>2298</v>
      </c>
      <c r="J421" s="53" t="s">
        <v>2351</v>
      </c>
    </row>
    <row r="422" spans="1:11" x14ac:dyDescent="0.25">
      <c r="A422" s="51">
        <v>43196</v>
      </c>
      <c r="C422" s="49" t="s">
        <v>1784</v>
      </c>
      <c r="D422" s="49" t="s">
        <v>51</v>
      </c>
      <c r="F422" s="49" t="str">
        <f>IFERROR(IF(Tabla1[[#This Row],[CONCEPTO mx]]="","",VLOOKUP(Tabla1[[#This Row],[CONCEPTO mx]],Tabla2[#All],2,0)),"")</f>
        <v/>
      </c>
      <c r="G422" s="49" t="str">
        <f>IFERROR(IF(Tabla1[[#This Row],[CONCEPTO mx]]="","",VLOOKUP(Tabla1[[#This Row],[CONCEPTO mx]],Tabla2[#All],3,0)),"")</f>
        <v/>
      </c>
      <c r="H422" s="49" t="s">
        <v>550</v>
      </c>
      <c r="I422" s="49" t="s">
        <v>2327</v>
      </c>
      <c r="J422" s="53"/>
    </row>
    <row r="423" spans="1:11" x14ac:dyDescent="0.25">
      <c r="A423" s="51">
        <v>43196</v>
      </c>
      <c r="C423" s="49" t="s">
        <v>1780</v>
      </c>
      <c r="D423" s="49" t="s">
        <v>51</v>
      </c>
      <c r="F423" s="49" t="str">
        <f>IFERROR(IF(Tabla1[[#This Row],[CONCEPTO mx]]="","",VLOOKUP(Tabla1[[#This Row],[CONCEPTO mx]],Tabla2[#All],2,0)),"")</f>
        <v/>
      </c>
      <c r="G423" s="49" t="str">
        <f>IFERROR(IF(Tabla1[[#This Row],[CONCEPTO mx]]="","",VLOOKUP(Tabla1[[#This Row],[CONCEPTO mx]],Tabla2[#All],3,0)),"")</f>
        <v/>
      </c>
      <c r="H423" s="49" t="s">
        <v>2393</v>
      </c>
      <c r="I423" s="49" t="s">
        <v>2298</v>
      </c>
      <c r="J423" s="53" t="s">
        <v>2795</v>
      </c>
    </row>
    <row r="424" spans="1:11" x14ac:dyDescent="0.25">
      <c r="A424" s="51">
        <v>43196</v>
      </c>
      <c r="C424" s="49" t="s">
        <v>1782</v>
      </c>
      <c r="D424" s="49" t="s">
        <v>51</v>
      </c>
      <c r="E424" s="49" t="s">
        <v>3315</v>
      </c>
      <c r="F424" s="49" t="str">
        <f>IFERROR(IF(Tabla1[[#This Row],[CONCEPTO mx]]="","",VLOOKUP(Tabla1[[#This Row],[CONCEPTO mx]],Tabla2[#All],2,0)),"")</f>
        <v>CM40</v>
      </c>
      <c r="G424" s="49" t="str">
        <f>IFERROR(IF(Tabla1[[#This Row],[CONCEPTO mx]]="","",VLOOKUP(Tabla1[[#This Row],[CONCEPTO mx]],Tabla2[#All],3,0)),"")</f>
        <v>SST</v>
      </c>
      <c r="H424" s="49" t="s">
        <v>2391</v>
      </c>
      <c r="I424" s="49" t="s">
        <v>2298</v>
      </c>
      <c r="J424" s="53" t="s">
        <v>2796</v>
      </c>
    </row>
    <row r="425" spans="1:11" x14ac:dyDescent="0.25">
      <c r="A425" s="51">
        <v>43196</v>
      </c>
      <c r="C425" s="49" t="s">
        <v>1727</v>
      </c>
      <c r="D425" s="49" t="s">
        <v>51</v>
      </c>
      <c r="E425" s="49" t="s">
        <v>3315</v>
      </c>
      <c r="F425" s="49" t="str">
        <f>IFERROR(IF(Tabla1[[#This Row],[CONCEPTO mx]]="","",VLOOKUP(Tabla1[[#This Row],[CONCEPTO mx]],Tabla2[#All],2,0)),"")</f>
        <v>CM40</v>
      </c>
      <c r="G425" s="49" t="str">
        <f>IFERROR(IF(Tabla1[[#This Row],[CONCEPTO mx]]="","",VLOOKUP(Tabla1[[#This Row],[CONCEPTO mx]],Tabla2[#All],3,0)),"")</f>
        <v>SST</v>
      </c>
      <c r="H425" s="49" t="s">
        <v>470</v>
      </c>
      <c r="I425" s="49" t="s">
        <v>2298</v>
      </c>
      <c r="J425" s="53" t="s">
        <v>2786</v>
      </c>
    </row>
    <row r="426" spans="1:11" x14ac:dyDescent="0.25">
      <c r="A426" s="51">
        <v>43196</v>
      </c>
      <c r="C426" s="49" t="s">
        <v>1786</v>
      </c>
      <c r="D426" s="49" t="s">
        <v>2273</v>
      </c>
      <c r="F426" s="49" t="str">
        <f>IFERROR(IF(Tabla1[[#This Row],[CONCEPTO mx]]="","",VLOOKUP(Tabla1[[#This Row],[CONCEPTO mx]],Tabla2[#All],2,0)),"")</f>
        <v/>
      </c>
      <c r="G426" s="49" t="str">
        <f>IFERROR(IF(Tabla1[[#This Row],[CONCEPTO mx]]="","",VLOOKUP(Tabla1[[#This Row],[CONCEPTO mx]],Tabla2[#All],3,0)),"")</f>
        <v/>
      </c>
      <c r="H426" s="49" t="s">
        <v>2391</v>
      </c>
      <c r="I426" s="49" t="s">
        <v>2318</v>
      </c>
      <c r="J426" s="53"/>
    </row>
    <row r="427" spans="1:11" x14ac:dyDescent="0.25">
      <c r="A427" s="51">
        <v>43196</v>
      </c>
      <c r="C427" s="49" t="s">
        <v>1781</v>
      </c>
      <c r="D427" s="49" t="s">
        <v>51</v>
      </c>
      <c r="F427" s="49" t="str">
        <f>IFERROR(IF(Tabla1[[#This Row],[CONCEPTO mx]]="","",VLOOKUP(Tabla1[[#This Row],[CONCEPTO mx]],Tabla2[#All],2,0)),"")</f>
        <v/>
      </c>
      <c r="G427" s="49" t="str">
        <f>IFERROR(IF(Tabla1[[#This Row],[CONCEPTO mx]]="","",VLOOKUP(Tabla1[[#This Row],[CONCEPTO mx]],Tabla2[#All],3,0)),"")</f>
        <v/>
      </c>
      <c r="H427" s="49" t="s">
        <v>470</v>
      </c>
      <c r="I427" s="49" t="s">
        <v>2298</v>
      </c>
      <c r="J427" s="53" t="s">
        <v>2351</v>
      </c>
    </row>
    <row r="428" spans="1:11" x14ac:dyDescent="0.25">
      <c r="A428" s="51">
        <v>43199</v>
      </c>
      <c r="C428" s="49" t="s">
        <v>1570</v>
      </c>
      <c r="D428" s="49" t="s">
        <v>51</v>
      </c>
      <c r="F428" s="49" t="str">
        <f>IFERROR(IF(Tabla1[[#This Row],[CONCEPTO mx]]="","",VLOOKUP(Tabla1[[#This Row],[CONCEPTO mx]],Tabla2[#All],2,0)),"")</f>
        <v/>
      </c>
      <c r="G428" s="49" t="str">
        <f>IFERROR(IF(Tabla1[[#This Row],[CONCEPTO mx]]="","",VLOOKUP(Tabla1[[#This Row],[CONCEPTO mx]],Tabla2[#All],3,0)),"")</f>
        <v/>
      </c>
      <c r="H428" s="49" t="s">
        <v>352</v>
      </c>
      <c r="I428" s="49" t="s">
        <v>2298</v>
      </c>
      <c r="J428" s="53" t="s">
        <v>2302</v>
      </c>
    </row>
    <row r="429" spans="1:11" x14ac:dyDescent="0.25">
      <c r="A429" s="51">
        <v>43199</v>
      </c>
      <c r="C429" s="49" t="s">
        <v>1677</v>
      </c>
      <c r="D429" s="49" t="s">
        <v>51</v>
      </c>
      <c r="F429" s="49" t="str">
        <f>IFERROR(IF(Tabla1[[#This Row],[CONCEPTO mx]]="","",VLOOKUP(Tabla1[[#This Row],[CONCEPTO mx]],Tabla2[#All],2,0)),"")</f>
        <v/>
      </c>
      <c r="G429" s="49" t="str">
        <f>IFERROR(IF(Tabla1[[#This Row],[CONCEPTO mx]]="","",VLOOKUP(Tabla1[[#This Row],[CONCEPTO mx]],Tabla2[#All],3,0)),"")</f>
        <v/>
      </c>
      <c r="H429" s="49" t="s">
        <v>343</v>
      </c>
      <c r="I429" s="49" t="s">
        <v>2298</v>
      </c>
      <c r="J429" s="53" t="s">
        <v>2790</v>
      </c>
    </row>
    <row r="430" spans="1:11" x14ac:dyDescent="0.25">
      <c r="A430" s="51">
        <v>43200</v>
      </c>
      <c r="C430" s="49" t="s">
        <v>1794</v>
      </c>
      <c r="D430" s="49" t="s">
        <v>51</v>
      </c>
      <c r="F430" s="49" t="str">
        <f>IFERROR(IF(Tabla1[[#This Row],[CONCEPTO mx]]="","",VLOOKUP(Tabla1[[#This Row],[CONCEPTO mx]],Tabla2[#All],2,0)),"")</f>
        <v/>
      </c>
      <c r="G430" s="49" t="str">
        <f>IFERROR(IF(Tabla1[[#This Row],[CONCEPTO mx]]="","",VLOOKUP(Tabla1[[#This Row],[CONCEPTO mx]],Tabla2[#All],3,0)),"")</f>
        <v/>
      </c>
      <c r="H430" s="49" t="s">
        <v>438</v>
      </c>
      <c r="I430" s="49" t="s">
        <v>2298</v>
      </c>
      <c r="J430" s="53" t="s">
        <v>2801</v>
      </c>
    </row>
    <row r="431" spans="1:11" x14ac:dyDescent="0.25">
      <c r="A431" s="51">
        <v>43200</v>
      </c>
      <c r="C431" s="49" t="s">
        <v>1797</v>
      </c>
      <c r="D431" s="49" t="s">
        <v>51</v>
      </c>
      <c r="F431" s="49" t="str">
        <f>IFERROR(IF(Tabla1[[#This Row],[CONCEPTO mx]]="","",VLOOKUP(Tabla1[[#This Row],[CONCEPTO mx]],Tabla2[#All],2,0)),"")</f>
        <v/>
      </c>
      <c r="G431" s="49" t="str">
        <f>IFERROR(IF(Tabla1[[#This Row],[CONCEPTO mx]]="","",VLOOKUP(Tabla1[[#This Row],[CONCEPTO mx]],Tabla2[#All],3,0)),"")</f>
        <v/>
      </c>
      <c r="H431" s="49" t="s">
        <v>387</v>
      </c>
      <c r="I431" s="49" t="s">
        <v>2298</v>
      </c>
      <c r="J431" s="53" t="s">
        <v>2318</v>
      </c>
    </row>
    <row r="432" spans="1:11" x14ac:dyDescent="0.25">
      <c r="A432" s="51">
        <v>43200</v>
      </c>
      <c r="C432" s="49" t="s">
        <v>1787</v>
      </c>
      <c r="D432" s="49" t="s">
        <v>51</v>
      </c>
      <c r="F432" s="49" t="str">
        <f>IFERROR(IF(Tabla1[[#This Row],[CONCEPTO mx]]="","",VLOOKUP(Tabla1[[#This Row],[CONCEPTO mx]],Tabla2[#All],2,0)),"")</f>
        <v/>
      </c>
      <c r="G432" s="49" t="str">
        <f>IFERROR(IF(Tabla1[[#This Row],[CONCEPTO mx]]="","",VLOOKUP(Tabla1[[#This Row],[CONCEPTO mx]],Tabla2[#All],3,0)),"")</f>
        <v/>
      </c>
      <c r="H432" s="49" t="s">
        <v>2391</v>
      </c>
      <c r="I432" s="49" t="s">
        <v>2298</v>
      </c>
      <c r="J432" s="53" t="s">
        <v>2790</v>
      </c>
    </row>
    <row r="433" spans="1:10" x14ac:dyDescent="0.25">
      <c r="A433" s="51">
        <v>43200</v>
      </c>
      <c r="C433" s="49" t="s">
        <v>1799</v>
      </c>
      <c r="D433" s="49" t="s">
        <v>2273</v>
      </c>
      <c r="F433" s="49" t="str">
        <f>IFERROR(IF(Tabla1[[#This Row],[CONCEPTO mx]]="","",VLOOKUP(Tabla1[[#This Row],[CONCEPTO mx]],Tabla2[#All],2,0)),"")</f>
        <v/>
      </c>
      <c r="G433" s="49" t="str">
        <f>IFERROR(IF(Tabla1[[#This Row],[CONCEPTO mx]]="","",VLOOKUP(Tabla1[[#This Row],[CONCEPTO mx]],Tabla2[#All],3,0)),"")</f>
        <v/>
      </c>
      <c r="H433" s="49" t="s">
        <v>438</v>
      </c>
      <c r="I433" s="49" t="s">
        <v>2298</v>
      </c>
      <c r="J433" s="53" t="s">
        <v>2804</v>
      </c>
    </row>
    <row r="434" spans="1:10" x14ac:dyDescent="0.25">
      <c r="A434" s="51">
        <v>43200</v>
      </c>
      <c r="C434" s="49" t="s">
        <v>1802</v>
      </c>
      <c r="D434" s="49" t="s">
        <v>51</v>
      </c>
      <c r="F434" s="49" t="str">
        <f>IFERROR(IF(Tabla1[[#This Row],[CONCEPTO mx]]="","",VLOOKUP(Tabla1[[#This Row],[CONCEPTO mx]],Tabla2[#All],2,0)),"")</f>
        <v/>
      </c>
      <c r="G434" s="49" t="str">
        <f>IFERROR(IF(Tabla1[[#This Row],[CONCEPTO mx]]="","",VLOOKUP(Tabla1[[#This Row],[CONCEPTO mx]],Tabla2[#All],3,0)),"")</f>
        <v/>
      </c>
      <c r="H434" s="49" t="s">
        <v>550</v>
      </c>
      <c r="I434" s="49" t="s">
        <v>2298</v>
      </c>
      <c r="J434" s="53" t="s">
        <v>2797</v>
      </c>
    </row>
    <row r="435" spans="1:10" x14ac:dyDescent="0.25">
      <c r="A435" s="51">
        <v>43200</v>
      </c>
      <c r="C435" s="49" t="s">
        <v>1798</v>
      </c>
      <c r="D435" s="49" t="s">
        <v>2273</v>
      </c>
      <c r="F435" s="49" t="str">
        <f>IFERROR(IF(Tabla1[[#This Row],[CONCEPTO mx]]="","",VLOOKUP(Tabla1[[#This Row],[CONCEPTO mx]],Tabla2[#All],2,0)),"")</f>
        <v/>
      </c>
      <c r="G435" s="49" t="str">
        <f>IFERROR(IF(Tabla1[[#This Row],[CONCEPTO mx]]="","",VLOOKUP(Tabla1[[#This Row],[CONCEPTO mx]],Tabla2[#All],3,0)),"")</f>
        <v/>
      </c>
      <c r="H435" s="49" t="s">
        <v>438</v>
      </c>
      <c r="I435" s="49" t="s">
        <v>2298</v>
      </c>
      <c r="J435" s="53" t="s">
        <v>2803</v>
      </c>
    </row>
    <row r="436" spans="1:10" x14ac:dyDescent="0.25">
      <c r="A436" s="51">
        <v>43200</v>
      </c>
      <c r="C436" s="49" t="s">
        <v>1789</v>
      </c>
      <c r="D436" s="49" t="s">
        <v>51</v>
      </c>
      <c r="F436" s="49" t="str">
        <f>IFERROR(IF(Tabla1[[#This Row],[CONCEPTO mx]]="","",VLOOKUP(Tabla1[[#This Row],[CONCEPTO mx]],Tabla2[#All],2,0)),"")</f>
        <v/>
      </c>
      <c r="G436" s="49" t="str">
        <f>IFERROR(IF(Tabla1[[#This Row],[CONCEPTO mx]]="","",VLOOKUP(Tabla1[[#This Row],[CONCEPTO mx]],Tabla2[#All],3,0)),"")</f>
        <v/>
      </c>
      <c r="H436" s="49" t="s">
        <v>2391</v>
      </c>
      <c r="I436" s="49" t="s">
        <v>2298</v>
      </c>
      <c r="J436" s="53" t="s">
        <v>2797</v>
      </c>
    </row>
    <row r="437" spans="1:10" x14ac:dyDescent="0.25">
      <c r="A437" s="51">
        <v>43200</v>
      </c>
      <c r="C437" s="49" t="s">
        <v>1791</v>
      </c>
      <c r="D437" s="49" t="s">
        <v>51</v>
      </c>
      <c r="F437" s="49" t="str">
        <f>IFERROR(IF(Tabla1[[#This Row],[CONCEPTO mx]]="","",VLOOKUP(Tabla1[[#This Row],[CONCEPTO mx]],Tabla2[#All],2,0)),"")</f>
        <v/>
      </c>
      <c r="G437" s="49" t="str">
        <f>IFERROR(IF(Tabla1[[#This Row],[CONCEPTO mx]]="","",VLOOKUP(Tabla1[[#This Row],[CONCEPTO mx]],Tabla2[#All],3,0)),"")</f>
        <v/>
      </c>
      <c r="H437" s="49" t="s">
        <v>486</v>
      </c>
      <c r="I437" s="49" t="s">
        <v>2298</v>
      </c>
      <c r="J437" s="53" t="s">
        <v>2341</v>
      </c>
    </row>
    <row r="438" spans="1:10" x14ac:dyDescent="0.25">
      <c r="A438" s="51">
        <v>43200</v>
      </c>
      <c r="C438" s="49" t="s">
        <v>1796</v>
      </c>
      <c r="D438" s="49" t="s">
        <v>51</v>
      </c>
      <c r="F438" s="49" t="str">
        <f>IFERROR(IF(Tabla1[[#This Row],[CONCEPTO mx]]="","",VLOOKUP(Tabla1[[#This Row],[CONCEPTO mx]],Tabla2[#All],2,0)),"")</f>
        <v/>
      </c>
      <c r="G438" s="49" t="str">
        <f>IFERROR(IF(Tabla1[[#This Row],[CONCEPTO mx]]="","",VLOOKUP(Tabla1[[#This Row],[CONCEPTO mx]],Tabla2[#All],3,0)),"")</f>
        <v/>
      </c>
      <c r="H438" s="49" t="s">
        <v>438</v>
      </c>
      <c r="I438" s="49" t="s">
        <v>2298</v>
      </c>
      <c r="J438" s="53" t="s">
        <v>2790</v>
      </c>
    </row>
    <row r="439" spans="1:10" x14ac:dyDescent="0.25">
      <c r="A439" s="51">
        <v>43200</v>
      </c>
      <c r="C439" s="49" t="s">
        <v>1801</v>
      </c>
      <c r="D439" s="49" t="s">
        <v>51</v>
      </c>
      <c r="E439" s="49" t="s">
        <v>3315</v>
      </c>
      <c r="F439" s="49" t="str">
        <f>IFERROR(IF(Tabla1[[#This Row],[CONCEPTO mx]]="","",VLOOKUP(Tabla1[[#This Row],[CONCEPTO mx]],Tabla2[#All],2,0)),"")</f>
        <v>CM40</v>
      </c>
      <c r="G439" s="49" t="str">
        <f>IFERROR(IF(Tabla1[[#This Row],[CONCEPTO mx]]="","",VLOOKUP(Tabla1[[#This Row],[CONCEPTO mx]],Tabla2[#All],3,0)),"")</f>
        <v>SST</v>
      </c>
      <c r="H439" s="49" t="s">
        <v>2391</v>
      </c>
      <c r="I439" s="49" t="s">
        <v>2298</v>
      </c>
      <c r="J439" s="53" t="s">
        <v>2805</v>
      </c>
    </row>
    <row r="440" spans="1:10" x14ac:dyDescent="0.25">
      <c r="A440" s="51">
        <v>43200</v>
      </c>
      <c r="C440" s="49" t="s">
        <v>1788</v>
      </c>
      <c r="D440" s="49" t="s">
        <v>51</v>
      </c>
      <c r="F440" s="49" t="str">
        <f>IFERROR(IF(Tabla1[[#This Row],[CONCEPTO mx]]="","",VLOOKUP(Tabla1[[#This Row],[CONCEPTO mx]],Tabla2[#All],2,0)),"")</f>
        <v/>
      </c>
      <c r="G440" s="49" t="str">
        <f>IFERROR(IF(Tabla1[[#This Row],[CONCEPTO mx]]="","",VLOOKUP(Tabla1[[#This Row],[CONCEPTO mx]],Tabla2[#All],3,0)),"")</f>
        <v/>
      </c>
      <c r="H440" s="49" t="s">
        <v>2391</v>
      </c>
      <c r="I440" s="49" t="s">
        <v>2298</v>
      </c>
      <c r="J440" s="53" t="s">
        <v>2785</v>
      </c>
    </row>
    <row r="441" spans="1:10" x14ac:dyDescent="0.25">
      <c r="A441" s="51">
        <v>43200</v>
      </c>
      <c r="C441" s="49" t="s">
        <v>1800</v>
      </c>
      <c r="D441" s="49" t="s">
        <v>51</v>
      </c>
      <c r="E441" s="49" t="s">
        <v>3315</v>
      </c>
      <c r="F441" s="49" t="str">
        <f>IFERROR(IF(Tabla1[[#This Row],[CONCEPTO mx]]="","",VLOOKUP(Tabla1[[#This Row],[CONCEPTO mx]],Tabla2[#All],2,0)),"")</f>
        <v>CM40</v>
      </c>
      <c r="G441" s="49" t="str">
        <f>IFERROR(IF(Tabla1[[#This Row],[CONCEPTO mx]]="","",VLOOKUP(Tabla1[[#This Row],[CONCEPTO mx]],Tabla2[#All],3,0)),"")</f>
        <v>SST</v>
      </c>
      <c r="H441" s="49" t="s">
        <v>2391</v>
      </c>
      <c r="I441" s="49" t="s">
        <v>2298</v>
      </c>
      <c r="J441" s="53" t="s">
        <v>2330</v>
      </c>
    </row>
    <row r="442" spans="1:10" x14ac:dyDescent="0.25">
      <c r="A442" s="51">
        <v>43200</v>
      </c>
      <c r="C442" s="49" t="s">
        <v>1792</v>
      </c>
      <c r="D442" s="49" t="s">
        <v>51</v>
      </c>
      <c r="E442" s="49" t="s">
        <v>3315</v>
      </c>
      <c r="F442" s="49" t="str">
        <f>IFERROR(IF(Tabla1[[#This Row],[CONCEPTO mx]]="","",VLOOKUP(Tabla1[[#This Row],[CONCEPTO mx]],Tabla2[#All],2,0)),"")</f>
        <v>CM40</v>
      </c>
      <c r="G442" s="49" t="str">
        <f>IFERROR(IF(Tabla1[[#This Row],[CONCEPTO mx]]="","",VLOOKUP(Tabla1[[#This Row],[CONCEPTO mx]],Tabla2[#All],3,0)),"")</f>
        <v>SST</v>
      </c>
      <c r="H442" s="49" t="s">
        <v>2393</v>
      </c>
      <c r="I442" s="49" t="s">
        <v>2298</v>
      </c>
      <c r="J442" s="53" t="s">
        <v>2799</v>
      </c>
    </row>
    <row r="443" spans="1:10" x14ac:dyDescent="0.25">
      <c r="A443" s="51">
        <v>43200</v>
      </c>
      <c r="C443" s="49" t="s">
        <v>1795</v>
      </c>
      <c r="D443" s="49" t="s">
        <v>2273</v>
      </c>
      <c r="F443" s="49" t="str">
        <f>IFERROR(IF(Tabla1[[#This Row],[CONCEPTO mx]]="","",VLOOKUP(Tabla1[[#This Row],[CONCEPTO mx]],Tabla2[#All],2,0)),"")</f>
        <v/>
      </c>
      <c r="G443" s="49" t="str">
        <f>IFERROR(IF(Tabla1[[#This Row],[CONCEPTO mx]]="","",VLOOKUP(Tabla1[[#This Row],[CONCEPTO mx]],Tabla2[#All],3,0)),"")</f>
        <v/>
      </c>
      <c r="H443" s="49" t="s">
        <v>438</v>
      </c>
      <c r="I443" s="49" t="s">
        <v>2298</v>
      </c>
      <c r="J443" s="53" t="s">
        <v>2802</v>
      </c>
    </row>
    <row r="444" spans="1:10" x14ac:dyDescent="0.25">
      <c r="A444" s="51">
        <v>43200</v>
      </c>
      <c r="C444" s="49" t="s">
        <v>1793</v>
      </c>
      <c r="D444" s="49" t="s">
        <v>2273</v>
      </c>
      <c r="F444" s="49" t="str">
        <f>IFERROR(IF(Tabla1[[#This Row],[CONCEPTO mx]]="","",VLOOKUP(Tabla1[[#This Row],[CONCEPTO mx]],Tabla2[#All],2,0)),"")</f>
        <v/>
      </c>
      <c r="G444" s="49" t="str">
        <f>IFERROR(IF(Tabla1[[#This Row],[CONCEPTO mx]]="","",VLOOKUP(Tabla1[[#This Row],[CONCEPTO mx]],Tabla2[#All],3,0)),"")</f>
        <v/>
      </c>
      <c r="H444" s="49" t="s">
        <v>550</v>
      </c>
      <c r="I444" s="49" t="s">
        <v>2298</v>
      </c>
      <c r="J444" s="53" t="s">
        <v>2800</v>
      </c>
    </row>
    <row r="445" spans="1:10" x14ac:dyDescent="0.25">
      <c r="A445" s="51">
        <v>43200</v>
      </c>
      <c r="C445" s="49" t="s">
        <v>1790</v>
      </c>
      <c r="D445" s="49" t="s">
        <v>2273</v>
      </c>
      <c r="F445" s="49" t="str">
        <f>IFERROR(IF(Tabla1[[#This Row],[CONCEPTO mx]]="","",VLOOKUP(Tabla1[[#This Row],[CONCEPTO mx]],Tabla2[#All],2,0)),"")</f>
        <v/>
      </c>
      <c r="G445" s="49" t="str">
        <f>IFERROR(IF(Tabla1[[#This Row],[CONCEPTO mx]]="","",VLOOKUP(Tabla1[[#This Row],[CONCEPTO mx]],Tabla2[#All],3,0)),"")</f>
        <v/>
      </c>
      <c r="H445" s="49" t="s">
        <v>2393</v>
      </c>
      <c r="I445" s="49" t="s">
        <v>2298</v>
      </c>
      <c r="J445" s="53" t="s">
        <v>2798</v>
      </c>
    </row>
    <row r="446" spans="1:10" x14ac:dyDescent="0.25">
      <c r="A446" s="51">
        <v>43201</v>
      </c>
      <c r="C446" s="49" t="s">
        <v>1763</v>
      </c>
      <c r="D446" s="49" t="s">
        <v>51</v>
      </c>
      <c r="F446" s="49" t="str">
        <f>IFERROR(IF(Tabla1[[#This Row],[CONCEPTO mx]]="","",VLOOKUP(Tabla1[[#This Row],[CONCEPTO mx]],Tabla2[#All],2,0)),"")</f>
        <v/>
      </c>
      <c r="G446" s="49" t="str">
        <f>IFERROR(IF(Tabla1[[#This Row],[CONCEPTO mx]]="","",VLOOKUP(Tabla1[[#This Row],[CONCEPTO mx]],Tabla2[#All],3,0)),"")</f>
        <v/>
      </c>
      <c r="H446" s="49" t="s">
        <v>388</v>
      </c>
      <c r="I446" s="49" t="s">
        <v>2298</v>
      </c>
      <c r="J446" s="53" t="s">
        <v>2806</v>
      </c>
    </row>
    <row r="447" spans="1:10" x14ac:dyDescent="0.25">
      <c r="A447" s="51">
        <v>43201</v>
      </c>
      <c r="C447" s="49" t="s">
        <v>1804</v>
      </c>
      <c r="E447" s="49" t="s">
        <v>2355</v>
      </c>
      <c r="F447" s="49" t="str">
        <f>IFERROR(IF(Tabla1[[#This Row],[CONCEPTO mx]]="","",VLOOKUP(Tabla1[[#This Row],[CONCEPTO mx]],Tabla2[#All],2,0)),"")</f>
        <v>CM13</v>
      </c>
      <c r="G447" s="49" t="str">
        <f>IFERROR(IF(Tabla1[[#This Row],[CONCEPTO mx]]="","",VLOOKUP(Tabla1[[#This Row],[CONCEPTO mx]],Tabla2[#All],3,0)),"")</f>
        <v>Gestión Humana</v>
      </c>
      <c r="H447" s="49" t="s">
        <v>334</v>
      </c>
      <c r="I447" s="49" t="s">
        <v>2298</v>
      </c>
      <c r="J447" s="53" t="s">
        <v>2318</v>
      </c>
    </row>
    <row r="448" spans="1:10" x14ac:dyDescent="0.25">
      <c r="A448" s="51">
        <v>43201</v>
      </c>
      <c r="C448" s="49" t="s">
        <v>1805</v>
      </c>
      <c r="D448" s="49" t="s">
        <v>1806</v>
      </c>
      <c r="F448" s="49" t="str">
        <f>IFERROR(IF(Tabla1[[#This Row],[CONCEPTO mx]]="","",VLOOKUP(Tabla1[[#This Row],[CONCEPTO mx]],Tabla2[#All],2,0)),"")</f>
        <v/>
      </c>
      <c r="G448" s="49" t="str">
        <f>IFERROR(IF(Tabla1[[#This Row],[CONCEPTO mx]]="","",VLOOKUP(Tabla1[[#This Row],[CONCEPTO mx]],Tabla2[#All],3,0)),"")</f>
        <v/>
      </c>
      <c r="H448" s="49" t="s">
        <v>388</v>
      </c>
      <c r="I448" s="49" t="s">
        <v>2325</v>
      </c>
      <c r="J448" s="53"/>
    </row>
    <row r="449" spans="1:10" x14ac:dyDescent="0.25">
      <c r="A449" s="51">
        <v>43201</v>
      </c>
      <c r="C449" s="49" t="s">
        <v>1677</v>
      </c>
      <c r="D449" s="49" t="s">
        <v>51</v>
      </c>
      <c r="E449" s="49" t="s">
        <v>3315</v>
      </c>
      <c r="F449" s="49" t="str">
        <f>IFERROR(IF(Tabla1[[#This Row],[CONCEPTO mx]]="","",VLOOKUP(Tabla1[[#This Row],[CONCEPTO mx]],Tabla2[#All],2,0)),"")</f>
        <v>CM40</v>
      </c>
      <c r="G449" s="49" t="str">
        <f>IFERROR(IF(Tabla1[[#This Row],[CONCEPTO mx]]="","",VLOOKUP(Tabla1[[#This Row],[CONCEPTO mx]],Tabla2[#All],3,0)),"")</f>
        <v>SST</v>
      </c>
      <c r="H449" s="49" t="s">
        <v>343</v>
      </c>
      <c r="I449" s="49" t="s">
        <v>2298</v>
      </c>
      <c r="J449" s="53" t="s">
        <v>2790</v>
      </c>
    </row>
    <row r="450" spans="1:10" x14ac:dyDescent="0.25">
      <c r="A450" s="51">
        <v>43201</v>
      </c>
      <c r="C450" s="49" t="s">
        <v>1803</v>
      </c>
      <c r="D450" s="49" t="s">
        <v>51</v>
      </c>
      <c r="F450" s="49" t="str">
        <f>IFERROR(IF(Tabla1[[#This Row],[CONCEPTO mx]]="","",VLOOKUP(Tabla1[[#This Row],[CONCEPTO mx]],Tabla2[#All],2,0)),"")</f>
        <v/>
      </c>
      <c r="G450" s="49" t="str">
        <f>IFERROR(IF(Tabla1[[#This Row],[CONCEPTO mx]]="","",VLOOKUP(Tabla1[[#This Row],[CONCEPTO mx]],Tabla2[#All],3,0)),"")</f>
        <v/>
      </c>
      <c r="H450" s="49" t="s">
        <v>438</v>
      </c>
      <c r="I450" s="49" t="s">
        <v>2298</v>
      </c>
      <c r="J450" s="53" t="s">
        <v>2334</v>
      </c>
    </row>
    <row r="451" spans="1:10" x14ac:dyDescent="0.25">
      <c r="A451" s="51">
        <v>43207</v>
      </c>
      <c r="C451" s="49" t="s">
        <v>1783</v>
      </c>
      <c r="D451" s="49" t="s">
        <v>2273</v>
      </c>
      <c r="F451" s="49" t="str">
        <f>IFERROR(IF(Tabla1[[#This Row],[CONCEPTO mx]]="","",VLOOKUP(Tabla1[[#This Row],[CONCEPTO mx]],Tabla2[#All],2,0)),"")</f>
        <v/>
      </c>
      <c r="G451" s="49" t="str">
        <f>IFERROR(IF(Tabla1[[#This Row],[CONCEPTO mx]]="","",VLOOKUP(Tabla1[[#This Row],[CONCEPTO mx]],Tabla2[#All],3,0)),"")</f>
        <v/>
      </c>
      <c r="H451" s="49" t="s">
        <v>486</v>
      </c>
      <c r="I451" s="49" t="s">
        <v>2298</v>
      </c>
      <c r="J451" s="53" t="s">
        <v>2807</v>
      </c>
    </row>
    <row r="452" spans="1:10" x14ac:dyDescent="0.25">
      <c r="A452" s="51">
        <v>43207</v>
      </c>
      <c r="C452" s="49" t="s">
        <v>1807</v>
      </c>
      <c r="D452" s="49" t="s">
        <v>51</v>
      </c>
      <c r="F452" s="49" t="str">
        <f>IFERROR(IF(Tabla1[[#This Row],[CONCEPTO mx]]="","",VLOOKUP(Tabla1[[#This Row],[CONCEPTO mx]],Tabla2[#All],2,0)),"")</f>
        <v/>
      </c>
      <c r="G452" s="49" t="str">
        <f>IFERROR(IF(Tabla1[[#This Row],[CONCEPTO mx]]="","",VLOOKUP(Tabla1[[#This Row],[CONCEPTO mx]],Tabla2[#All],3,0)),"")</f>
        <v/>
      </c>
      <c r="H452" s="49" t="s">
        <v>334</v>
      </c>
      <c r="I452" s="49" t="s">
        <v>2298</v>
      </c>
      <c r="J452" s="53" t="s">
        <v>2402</v>
      </c>
    </row>
    <row r="453" spans="1:10" x14ac:dyDescent="0.25">
      <c r="A453" s="51">
        <v>43207</v>
      </c>
      <c r="C453" s="49" t="s">
        <v>1808</v>
      </c>
      <c r="D453" s="49" t="s">
        <v>51</v>
      </c>
      <c r="E453" s="49" t="s">
        <v>3315</v>
      </c>
      <c r="F453" s="49" t="str">
        <f>IFERROR(IF(Tabla1[[#This Row],[CONCEPTO mx]]="","",VLOOKUP(Tabla1[[#This Row],[CONCEPTO mx]],Tabla2[#All],2,0)),"")</f>
        <v>CM40</v>
      </c>
      <c r="G453" s="49" t="str">
        <f>IFERROR(IF(Tabla1[[#This Row],[CONCEPTO mx]]="","",VLOOKUP(Tabla1[[#This Row],[CONCEPTO mx]],Tabla2[#All],3,0)),"")</f>
        <v>SST</v>
      </c>
      <c r="H453" s="49" t="s">
        <v>357</v>
      </c>
      <c r="I453" s="49" t="s">
        <v>2320</v>
      </c>
      <c r="J453" s="53"/>
    </row>
    <row r="454" spans="1:10" x14ac:dyDescent="0.25">
      <c r="A454" s="51">
        <v>43207</v>
      </c>
      <c r="C454" s="49" t="s">
        <v>1809</v>
      </c>
      <c r="D454" s="49" t="s">
        <v>51</v>
      </c>
      <c r="F454" s="49" t="str">
        <f>IFERROR(IF(Tabla1[[#This Row],[CONCEPTO mx]]="","",VLOOKUP(Tabla1[[#This Row],[CONCEPTO mx]],Tabla2[#All],2,0)),"")</f>
        <v/>
      </c>
      <c r="G454" s="49" t="str">
        <f>IFERROR(IF(Tabla1[[#This Row],[CONCEPTO mx]]="","",VLOOKUP(Tabla1[[#This Row],[CONCEPTO mx]],Tabla2[#All],3,0)),"")</f>
        <v/>
      </c>
      <c r="H454" s="49" t="s">
        <v>486</v>
      </c>
      <c r="I454" s="49" t="s">
        <v>2298</v>
      </c>
      <c r="J454" s="53" t="s">
        <v>2808</v>
      </c>
    </row>
    <row r="455" spans="1:10" x14ac:dyDescent="0.25">
      <c r="A455" s="51">
        <v>43207</v>
      </c>
      <c r="C455" s="49" t="s">
        <v>1755</v>
      </c>
      <c r="D455" s="49" t="s">
        <v>51</v>
      </c>
      <c r="F455" s="49" t="str">
        <f>IFERROR(IF(Tabla1[[#This Row],[CONCEPTO mx]]="","",VLOOKUP(Tabla1[[#This Row],[CONCEPTO mx]],Tabla2[#All],2,0)),"")</f>
        <v/>
      </c>
      <c r="G455" s="49" t="str">
        <f>IFERROR(IF(Tabla1[[#This Row],[CONCEPTO mx]]="","",VLOOKUP(Tabla1[[#This Row],[CONCEPTO mx]],Tabla2[#All],3,0)),"")</f>
        <v/>
      </c>
      <c r="H455" s="49" t="s">
        <v>486</v>
      </c>
      <c r="I455" s="49" t="s">
        <v>2298</v>
      </c>
      <c r="J455" s="53" t="s">
        <v>2341</v>
      </c>
    </row>
    <row r="456" spans="1:10" x14ac:dyDescent="0.25">
      <c r="A456" s="51">
        <v>43208</v>
      </c>
      <c r="C456" s="49" t="s">
        <v>1810</v>
      </c>
      <c r="D456" s="49" t="s">
        <v>1571</v>
      </c>
      <c r="F456" s="49" t="str">
        <f>IFERROR(IF(Tabla1[[#This Row],[CONCEPTO mx]]="","",VLOOKUP(Tabla1[[#This Row],[CONCEPTO mx]],Tabla2[#All],2,0)),"")</f>
        <v/>
      </c>
      <c r="G456" s="49" t="str">
        <f>IFERROR(IF(Tabla1[[#This Row],[CONCEPTO mx]]="","",VLOOKUP(Tabla1[[#This Row],[CONCEPTO mx]],Tabla2[#All],3,0)),"")</f>
        <v/>
      </c>
      <c r="H456" s="49" t="s">
        <v>388</v>
      </c>
      <c r="I456" s="49" t="s">
        <v>2328</v>
      </c>
      <c r="J456" s="53"/>
    </row>
    <row r="457" spans="1:10" x14ac:dyDescent="0.25">
      <c r="A457" s="51">
        <v>43208</v>
      </c>
      <c r="C457" s="49" t="s">
        <v>1811</v>
      </c>
      <c r="D457" s="49" t="s">
        <v>51</v>
      </c>
      <c r="F457" s="49" t="str">
        <f>IFERROR(IF(Tabla1[[#This Row],[CONCEPTO mx]]="","",VLOOKUP(Tabla1[[#This Row],[CONCEPTO mx]],Tabla2[#All],2,0)),"")</f>
        <v/>
      </c>
      <c r="G457" s="49" t="str">
        <f>IFERROR(IF(Tabla1[[#This Row],[CONCEPTO mx]]="","",VLOOKUP(Tabla1[[#This Row],[CONCEPTO mx]],Tabla2[#All],3,0)),"")</f>
        <v/>
      </c>
      <c r="H457" s="49" t="s">
        <v>2391</v>
      </c>
      <c r="I457" s="49" t="s">
        <v>2318</v>
      </c>
      <c r="J457" s="53"/>
    </row>
    <row r="458" spans="1:10" x14ac:dyDescent="0.25">
      <c r="A458" s="51">
        <v>43209</v>
      </c>
      <c r="C458" s="49" t="s">
        <v>1813</v>
      </c>
      <c r="D458" s="49" t="s">
        <v>2273</v>
      </c>
      <c r="F458" s="49" t="str">
        <f>IFERROR(IF(Tabla1[[#This Row],[CONCEPTO mx]]="","",VLOOKUP(Tabla1[[#This Row],[CONCEPTO mx]],Tabla2[#All],2,0)),"")</f>
        <v/>
      </c>
      <c r="G458" s="49" t="str">
        <f>IFERROR(IF(Tabla1[[#This Row],[CONCEPTO mx]]="","",VLOOKUP(Tabla1[[#This Row],[CONCEPTO mx]],Tabla2[#All],3,0)),"")</f>
        <v/>
      </c>
      <c r="H458" s="49" t="s">
        <v>388</v>
      </c>
      <c r="I458" s="49" t="s">
        <v>2298</v>
      </c>
      <c r="J458" s="53" t="s">
        <v>2314</v>
      </c>
    </row>
    <row r="459" spans="1:10" x14ac:dyDescent="0.25">
      <c r="A459" s="51">
        <v>43209</v>
      </c>
      <c r="C459" s="49" t="s">
        <v>1812</v>
      </c>
      <c r="D459" s="49" t="s">
        <v>51</v>
      </c>
      <c r="E459" s="49" t="s">
        <v>3315</v>
      </c>
      <c r="F459" s="49" t="str">
        <f>IFERROR(IF(Tabla1[[#This Row],[CONCEPTO mx]]="","",VLOOKUP(Tabla1[[#This Row],[CONCEPTO mx]],Tabla2[#All],2,0)),"")</f>
        <v>CM40</v>
      </c>
      <c r="G459" s="49" t="str">
        <f>IFERROR(IF(Tabla1[[#This Row],[CONCEPTO mx]]="","",VLOOKUP(Tabla1[[#This Row],[CONCEPTO mx]],Tabla2[#All],3,0)),"")</f>
        <v>SST</v>
      </c>
      <c r="H459" s="49" t="s">
        <v>387</v>
      </c>
      <c r="I459" s="49" t="s">
        <v>2298</v>
      </c>
      <c r="J459" s="53" t="s">
        <v>2314</v>
      </c>
    </row>
    <row r="460" spans="1:10" x14ac:dyDescent="0.25">
      <c r="A460" s="51">
        <v>43209</v>
      </c>
      <c r="C460" s="49" t="s">
        <v>1815</v>
      </c>
      <c r="E460" s="49" t="s">
        <v>2355</v>
      </c>
      <c r="F460" s="49" t="str">
        <f>IFERROR(IF(Tabla1[[#This Row],[CONCEPTO mx]]="","",VLOOKUP(Tabla1[[#This Row],[CONCEPTO mx]],Tabla2[#All],2,0)),"")</f>
        <v>CM13</v>
      </c>
      <c r="G460" s="49" t="str">
        <f>IFERROR(IF(Tabla1[[#This Row],[CONCEPTO mx]]="","",VLOOKUP(Tabla1[[#This Row],[CONCEPTO mx]],Tabla2[#All],3,0)),"")</f>
        <v>Gestión Humana</v>
      </c>
      <c r="H460" s="49" t="s">
        <v>2393</v>
      </c>
      <c r="I460" s="49" t="s">
        <v>2339</v>
      </c>
      <c r="J460" s="53"/>
    </row>
    <row r="461" spans="1:10" x14ac:dyDescent="0.25">
      <c r="A461" s="51">
        <v>43209</v>
      </c>
      <c r="C461" s="49" t="s">
        <v>1814</v>
      </c>
      <c r="E461" s="49" t="s">
        <v>2355</v>
      </c>
      <c r="F461" s="49" t="str">
        <f>IFERROR(IF(Tabla1[[#This Row],[CONCEPTO mx]]="","",VLOOKUP(Tabla1[[#This Row],[CONCEPTO mx]],Tabla2[#All],2,0)),"")</f>
        <v>CM13</v>
      </c>
      <c r="G461" s="49" t="str">
        <f>IFERROR(IF(Tabla1[[#This Row],[CONCEPTO mx]]="","",VLOOKUP(Tabla1[[#This Row],[CONCEPTO mx]],Tabla2[#All],3,0)),"")</f>
        <v>Gestión Humana</v>
      </c>
      <c r="H461" s="49" t="s">
        <v>2391</v>
      </c>
      <c r="I461" s="49" t="s">
        <v>2298</v>
      </c>
      <c r="J461" s="53" t="s">
        <v>2351</v>
      </c>
    </row>
    <row r="462" spans="1:10" x14ac:dyDescent="0.25">
      <c r="A462" s="51">
        <v>43210</v>
      </c>
      <c r="C462" s="49" t="s">
        <v>1821</v>
      </c>
      <c r="D462" s="49" t="s">
        <v>51</v>
      </c>
      <c r="F462" s="49" t="str">
        <f>IFERROR(IF(Tabla1[[#This Row],[CONCEPTO mx]]="","",VLOOKUP(Tabla1[[#This Row],[CONCEPTO mx]],Tabla2[#All],2,0)),"")</f>
        <v/>
      </c>
      <c r="G462" s="49" t="str">
        <f>IFERROR(IF(Tabla1[[#This Row],[CONCEPTO mx]]="","",VLOOKUP(Tabla1[[#This Row],[CONCEPTO mx]],Tabla2[#All],3,0)),"")</f>
        <v/>
      </c>
      <c r="H462" s="49" t="s">
        <v>438</v>
      </c>
      <c r="I462" s="49" t="s">
        <v>2298</v>
      </c>
      <c r="J462" s="53" t="s">
        <v>2811</v>
      </c>
    </row>
    <row r="463" spans="1:10" x14ac:dyDescent="0.25">
      <c r="A463" s="51">
        <v>43210</v>
      </c>
      <c r="C463" s="49" t="s">
        <v>1820</v>
      </c>
      <c r="D463" s="49" t="s">
        <v>51</v>
      </c>
      <c r="E463" s="49" t="s">
        <v>3315</v>
      </c>
      <c r="F463" s="49" t="str">
        <f>IFERROR(IF(Tabla1[[#This Row],[CONCEPTO mx]]="","",VLOOKUP(Tabla1[[#This Row],[CONCEPTO mx]],Tabla2[#All],2,0)),"")</f>
        <v>CM40</v>
      </c>
      <c r="G463" s="49" t="str">
        <f>IFERROR(IF(Tabla1[[#This Row],[CONCEPTO mx]]="","",VLOOKUP(Tabla1[[#This Row],[CONCEPTO mx]],Tabla2[#All],3,0)),"")</f>
        <v>SST</v>
      </c>
      <c r="H463" s="49" t="s">
        <v>438</v>
      </c>
      <c r="I463" s="49" t="s">
        <v>2298</v>
      </c>
      <c r="J463" s="53" t="s">
        <v>2810</v>
      </c>
    </row>
    <row r="464" spans="1:10" x14ac:dyDescent="0.25">
      <c r="A464" s="51">
        <v>43210</v>
      </c>
      <c r="C464" s="49" t="s">
        <v>1818</v>
      </c>
      <c r="D464" s="49" t="s">
        <v>51</v>
      </c>
      <c r="F464" s="49" t="str">
        <f>IFERROR(IF(Tabla1[[#This Row],[CONCEPTO mx]]="","",VLOOKUP(Tabla1[[#This Row],[CONCEPTO mx]],Tabla2[#All],2,0)),"")</f>
        <v/>
      </c>
      <c r="G464" s="49" t="str">
        <f>IFERROR(IF(Tabla1[[#This Row],[CONCEPTO mx]]="","",VLOOKUP(Tabla1[[#This Row],[CONCEPTO mx]],Tabla2[#All],3,0)),"")</f>
        <v/>
      </c>
      <c r="H464" s="49" t="s">
        <v>438</v>
      </c>
      <c r="I464" s="49" t="s">
        <v>2298</v>
      </c>
      <c r="J464" s="53" t="s">
        <v>2302</v>
      </c>
    </row>
    <row r="465" spans="1:10" x14ac:dyDescent="0.25">
      <c r="A465" s="51">
        <v>43210</v>
      </c>
      <c r="C465" s="49" t="s">
        <v>1823</v>
      </c>
      <c r="D465" s="49" t="s">
        <v>51</v>
      </c>
      <c r="E465" s="49" t="s">
        <v>3315</v>
      </c>
      <c r="F465" s="49" t="str">
        <f>IFERROR(IF(Tabla1[[#This Row],[CONCEPTO mx]]="","",VLOOKUP(Tabla1[[#This Row],[CONCEPTO mx]],Tabla2[#All],2,0)),"")</f>
        <v>CM40</v>
      </c>
      <c r="G465" s="49" t="str">
        <f>IFERROR(IF(Tabla1[[#This Row],[CONCEPTO mx]]="","",VLOOKUP(Tabla1[[#This Row],[CONCEPTO mx]],Tabla2[#All],3,0)),"")</f>
        <v>SST</v>
      </c>
      <c r="H465" s="49" t="s">
        <v>486</v>
      </c>
      <c r="I465" s="49" t="s">
        <v>2298</v>
      </c>
      <c r="J465" s="53" t="s">
        <v>2813</v>
      </c>
    </row>
    <row r="466" spans="1:10" x14ac:dyDescent="0.25">
      <c r="A466" s="51">
        <v>43210</v>
      </c>
      <c r="C466" s="49" t="s">
        <v>1822</v>
      </c>
      <c r="D466" s="49" t="s">
        <v>2273</v>
      </c>
      <c r="F466" s="49" t="str">
        <f>IFERROR(IF(Tabla1[[#This Row],[CONCEPTO mx]]="","",VLOOKUP(Tabla1[[#This Row],[CONCEPTO mx]],Tabla2[#All],2,0)),"")</f>
        <v/>
      </c>
      <c r="G466" s="49" t="str">
        <f>IFERROR(IF(Tabla1[[#This Row],[CONCEPTO mx]]="","",VLOOKUP(Tabla1[[#This Row],[CONCEPTO mx]],Tabla2[#All],3,0)),"")</f>
        <v/>
      </c>
      <c r="H466" s="49" t="s">
        <v>2393</v>
      </c>
      <c r="I466" s="49" t="s">
        <v>2298</v>
      </c>
      <c r="J466" s="53" t="s">
        <v>2812</v>
      </c>
    </row>
    <row r="467" spans="1:10" x14ac:dyDescent="0.25">
      <c r="A467" s="51">
        <v>43210</v>
      </c>
      <c r="C467" s="49" t="s">
        <v>1824</v>
      </c>
      <c r="D467" s="49" t="s">
        <v>51</v>
      </c>
      <c r="F467" s="49" t="str">
        <f>IFERROR(IF(Tabla1[[#This Row],[CONCEPTO mx]]="","",VLOOKUP(Tabla1[[#This Row],[CONCEPTO mx]],Tabla2[#All],2,0)),"")</f>
        <v/>
      </c>
      <c r="G467" s="49" t="str">
        <f>IFERROR(IF(Tabla1[[#This Row],[CONCEPTO mx]]="","",VLOOKUP(Tabla1[[#This Row],[CONCEPTO mx]],Tabla2[#All],3,0)),"")</f>
        <v/>
      </c>
      <c r="H467" s="49" t="s">
        <v>2391</v>
      </c>
      <c r="I467" s="49" t="s">
        <v>2298</v>
      </c>
      <c r="J467" s="53" t="s">
        <v>2314</v>
      </c>
    </row>
    <row r="468" spans="1:10" x14ac:dyDescent="0.25">
      <c r="A468" s="51">
        <v>43210</v>
      </c>
      <c r="C468" s="49" t="s">
        <v>1819</v>
      </c>
      <c r="E468" s="49" t="s">
        <v>2355</v>
      </c>
      <c r="F468" s="49" t="str">
        <f>IFERROR(IF(Tabla1[[#This Row],[CONCEPTO mx]]="","",VLOOKUP(Tabla1[[#This Row],[CONCEPTO mx]],Tabla2[#All],2,0)),"")</f>
        <v>CM13</v>
      </c>
      <c r="G468" s="49" t="str">
        <f>IFERROR(IF(Tabla1[[#This Row],[CONCEPTO mx]]="","",VLOOKUP(Tabla1[[#This Row],[CONCEPTO mx]],Tabla2[#All],3,0)),"")</f>
        <v>Gestión Humana</v>
      </c>
      <c r="H468" s="49" t="s">
        <v>2391</v>
      </c>
      <c r="I468" s="49" t="s">
        <v>2298</v>
      </c>
      <c r="J468" s="53" t="s">
        <v>2809</v>
      </c>
    </row>
    <row r="469" spans="1:10" x14ac:dyDescent="0.25">
      <c r="A469" s="51">
        <v>43210</v>
      </c>
      <c r="C469" s="49" t="s">
        <v>1825</v>
      </c>
      <c r="D469" s="49" t="s">
        <v>51</v>
      </c>
      <c r="F469" s="49" t="str">
        <f>IFERROR(IF(Tabla1[[#This Row],[CONCEPTO mx]]="","",VLOOKUP(Tabla1[[#This Row],[CONCEPTO mx]],Tabla2[#All],2,0)),"")</f>
        <v/>
      </c>
      <c r="G469" s="49" t="str">
        <f>IFERROR(IF(Tabla1[[#This Row],[CONCEPTO mx]]="","",VLOOKUP(Tabla1[[#This Row],[CONCEPTO mx]],Tabla2[#All],3,0)),"")</f>
        <v/>
      </c>
      <c r="H469" s="49" t="s">
        <v>2391</v>
      </c>
      <c r="I469" s="49" t="s">
        <v>2319</v>
      </c>
      <c r="J469" s="53"/>
    </row>
    <row r="470" spans="1:10" x14ac:dyDescent="0.25">
      <c r="A470" s="51">
        <v>43210</v>
      </c>
      <c r="C470" s="49" t="s">
        <v>1817</v>
      </c>
      <c r="D470" s="49" t="s">
        <v>51</v>
      </c>
      <c r="F470" s="49" t="str">
        <f>IFERROR(IF(Tabla1[[#This Row],[CONCEPTO mx]]="","",VLOOKUP(Tabla1[[#This Row],[CONCEPTO mx]],Tabla2[#All],2,0)),"")</f>
        <v/>
      </c>
      <c r="G470" s="49" t="str">
        <f>IFERROR(IF(Tabla1[[#This Row],[CONCEPTO mx]]="","",VLOOKUP(Tabla1[[#This Row],[CONCEPTO mx]],Tabla2[#All],3,0)),"")</f>
        <v/>
      </c>
      <c r="H470" s="49" t="s">
        <v>486</v>
      </c>
      <c r="I470" s="49" t="s">
        <v>2318</v>
      </c>
      <c r="J470" s="53"/>
    </row>
    <row r="471" spans="1:10" x14ac:dyDescent="0.25">
      <c r="A471" s="51">
        <v>43210</v>
      </c>
      <c r="C471" s="49" t="s">
        <v>1816</v>
      </c>
      <c r="D471" s="49" t="s">
        <v>51</v>
      </c>
      <c r="F471" s="49" t="str">
        <f>IFERROR(IF(Tabla1[[#This Row],[CONCEPTO mx]]="","",VLOOKUP(Tabla1[[#This Row],[CONCEPTO mx]],Tabla2[#All],2,0)),"")</f>
        <v/>
      </c>
      <c r="G471" s="49" t="str">
        <f>IFERROR(IF(Tabla1[[#This Row],[CONCEPTO mx]]="","",VLOOKUP(Tabla1[[#This Row],[CONCEPTO mx]],Tabla2[#All],3,0)),"")</f>
        <v/>
      </c>
      <c r="H471" s="49" t="s">
        <v>406</v>
      </c>
      <c r="I471" s="49" t="s">
        <v>1632</v>
      </c>
      <c r="J471" s="53"/>
    </row>
    <row r="472" spans="1:10" x14ac:dyDescent="0.25">
      <c r="A472" s="51">
        <v>43210</v>
      </c>
      <c r="C472" s="49" t="s">
        <v>207</v>
      </c>
      <c r="D472" s="49" t="s">
        <v>51</v>
      </c>
      <c r="E472" s="49" t="s">
        <v>3315</v>
      </c>
      <c r="F472" s="49" t="str">
        <f>IFERROR(IF(Tabla1[[#This Row],[CONCEPTO mx]]="","",VLOOKUP(Tabla1[[#This Row],[CONCEPTO mx]],Tabla2[#All],2,0)),"")</f>
        <v>CM40</v>
      </c>
      <c r="G472" s="49" t="str">
        <f>IFERROR(IF(Tabla1[[#This Row],[CONCEPTO mx]]="","",VLOOKUP(Tabla1[[#This Row],[CONCEPTO mx]],Tabla2[#All],3,0)),"")</f>
        <v>SST</v>
      </c>
      <c r="H472" s="49" t="s">
        <v>406</v>
      </c>
      <c r="I472" s="49" t="s">
        <v>2321</v>
      </c>
      <c r="J472" s="53" t="s">
        <v>2322</v>
      </c>
    </row>
    <row r="473" spans="1:10" x14ac:dyDescent="0.25">
      <c r="A473" s="51">
        <v>43213</v>
      </c>
      <c r="C473" s="49" t="s">
        <v>1826</v>
      </c>
      <c r="D473" s="49" t="s">
        <v>51</v>
      </c>
      <c r="F473" s="49" t="str">
        <f>IFERROR(IF(Tabla1[[#This Row],[CONCEPTO mx]]="","",VLOOKUP(Tabla1[[#This Row],[CONCEPTO mx]],Tabla2[#All],2,0)),"")</f>
        <v/>
      </c>
      <c r="G473" s="49" t="str">
        <f>IFERROR(IF(Tabla1[[#This Row],[CONCEPTO mx]]="","",VLOOKUP(Tabla1[[#This Row],[CONCEPTO mx]],Tabla2[#All],3,0)),"")</f>
        <v/>
      </c>
      <c r="H473" s="49" t="s">
        <v>343</v>
      </c>
      <c r="I473" s="49" t="s">
        <v>2298</v>
      </c>
      <c r="J473" s="53" t="s">
        <v>2539</v>
      </c>
    </row>
    <row r="474" spans="1:10" x14ac:dyDescent="0.25">
      <c r="A474" s="51">
        <v>43214</v>
      </c>
      <c r="C474" s="49" t="s">
        <v>1828</v>
      </c>
      <c r="D474" s="49" t="s">
        <v>51</v>
      </c>
      <c r="F474" s="49" t="str">
        <f>IFERROR(IF(Tabla1[[#This Row],[CONCEPTO mx]]="","",VLOOKUP(Tabla1[[#This Row],[CONCEPTO mx]],Tabla2[#All],2,0)),"")</f>
        <v/>
      </c>
      <c r="G474" s="49" t="str">
        <f>IFERROR(IF(Tabla1[[#This Row],[CONCEPTO mx]]="","",VLOOKUP(Tabla1[[#This Row],[CONCEPTO mx]],Tabla2[#All],3,0)),"")</f>
        <v/>
      </c>
      <c r="H474" s="49" t="s">
        <v>2393</v>
      </c>
      <c r="I474" s="49" t="s">
        <v>2319</v>
      </c>
      <c r="J474" s="53"/>
    </row>
    <row r="475" spans="1:10" x14ac:dyDescent="0.25">
      <c r="A475" s="51">
        <v>43214</v>
      </c>
      <c r="C475" s="49" t="s">
        <v>1829</v>
      </c>
      <c r="D475" s="49" t="s">
        <v>51</v>
      </c>
      <c r="E475" s="49" t="s">
        <v>3315</v>
      </c>
      <c r="F475" s="49" t="str">
        <f>IFERROR(IF(Tabla1[[#This Row],[CONCEPTO mx]]="","",VLOOKUP(Tabla1[[#This Row],[CONCEPTO mx]],Tabla2[#All],2,0)),"")</f>
        <v>CM40</v>
      </c>
      <c r="G475" s="49" t="str">
        <f>IFERROR(IF(Tabla1[[#This Row],[CONCEPTO mx]]="","",VLOOKUP(Tabla1[[#This Row],[CONCEPTO mx]],Tabla2[#All],3,0)),"")</f>
        <v>SST</v>
      </c>
      <c r="H475" s="49" t="s">
        <v>438</v>
      </c>
      <c r="I475" s="49" t="s">
        <v>2298</v>
      </c>
      <c r="J475" s="53" t="s">
        <v>2814</v>
      </c>
    </row>
    <row r="476" spans="1:10" x14ac:dyDescent="0.25">
      <c r="A476" s="51">
        <v>43214</v>
      </c>
      <c r="C476" s="49" t="s">
        <v>1827</v>
      </c>
      <c r="D476" s="49" t="s">
        <v>51</v>
      </c>
      <c r="E476" s="49" t="s">
        <v>3315</v>
      </c>
      <c r="F476" s="49" t="str">
        <f>IFERROR(IF(Tabla1[[#This Row],[CONCEPTO mx]]="","",VLOOKUP(Tabla1[[#This Row],[CONCEPTO mx]],Tabla2[#All],2,0)),"")</f>
        <v>CM40</v>
      </c>
      <c r="G476" s="49" t="str">
        <f>IFERROR(IF(Tabla1[[#This Row],[CONCEPTO mx]]="","",VLOOKUP(Tabla1[[#This Row],[CONCEPTO mx]],Tabla2[#All],3,0)),"")</f>
        <v>SST</v>
      </c>
      <c r="H476" s="49" t="s">
        <v>2391</v>
      </c>
      <c r="I476" s="49" t="s">
        <v>2319</v>
      </c>
      <c r="J476" s="53"/>
    </row>
    <row r="477" spans="1:10" x14ac:dyDescent="0.25">
      <c r="A477" s="55">
        <v>43215</v>
      </c>
      <c r="C477" s="56" t="s">
        <v>1830</v>
      </c>
      <c r="D477" s="49" t="s">
        <v>51</v>
      </c>
      <c r="E477" s="49" t="s">
        <v>3315</v>
      </c>
      <c r="F477" s="49" t="str">
        <f>IFERROR(IF(Tabla1[[#This Row],[CONCEPTO mx]]="","",VLOOKUP(Tabla1[[#This Row],[CONCEPTO mx]],Tabla2[#All],2,0)),"")</f>
        <v>CM40</v>
      </c>
      <c r="G477" s="49" t="str">
        <f>IFERROR(IF(Tabla1[[#This Row],[CONCEPTO mx]]="","",VLOOKUP(Tabla1[[#This Row],[CONCEPTO mx]],Tabla2[#All],3,0)),"")</f>
        <v>SST</v>
      </c>
      <c r="H477" s="49" t="s">
        <v>438</v>
      </c>
      <c r="I477" s="49" t="s">
        <v>3392</v>
      </c>
      <c r="J477" s="49" t="s">
        <v>2318</v>
      </c>
    </row>
    <row r="478" spans="1:10" x14ac:dyDescent="0.25">
      <c r="A478" s="51">
        <v>43215</v>
      </c>
      <c r="C478" s="49" t="s">
        <v>1815</v>
      </c>
      <c r="D478" s="49" t="s">
        <v>2273</v>
      </c>
      <c r="F478" s="49" t="str">
        <f>IFERROR(IF(Tabla1[[#This Row],[CONCEPTO mx]]="","",VLOOKUP(Tabla1[[#This Row],[CONCEPTO mx]],Tabla2[#All],2,0)),"")</f>
        <v/>
      </c>
      <c r="G478" s="49" t="str">
        <f>IFERROR(IF(Tabla1[[#This Row],[CONCEPTO mx]]="","",VLOOKUP(Tabla1[[#This Row],[CONCEPTO mx]],Tabla2[#All],3,0)),"")</f>
        <v/>
      </c>
      <c r="H478" s="49" t="s">
        <v>2393</v>
      </c>
      <c r="I478" s="49" t="s">
        <v>2339</v>
      </c>
      <c r="J478" s="53"/>
    </row>
    <row r="479" spans="1:10" x14ac:dyDescent="0.25">
      <c r="A479" s="51">
        <v>43216</v>
      </c>
      <c r="C479" s="49" t="s">
        <v>1819</v>
      </c>
      <c r="D479" s="49" t="s">
        <v>2273</v>
      </c>
      <c r="F479" s="49" t="str">
        <f>IFERROR(IF(Tabla1[[#This Row],[CONCEPTO mx]]="","",VLOOKUP(Tabla1[[#This Row],[CONCEPTO mx]],Tabla2[#All],2,0)),"")</f>
        <v/>
      </c>
      <c r="G479" s="49" t="str">
        <f>IFERROR(IF(Tabla1[[#This Row],[CONCEPTO mx]]="","",VLOOKUP(Tabla1[[#This Row],[CONCEPTO mx]],Tabla2[#All],3,0)),"")</f>
        <v/>
      </c>
      <c r="H479" s="49" t="s">
        <v>2391</v>
      </c>
      <c r="I479" s="49" t="s">
        <v>2298</v>
      </c>
      <c r="J479" s="53" t="s">
        <v>2815</v>
      </c>
    </row>
    <row r="480" spans="1:10" x14ac:dyDescent="0.25">
      <c r="A480" s="51">
        <v>43216</v>
      </c>
      <c r="C480" s="49" t="s">
        <v>1814</v>
      </c>
      <c r="D480" s="49" t="s">
        <v>2273</v>
      </c>
      <c r="F480" s="49" t="str">
        <f>IFERROR(IF(Tabla1[[#This Row],[CONCEPTO mx]]="","",VLOOKUP(Tabla1[[#This Row],[CONCEPTO mx]],Tabla2[#All],2,0)),"")</f>
        <v/>
      </c>
      <c r="G480" s="49" t="str">
        <f>IFERROR(IF(Tabla1[[#This Row],[CONCEPTO mx]]="","",VLOOKUP(Tabla1[[#This Row],[CONCEPTO mx]],Tabla2[#All],3,0)),"")</f>
        <v/>
      </c>
      <c r="H480" s="49" t="s">
        <v>2391</v>
      </c>
      <c r="I480" s="49" t="s">
        <v>2298</v>
      </c>
      <c r="J480" s="53" t="s">
        <v>2351</v>
      </c>
    </row>
    <row r="481" spans="1:10" x14ac:dyDescent="0.25">
      <c r="A481" s="51">
        <v>43217</v>
      </c>
      <c r="C481" s="49" t="s">
        <v>1834</v>
      </c>
      <c r="D481" s="49" t="s">
        <v>2273</v>
      </c>
      <c r="F481" s="49" t="str">
        <f>IFERROR(IF(Tabla1[[#This Row],[CONCEPTO mx]]="","",VLOOKUP(Tabla1[[#This Row],[CONCEPTO mx]],Tabla2[#All],2,0)),"")</f>
        <v/>
      </c>
      <c r="G481" s="49" t="str">
        <f>IFERROR(IF(Tabla1[[#This Row],[CONCEPTO mx]]="","",VLOOKUP(Tabla1[[#This Row],[CONCEPTO mx]],Tabla2[#All],3,0)),"")</f>
        <v/>
      </c>
      <c r="H481" s="49" t="s">
        <v>484</v>
      </c>
      <c r="I481" s="49" t="s">
        <v>2339</v>
      </c>
      <c r="J481" s="53"/>
    </row>
    <row r="482" spans="1:10" x14ac:dyDescent="0.25">
      <c r="A482" s="51">
        <v>43217</v>
      </c>
      <c r="C482" s="49" t="s">
        <v>1832</v>
      </c>
      <c r="D482" s="49" t="s">
        <v>51</v>
      </c>
      <c r="F482" s="49" t="str">
        <f>IFERROR(IF(Tabla1[[#This Row],[CONCEPTO mx]]="","",VLOOKUP(Tabla1[[#This Row],[CONCEPTO mx]],Tabla2[#All],2,0)),"")</f>
        <v/>
      </c>
      <c r="G482" s="49" t="str">
        <f>IFERROR(IF(Tabla1[[#This Row],[CONCEPTO mx]]="","",VLOOKUP(Tabla1[[#This Row],[CONCEPTO mx]],Tabla2[#All],3,0)),"")</f>
        <v/>
      </c>
      <c r="H482" s="49" t="s">
        <v>484</v>
      </c>
      <c r="I482" s="49" t="s">
        <v>2339</v>
      </c>
      <c r="J482" s="53"/>
    </row>
    <row r="483" spans="1:10" x14ac:dyDescent="0.25">
      <c r="A483" s="51">
        <v>43217</v>
      </c>
      <c r="C483" s="49" t="s">
        <v>1837</v>
      </c>
      <c r="D483" s="49" t="s">
        <v>51</v>
      </c>
      <c r="F483" s="49" t="str">
        <f>IFERROR(IF(Tabla1[[#This Row],[CONCEPTO mx]]="","",VLOOKUP(Tabla1[[#This Row],[CONCEPTO mx]],Tabla2[#All],2,0)),"")</f>
        <v/>
      </c>
      <c r="G483" s="49" t="str">
        <f>IFERROR(IF(Tabla1[[#This Row],[CONCEPTO mx]]="","",VLOOKUP(Tabla1[[#This Row],[CONCEPTO mx]],Tabla2[#All],3,0)),"")</f>
        <v/>
      </c>
      <c r="H483" s="49" t="s">
        <v>2393</v>
      </c>
      <c r="I483" s="49" t="s">
        <v>2298</v>
      </c>
      <c r="J483" s="53" t="s">
        <v>2818</v>
      </c>
    </row>
    <row r="484" spans="1:10" x14ac:dyDescent="0.25">
      <c r="A484" s="51">
        <v>43217</v>
      </c>
      <c r="C484" s="49" t="s">
        <v>1838</v>
      </c>
      <c r="D484" s="49" t="s">
        <v>51</v>
      </c>
      <c r="F484" s="49" t="str">
        <f>IFERROR(IF(Tabla1[[#This Row],[CONCEPTO mx]]="","",VLOOKUP(Tabla1[[#This Row],[CONCEPTO mx]],Tabla2[#All],2,0)),"")</f>
        <v/>
      </c>
      <c r="G484" s="49" t="str">
        <f>IFERROR(IF(Tabla1[[#This Row],[CONCEPTO mx]]="","",VLOOKUP(Tabla1[[#This Row],[CONCEPTO mx]],Tabla2[#All],3,0)),"")</f>
        <v/>
      </c>
      <c r="H484" s="49" t="s">
        <v>2391</v>
      </c>
      <c r="I484" s="49" t="s">
        <v>2298</v>
      </c>
      <c r="J484" s="53" t="s">
        <v>2819</v>
      </c>
    </row>
    <row r="485" spans="1:10" x14ac:dyDescent="0.25">
      <c r="A485" s="51">
        <v>43217</v>
      </c>
      <c r="C485" s="49" t="s">
        <v>1835</v>
      </c>
      <c r="D485" s="49" t="s">
        <v>1571</v>
      </c>
      <c r="F485" s="49" t="str">
        <f>IFERROR(IF(Tabla1[[#This Row],[CONCEPTO mx]]="","",VLOOKUP(Tabla1[[#This Row],[CONCEPTO mx]],Tabla2[#All],2,0)),"")</f>
        <v/>
      </c>
      <c r="G485" s="49" t="str">
        <f>IFERROR(IF(Tabla1[[#This Row],[CONCEPTO mx]]="","",VLOOKUP(Tabla1[[#This Row],[CONCEPTO mx]],Tabla2[#All],3,0)),"")</f>
        <v/>
      </c>
      <c r="H485" s="49" t="s">
        <v>438</v>
      </c>
      <c r="I485" s="49" t="s">
        <v>2298</v>
      </c>
      <c r="J485" s="53" t="s">
        <v>2302</v>
      </c>
    </row>
    <row r="486" spans="1:10" x14ac:dyDescent="0.25">
      <c r="A486" s="51">
        <v>43217</v>
      </c>
      <c r="C486" s="49" t="s">
        <v>1833</v>
      </c>
      <c r="D486" s="49" t="s">
        <v>51</v>
      </c>
      <c r="F486" s="49" t="str">
        <f>IFERROR(IF(Tabla1[[#This Row],[CONCEPTO mx]]="","",VLOOKUP(Tabla1[[#This Row],[CONCEPTO mx]],Tabla2[#All],2,0)),"")</f>
        <v/>
      </c>
      <c r="G486" s="49" t="str">
        <f>IFERROR(IF(Tabla1[[#This Row],[CONCEPTO mx]]="","",VLOOKUP(Tabla1[[#This Row],[CONCEPTO mx]],Tabla2[#All],3,0)),"")</f>
        <v/>
      </c>
      <c r="H486" s="49" t="s">
        <v>2394</v>
      </c>
      <c r="I486" s="49" t="s">
        <v>2298</v>
      </c>
      <c r="J486" s="53" t="s">
        <v>2816</v>
      </c>
    </row>
    <row r="487" spans="1:10" x14ac:dyDescent="0.25">
      <c r="A487" s="51">
        <v>43217</v>
      </c>
      <c r="C487" s="49" t="s">
        <v>1836</v>
      </c>
      <c r="D487" s="49" t="s">
        <v>51</v>
      </c>
      <c r="F487" s="49" t="str">
        <f>IFERROR(IF(Tabla1[[#This Row],[CONCEPTO mx]]="","",VLOOKUP(Tabla1[[#This Row],[CONCEPTO mx]],Tabla2[#All],2,0)),"")</f>
        <v/>
      </c>
      <c r="G487" s="49" t="str">
        <f>IFERROR(IF(Tabla1[[#This Row],[CONCEPTO mx]]="","",VLOOKUP(Tabla1[[#This Row],[CONCEPTO mx]],Tabla2[#All],3,0)),"")</f>
        <v/>
      </c>
      <c r="H487" s="49" t="s">
        <v>438</v>
      </c>
      <c r="I487" s="49" t="s">
        <v>2298</v>
      </c>
      <c r="J487" s="53" t="s">
        <v>2817</v>
      </c>
    </row>
    <row r="488" spans="1:10" x14ac:dyDescent="0.25">
      <c r="A488" s="51">
        <v>43217</v>
      </c>
      <c r="C488" s="49" t="s">
        <v>1831</v>
      </c>
      <c r="D488" s="49" t="s">
        <v>51</v>
      </c>
      <c r="F488" s="49" t="str">
        <f>IFERROR(IF(Tabla1[[#This Row],[CONCEPTO mx]]="","",VLOOKUP(Tabla1[[#This Row],[CONCEPTO mx]],Tabla2[#All],2,0)),"")</f>
        <v/>
      </c>
      <c r="G488" s="49" t="str">
        <f>IFERROR(IF(Tabla1[[#This Row],[CONCEPTO mx]]="","",VLOOKUP(Tabla1[[#This Row],[CONCEPTO mx]],Tabla2[#All],3,0)),"")</f>
        <v/>
      </c>
      <c r="H488" s="49" t="s">
        <v>334</v>
      </c>
      <c r="I488" s="49" t="s">
        <v>2298</v>
      </c>
      <c r="J488" s="53" t="s">
        <v>2351</v>
      </c>
    </row>
    <row r="489" spans="1:10" x14ac:dyDescent="0.25">
      <c r="A489" s="51">
        <v>43220</v>
      </c>
      <c r="C489" s="49" t="s">
        <v>1839</v>
      </c>
      <c r="E489" s="49" t="s">
        <v>2355</v>
      </c>
      <c r="F489" s="49" t="str">
        <f>IFERROR(IF(Tabla1[[#This Row],[CONCEPTO mx]]="","",VLOOKUP(Tabla1[[#This Row],[CONCEPTO mx]],Tabla2[#All],2,0)),"")</f>
        <v>CM13</v>
      </c>
      <c r="G489" s="49" t="str">
        <f>IFERROR(IF(Tabla1[[#This Row],[CONCEPTO mx]]="","",VLOOKUP(Tabla1[[#This Row],[CONCEPTO mx]],Tabla2[#All],3,0)),"")</f>
        <v>Gestión Humana</v>
      </c>
      <c r="I489" s="49" t="s">
        <v>2298</v>
      </c>
      <c r="J489" s="53" t="s">
        <v>2820</v>
      </c>
    </row>
    <row r="490" spans="1:10" x14ac:dyDescent="0.25">
      <c r="A490" s="51">
        <v>43220</v>
      </c>
      <c r="C490" s="49" t="s">
        <v>1840</v>
      </c>
      <c r="D490" s="49" t="s">
        <v>51</v>
      </c>
      <c r="F490" s="49" t="str">
        <f>IFERROR(IF(Tabla1[[#This Row],[CONCEPTO mx]]="","",VLOOKUP(Tabla1[[#This Row],[CONCEPTO mx]],Tabla2[#All],2,0)),"")</f>
        <v/>
      </c>
      <c r="G490" s="49" t="str">
        <f>IFERROR(IF(Tabla1[[#This Row],[CONCEPTO mx]]="","",VLOOKUP(Tabla1[[#This Row],[CONCEPTO mx]],Tabla2[#All],3,0)),"")</f>
        <v/>
      </c>
      <c r="I490" s="49" t="s">
        <v>2298</v>
      </c>
      <c r="J490" s="53" t="s">
        <v>2820</v>
      </c>
    </row>
    <row r="491" spans="1:10" x14ac:dyDescent="0.25">
      <c r="A491" s="51">
        <v>43220</v>
      </c>
      <c r="C491" s="49" t="s">
        <v>1843</v>
      </c>
      <c r="D491" s="49" t="s">
        <v>51</v>
      </c>
      <c r="F491" s="49" t="str">
        <f>IFERROR(IF(Tabla1[[#This Row],[CONCEPTO mx]]="","",VLOOKUP(Tabla1[[#This Row],[CONCEPTO mx]],Tabla2[#All],2,0)),"")</f>
        <v/>
      </c>
      <c r="G491" s="49" t="str">
        <f>IFERROR(IF(Tabla1[[#This Row],[CONCEPTO mx]]="","",VLOOKUP(Tabla1[[#This Row],[CONCEPTO mx]],Tabla2[#All],3,0)),"")</f>
        <v/>
      </c>
      <c r="I491" s="49" t="s">
        <v>2298</v>
      </c>
      <c r="J491" s="53" t="s">
        <v>2821</v>
      </c>
    </row>
    <row r="492" spans="1:10" x14ac:dyDescent="0.25">
      <c r="A492" s="51">
        <v>43220</v>
      </c>
      <c r="C492" s="49" t="s">
        <v>1841</v>
      </c>
      <c r="D492" s="49" t="s">
        <v>2273</v>
      </c>
      <c r="F492" s="49" t="str">
        <f>IFERROR(IF(Tabla1[[#This Row],[CONCEPTO mx]]="","",VLOOKUP(Tabla1[[#This Row],[CONCEPTO mx]],Tabla2[#All],2,0)),"")</f>
        <v/>
      </c>
      <c r="G492" s="49" t="str">
        <f>IFERROR(IF(Tabla1[[#This Row],[CONCEPTO mx]]="","",VLOOKUP(Tabla1[[#This Row],[CONCEPTO mx]],Tabla2[#All],3,0)),"")</f>
        <v/>
      </c>
      <c r="I492" s="49" t="s">
        <v>2298</v>
      </c>
      <c r="J492" s="53" t="s">
        <v>2821</v>
      </c>
    </row>
    <row r="493" spans="1:10" x14ac:dyDescent="0.25">
      <c r="A493" s="51">
        <v>43220</v>
      </c>
      <c r="C493" s="49" t="s">
        <v>1842</v>
      </c>
      <c r="D493" s="49" t="s">
        <v>51</v>
      </c>
      <c r="F493" s="49" t="str">
        <f>IFERROR(IF(Tabla1[[#This Row],[CONCEPTO mx]]="","",VLOOKUP(Tabla1[[#This Row],[CONCEPTO mx]],Tabla2[#All],2,0)),"")</f>
        <v/>
      </c>
      <c r="G493" s="49" t="str">
        <f>IFERROR(IF(Tabla1[[#This Row],[CONCEPTO mx]]="","",VLOOKUP(Tabla1[[#This Row],[CONCEPTO mx]],Tabla2[#All],3,0)),"")</f>
        <v/>
      </c>
      <c r="I493" s="49" t="s">
        <v>2298</v>
      </c>
      <c r="J493" s="53" t="s">
        <v>2821</v>
      </c>
    </row>
    <row r="494" spans="1:10" x14ac:dyDescent="0.25">
      <c r="A494" s="51">
        <v>43222</v>
      </c>
      <c r="C494" s="49" t="s">
        <v>1847</v>
      </c>
      <c r="E494" s="49" t="s">
        <v>2355</v>
      </c>
      <c r="F494" s="49" t="str">
        <f>IFERROR(IF(Tabla1[[#This Row],[CONCEPTO mx]]="","",VLOOKUP(Tabla1[[#This Row],[CONCEPTO mx]],Tabla2[#All],2,0)),"")</f>
        <v>CM13</v>
      </c>
      <c r="G494" s="49" t="str">
        <f>IFERROR(IF(Tabla1[[#This Row],[CONCEPTO mx]]="","",VLOOKUP(Tabla1[[#This Row],[CONCEPTO mx]],Tabla2[#All],3,0)),"")</f>
        <v>Gestión Humana</v>
      </c>
      <c r="H494" s="49" t="s">
        <v>438</v>
      </c>
      <c r="I494" s="49" t="s">
        <v>2298</v>
      </c>
      <c r="J494" s="53" t="s">
        <v>2823</v>
      </c>
    </row>
    <row r="495" spans="1:10" x14ac:dyDescent="0.25">
      <c r="A495" s="51">
        <v>43222</v>
      </c>
      <c r="C495" s="49" t="s">
        <v>1846</v>
      </c>
      <c r="D495" s="49" t="s">
        <v>51</v>
      </c>
      <c r="F495" s="49" t="str">
        <f>IFERROR(IF(Tabla1[[#This Row],[CONCEPTO mx]]="","",VLOOKUP(Tabla1[[#This Row],[CONCEPTO mx]],Tabla2[#All],2,0)),"")</f>
        <v/>
      </c>
      <c r="G495" s="49" t="str">
        <f>IFERROR(IF(Tabla1[[#This Row],[CONCEPTO mx]]="","",VLOOKUP(Tabla1[[#This Row],[CONCEPTO mx]],Tabla2[#All],3,0)),"")</f>
        <v/>
      </c>
      <c r="H495" s="49" t="s">
        <v>486</v>
      </c>
      <c r="I495" s="49" t="s">
        <v>2298</v>
      </c>
      <c r="J495" s="53" t="s">
        <v>2788</v>
      </c>
    </row>
    <row r="496" spans="1:10" x14ac:dyDescent="0.25">
      <c r="A496" s="51">
        <v>43222</v>
      </c>
      <c r="C496" s="49" t="s">
        <v>1844</v>
      </c>
      <c r="D496" s="49" t="s">
        <v>51</v>
      </c>
      <c r="E496" s="49" t="s">
        <v>3315</v>
      </c>
      <c r="F496" s="49" t="str">
        <f>IFERROR(IF(Tabla1[[#This Row],[CONCEPTO mx]]="","",VLOOKUP(Tabla1[[#This Row],[CONCEPTO mx]],Tabla2[#All],2,0)),"")</f>
        <v>CM40</v>
      </c>
      <c r="G496" s="49" t="str">
        <f>IFERROR(IF(Tabla1[[#This Row],[CONCEPTO mx]]="","",VLOOKUP(Tabla1[[#This Row],[CONCEPTO mx]],Tabla2[#All],3,0)),"")</f>
        <v>SST</v>
      </c>
      <c r="H496" s="49" t="s">
        <v>486</v>
      </c>
      <c r="I496" s="49" t="s">
        <v>2298</v>
      </c>
      <c r="J496" s="53" t="s">
        <v>2788</v>
      </c>
    </row>
    <row r="497" spans="1:10" x14ac:dyDescent="0.25">
      <c r="A497" s="51">
        <v>43222</v>
      </c>
      <c r="C497" s="49" t="s">
        <v>1845</v>
      </c>
      <c r="D497" s="49" t="s">
        <v>2273</v>
      </c>
      <c r="F497" s="49" t="str">
        <f>IFERROR(IF(Tabla1[[#This Row],[CONCEPTO mx]]="","",VLOOKUP(Tabla1[[#This Row],[CONCEPTO mx]],Tabla2[#All],2,0)),"")</f>
        <v/>
      </c>
      <c r="G497" s="49" t="str">
        <f>IFERROR(IF(Tabla1[[#This Row],[CONCEPTO mx]]="","",VLOOKUP(Tabla1[[#This Row],[CONCEPTO mx]],Tabla2[#All],3,0)),"")</f>
        <v/>
      </c>
      <c r="H497" s="49" t="s">
        <v>438</v>
      </c>
      <c r="I497" s="49" t="s">
        <v>2298</v>
      </c>
      <c r="J497" s="53" t="s">
        <v>2822</v>
      </c>
    </row>
    <row r="498" spans="1:10" x14ac:dyDescent="0.25">
      <c r="A498" s="51">
        <v>43222</v>
      </c>
      <c r="C498" s="49" t="s">
        <v>1848</v>
      </c>
      <c r="D498" s="49" t="s">
        <v>51</v>
      </c>
      <c r="F498" s="49" t="str">
        <f>IFERROR(IF(Tabla1[[#This Row],[CONCEPTO mx]]="","",VLOOKUP(Tabla1[[#This Row],[CONCEPTO mx]],Tabla2[#All],2,0)),"")</f>
        <v/>
      </c>
      <c r="G498" s="49" t="str">
        <f>IFERROR(IF(Tabla1[[#This Row],[CONCEPTO mx]]="","",VLOOKUP(Tabla1[[#This Row],[CONCEPTO mx]],Tabla2[#All],3,0)),"")</f>
        <v/>
      </c>
      <c r="H498" s="49" t="s">
        <v>352</v>
      </c>
      <c r="I498" s="49" t="s">
        <v>2330</v>
      </c>
      <c r="J498" s="53"/>
    </row>
    <row r="499" spans="1:10" x14ac:dyDescent="0.25">
      <c r="A499" s="51">
        <v>43224</v>
      </c>
      <c r="C499" s="49" t="s">
        <v>1849</v>
      </c>
      <c r="D499" s="49" t="s">
        <v>51</v>
      </c>
      <c r="E499" s="49" t="s">
        <v>3315</v>
      </c>
      <c r="F499" s="49" t="str">
        <f>IFERROR(IF(Tabla1[[#This Row],[CONCEPTO mx]]="","",VLOOKUP(Tabla1[[#This Row],[CONCEPTO mx]],Tabla2[#All],2,0)),"")</f>
        <v>CM40</v>
      </c>
      <c r="G499" s="49" t="str">
        <f>IFERROR(IF(Tabla1[[#This Row],[CONCEPTO mx]]="","",VLOOKUP(Tabla1[[#This Row],[CONCEPTO mx]],Tabla2[#All],3,0)),"")</f>
        <v>SST</v>
      </c>
      <c r="H499" s="49" t="s">
        <v>2393</v>
      </c>
      <c r="I499" s="49" t="s">
        <v>2298</v>
      </c>
      <c r="J499" s="53" t="s">
        <v>2824</v>
      </c>
    </row>
    <row r="500" spans="1:10" x14ac:dyDescent="0.25">
      <c r="A500" s="51">
        <v>43224</v>
      </c>
      <c r="C500" s="49" t="s">
        <v>1851</v>
      </c>
      <c r="D500" s="49" t="s">
        <v>51</v>
      </c>
      <c r="F500" s="49" t="str">
        <f>IFERROR(IF(Tabla1[[#This Row],[CONCEPTO mx]]="","",VLOOKUP(Tabla1[[#This Row],[CONCEPTO mx]],Tabla2[#All],2,0)),"")</f>
        <v/>
      </c>
      <c r="G500" s="49" t="str">
        <f>IFERROR(IF(Tabla1[[#This Row],[CONCEPTO mx]]="","",VLOOKUP(Tabla1[[#This Row],[CONCEPTO mx]],Tabla2[#All],3,0)),"")</f>
        <v/>
      </c>
      <c r="H500" s="49" t="s">
        <v>438</v>
      </c>
      <c r="I500" s="49" t="s">
        <v>2298</v>
      </c>
      <c r="J500" s="53" t="s">
        <v>2825</v>
      </c>
    </row>
    <row r="501" spans="1:10" x14ac:dyDescent="0.25">
      <c r="A501" s="51">
        <v>43224</v>
      </c>
      <c r="C501" s="49" t="s">
        <v>1850</v>
      </c>
      <c r="D501" s="49" t="s">
        <v>2273</v>
      </c>
      <c r="F501" s="49" t="str">
        <f>IFERROR(IF(Tabla1[[#This Row],[CONCEPTO mx]]="","",VLOOKUP(Tabla1[[#This Row],[CONCEPTO mx]],Tabla2[#All],2,0)),"")</f>
        <v/>
      </c>
      <c r="G501" s="49" t="str">
        <f>IFERROR(IF(Tabla1[[#This Row],[CONCEPTO mx]]="","",VLOOKUP(Tabla1[[#This Row],[CONCEPTO mx]],Tabla2[#All],3,0)),"")</f>
        <v/>
      </c>
      <c r="H501" s="49" t="s">
        <v>438</v>
      </c>
      <c r="I501" s="49" t="s">
        <v>2298</v>
      </c>
      <c r="J501" s="53" t="s">
        <v>2820</v>
      </c>
    </row>
    <row r="502" spans="1:10" x14ac:dyDescent="0.25">
      <c r="A502" s="51">
        <v>43224</v>
      </c>
      <c r="C502" s="49" t="s">
        <v>1853</v>
      </c>
      <c r="D502" s="49" t="s">
        <v>51</v>
      </c>
      <c r="F502" s="49" t="str">
        <f>IFERROR(IF(Tabla1[[#This Row],[CONCEPTO mx]]="","",VLOOKUP(Tabla1[[#This Row],[CONCEPTO mx]],Tabla2[#All],2,0)),"")</f>
        <v/>
      </c>
      <c r="G502" s="49" t="str">
        <f>IFERROR(IF(Tabla1[[#This Row],[CONCEPTO mx]]="","",VLOOKUP(Tabla1[[#This Row],[CONCEPTO mx]],Tabla2[#All],3,0)),"")</f>
        <v/>
      </c>
      <c r="H502" s="49" t="s">
        <v>2393</v>
      </c>
      <c r="I502" s="49" t="s">
        <v>2298</v>
      </c>
      <c r="J502" s="53" t="s">
        <v>2827</v>
      </c>
    </row>
    <row r="503" spans="1:10" x14ac:dyDescent="0.25">
      <c r="A503" s="51">
        <v>43224</v>
      </c>
      <c r="C503" s="49" t="s">
        <v>1852</v>
      </c>
      <c r="D503" s="49" t="s">
        <v>51</v>
      </c>
      <c r="F503" s="49" t="str">
        <f>IFERROR(IF(Tabla1[[#This Row],[CONCEPTO mx]]="","",VLOOKUP(Tabla1[[#This Row],[CONCEPTO mx]],Tabla2[#All],2,0)),"")</f>
        <v/>
      </c>
      <c r="G503" s="49" t="str">
        <f>IFERROR(IF(Tabla1[[#This Row],[CONCEPTO mx]]="","",VLOOKUP(Tabla1[[#This Row],[CONCEPTO mx]],Tabla2[#All],3,0)),"")</f>
        <v/>
      </c>
      <c r="H503" s="49" t="s">
        <v>486</v>
      </c>
      <c r="I503" s="49" t="s">
        <v>2298</v>
      </c>
      <c r="J503" s="53" t="s">
        <v>2826</v>
      </c>
    </row>
    <row r="504" spans="1:10" x14ac:dyDescent="0.25">
      <c r="A504" s="51">
        <v>43230</v>
      </c>
      <c r="C504" s="49" t="s">
        <v>1854</v>
      </c>
      <c r="D504" s="49" t="s">
        <v>51</v>
      </c>
      <c r="F504" s="49" t="str">
        <f>IFERROR(IF(Tabla1[[#This Row],[CONCEPTO mx]]="","",VLOOKUP(Tabla1[[#This Row],[CONCEPTO mx]],Tabla2[#All],2,0)),"")</f>
        <v/>
      </c>
      <c r="G504" s="49" t="str">
        <f>IFERROR(IF(Tabla1[[#This Row],[CONCEPTO mx]]="","",VLOOKUP(Tabla1[[#This Row],[CONCEPTO mx]],Tabla2[#All],3,0)),"")</f>
        <v/>
      </c>
      <c r="H504" s="49" t="s">
        <v>542</v>
      </c>
      <c r="I504" s="49" t="s">
        <v>2339</v>
      </c>
      <c r="J504" s="53"/>
    </row>
    <row r="505" spans="1:10" x14ac:dyDescent="0.25">
      <c r="A505" s="51">
        <v>43231</v>
      </c>
      <c r="C505" s="49" t="s">
        <v>1855</v>
      </c>
      <c r="D505" s="49" t="s">
        <v>51</v>
      </c>
      <c r="F505" s="49" t="str">
        <f>IFERROR(IF(Tabla1[[#This Row],[CONCEPTO mx]]="","",VLOOKUP(Tabla1[[#This Row],[CONCEPTO mx]],Tabla2[#All],2,0)),"")</f>
        <v/>
      </c>
      <c r="G505" s="49" t="str">
        <f>IFERROR(IF(Tabla1[[#This Row],[CONCEPTO mx]]="","",VLOOKUP(Tabla1[[#This Row],[CONCEPTO mx]],Tabla2[#All],3,0)),"")</f>
        <v/>
      </c>
      <c r="I505" s="49" t="s">
        <v>2339</v>
      </c>
      <c r="J505" s="53"/>
    </row>
    <row r="506" spans="1:10" x14ac:dyDescent="0.25">
      <c r="A506" s="51">
        <v>43232</v>
      </c>
      <c r="C506" s="49" t="s">
        <v>1856</v>
      </c>
      <c r="D506" s="49" t="s">
        <v>51</v>
      </c>
      <c r="E506" s="49" t="s">
        <v>3315</v>
      </c>
      <c r="F506" s="49" t="str">
        <f>IFERROR(IF(Tabla1[[#This Row],[CONCEPTO mx]]="","",VLOOKUP(Tabla1[[#This Row],[CONCEPTO mx]],Tabla2[#All],2,0)),"")</f>
        <v>CM40</v>
      </c>
      <c r="G506" s="49" t="str">
        <f>IFERROR(IF(Tabla1[[#This Row],[CONCEPTO mx]]="","",VLOOKUP(Tabla1[[#This Row],[CONCEPTO mx]],Tabla2[#All],3,0)),"")</f>
        <v>SST</v>
      </c>
      <c r="H506" s="49" t="s">
        <v>542</v>
      </c>
      <c r="I506" s="49" t="s">
        <v>2339</v>
      </c>
      <c r="J506" s="53"/>
    </row>
    <row r="507" spans="1:10" x14ac:dyDescent="0.25">
      <c r="A507" s="51">
        <v>43235</v>
      </c>
      <c r="C507" s="49" t="s">
        <v>1857</v>
      </c>
      <c r="D507" s="49" t="s">
        <v>51</v>
      </c>
      <c r="F507" s="49" t="str">
        <f>IFERROR(IF(Tabla1[[#This Row],[CONCEPTO mx]]="","",VLOOKUP(Tabla1[[#This Row],[CONCEPTO mx]],Tabla2[#All],2,0)),"")</f>
        <v/>
      </c>
      <c r="G507" s="49" t="str">
        <f>IFERROR(IF(Tabla1[[#This Row],[CONCEPTO mx]]="","",VLOOKUP(Tabla1[[#This Row],[CONCEPTO mx]],Tabla2[#All],3,0)),"")</f>
        <v/>
      </c>
      <c r="H507" s="49" t="s">
        <v>542</v>
      </c>
      <c r="I507" s="49" t="s">
        <v>2339</v>
      </c>
      <c r="J507" s="53"/>
    </row>
    <row r="508" spans="1:10" x14ac:dyDescent="0.25">
      <c r="A508" s="51">
        <v>43236</v>
      </c>
      <c r="C508" s="49" t="s">
        <v>1815</v>
      </c>
      <c r="D508" s="49" t="s">
        <v>51</v>
      </c>
      <c r="F508" s="49" t="str">
        <f>IFERROR(IF(Tabla1[[#This Row],[CONCEPTO mx]]="","",VLOOKUP(Tabla1[[#This Row],[CONCEPTO mx]],Tabla2[#All],2,0)),"")</f>
        <v/>
      </c>
      <c r="G508" s="49" t="str">
        <f>IFERROR(IF(Tabla1[[#This Row],[CONCEPTO mx]]="","",VLOOKUP(Tabla1[[#This Row],[CONCEPTO mx]],Tabla2[#All],3,0)),"")</f>
        <v/>
      </c>
      <c r="H508" s="49" t="s">
        <v>2393</v>
      </c>
      <c r="I508" s="49" t="s">
        <v>2339</v>
      </c>
      <c r="J508" s="53"/>
    </row>
    <row r="509" spans="1:10" x14ac:dyDescent="0.25">
      <c r="A509" s="51">
        <v>43243</v>
      </c>
      <c r="C509" s="49" t="s">
        <v>1858</v>
      </c>
      <c r="D509" s="49" t="s">
        <v>51</v>
      </c>
      <c r="E509" s="49" t="s">
        <v>3315</v>
      </c>
      <c r="F509" s="49" t="str">
        <f>IFERROR(IF(Tabla1[[#This Row],[CONCEPTO mx]]="","",VLOOKUP(Tabla1[[#This Row],[CONCEPTO mx]],Tabla2[#All],2,0)),"")</f>
        <v>CM40</v>
      </c>
      <c r="G509" s="49" t="str">
        <f>IFERROR(IF(Tabla1[[#This Row],[CONCEPTO mx]]="","",VLOOKUP(Tabla1[[#This Row],[CONCEPTO mx]],Tabla2[#All],3,0)),"")</f>
        <v>SST</v>
      </c>
      <c r="H509" s="49" t="s">
        <v>2396</v>
      </c>
      <c r="I509" s="49" t="s">
        <v>2316</v>
      </c>
      <c r="J509" s="53"/>
    </row>
    <row r="510" spans="1:10" x14ac:dyDescent="0.25">
      <c r="A510" s="51">
        <v>43245</v>
      </c>
      <c r="C510" s="49" t="s">
        <v>1860</v>
      </c>
      <c r="D510" s="49" t="s">
        <v>51</v>
      </c>
      <c r="F510" s="49" t="str">
        <f>IFERROR(IF(Tabla1[[#This Row],[CONCEPTO mx]]="","",VLOOKUP(Tabla1[[#This Row],[CONCEPTO mx]],Tabla2[#All],2,0)),"")</f>
        <v/>
      </c>
      <c r="G510" s="49" t="str">
        <f>IFERROR(IF(Tabla1[[#This Row],[CONCEPTO mx]]="","",VLOOKUP(Tabla1[[#This Row],[CONCEPTO mx]],Tabla2[#All],3,0)),"")</f>
        <v/>
      </c>
      <c r="H510" s="49" t="s">
        <v>352</v>
      </c>
      <c r="I510" s="49" t="s">
        <v>2339</v>
      </c>
      <c r="J510" s="53"/>
    </row>
    <row r="511" spans="1:10" x14ac:dyDescent="0.25">
      <c r="A511" s="51">
        <v>43245</v>
      </c>
      <c r="C511" s="49" t="s">
        <v>1861</v>
      </c>
      <c r="D511" s="49" t="s">
        <v>51</v>
      </c>
      <c r="F511" s="49" t="str">
        <f>IFERROR(IF(Tabla1[[#This Row],[CONCEPTO mx]]="","",VLOOKUP(Tabla1[[#This Row],[CONCEPTO mx]],Tabla2[#All],2,0)),"")</f>
        <v/>
      </c>
      <c r="G511" s="49" t="str">
        <f>IFERROR(IF(Tabla1[[#This Row],[CONCEPTO mx]]="","",VLOOKUP(Tabla1[[#This Row],[CONCEPTO mx]],Tabla2[#All],3,0)),"")</f>
        <v/>
      </c>
      <c r="H511" s="49" t="s">
        <v>438</v>
      </c>
      <c r="I511" s="49" t="s">
        <v>2339</v>
      </c>
      <c r="J511" s="53"/>
    </row>
    <row r="512" spans="1:10" x14ac:dyDescent="0.25">
      <c r="A512" s="51">
        <v>43245</v>
      </c>
      <c r="C512" s="49" t="s">
        <v>1859</v>
      </c>
      <c r="D512" s="49" t="s">
        <v>51</v>
      </c>
      <c r="E512" s="49" t="s">
        <v>3315</v>
      </c>
      <c r="F512" s="49" t="str">
        <f>IFERROR(IF(Tabla1[[#This Row],[CONCEPTO mx]]="","",VLOOKUP(Tabla1[[#This Row],[CONCEPTO mx]],Tabla2[#All],2,0)),"")</f>
        <v>CM40</v>
      </c>
      <c r="G512" s="49" t="str">
        <f>IFERROR(IF(Tabla1[[#This Row],[CONCEPTO mx]]="","",VLOOKUP(Tabla1[[#This Row],[CONCEPTO mx]],Tabla2[#All],3,0)),"")</f>
        <v>SST</v>
      </c>
      <c r="H512" s="49" t="s">
        <v>2391</v>
      </c>
      <c r="I512" s="49" t="s">
        <v>2339</v>
      </c>
      <c r="J512" s="53"/>
    </row>
    <row r="513" spans="1:10" x14ac:dyDescent="0.25">
      <c r="A513" s="51">
        <v>43245</v>
      </c>
      <c r="C513" s="49" t="s">
        <v>1862</v>
      </c>
      <c r="D513" s="49" t="s">
        <v>51</v>
      </c>
      <c r="F513" s="49" t="str">
        <f>IFERROR(IF(Tabla1[[#This Row],[CONCEPTO mx]]="","",VLOOKUP(Tabla1[[#This Row],[CONCEPTO mx]],Tabla2[#All],2,0)),"")</f>
        <v/>
      </c>
      <c r="G513" s="49" t="str">
        <f>IFERROR(IF(Tabla1[[#This Row],[CONCEPTO mx]]="","",VLOOKUP(Tabla1[[#This Row],[CONCEPTO mx]],Tabla2[#All],3,0)),"")</f>
        <v/>
      </c>
      <c r="H513" s="49" t="s">
        <v>2391</v>
      </c>
      <c r="I513" s="49" t="s">
        <v>2339</v>
      </c>
      <c r="J513" s="53"/>
    </row>
    <row r="514" spans="1:10" x14ac:dyDescent="0.25">
      <c r="A514" s="51">
        <v>43248</v>
      </c>
      <c r="C514" s="49" t="s">
        <v>1863</v>
      </c>
      <c r="D514" s="49" t="s">
        <v>51</v>
      </c>
      <c r="E514" s="49" t="s">
        <v>3315</v>
      </c>
      <c r="F514" s="49" t="str">
        <f>IFERROR(IF(Tabla1[[#This Row],[CONCEPTO mx]]="","",VLOOKUP(Tabla1[[#This Row],[CONCEPTO mx]],Tabla2[#All],2,0)),"")</f>
        <v>CM40</v>
      </c>
      <c r="G514" s="49" t="str">
        <f>IFERROR(IF(Tabla1[[#This Row],[CONCEPTO mx]]="","",VLOOKUP(Tabla1[[#This Row],[CONCEPTO mx]],Tabla2[#All],3,0)),"")</f>
        <v>SST</v>
      </c>
      <c r="H514" s="49" t="s">
        <v>2391</v>
      </c>
      <c r="I514" s="49" t="s">
        <v>2339</v>
      </c>
      <c r="J514" s="53"/>
    </row>
    <row r="515" spans="1:10" x14ac:dyDescent="0.25">
      <c r="A515" s="51">
        <v>43248</v>
      </c>
      <c r="C515" s="49" t="s">
        <v>1864</v>
      </c>
      <c r="D515" s="49" t="s">
        <v>51</v>
      </c>
      <c r="F515" s="49" t="str">
        <f>IFERROR(IF(Tabla1[[#This Row],[CONCEPTO mx]]="","",VLOOKUP(Tabla1[[#This Row],[CONCEPTO mx]],Tabla2[#All],2,0)),"")</f>
        <v/>
      </c>
      <c r="G515" s="49" t="str">
        <f>IFERROR(IF(Tabla1[[#This Row],[CONCEPTO mx]]="","",VLOOKUP(Tabla1[[#This Row],[CONCEPTO mx]],Tabla2[#All],3,0)),"")</f>
        <v/>
      </c>
      <c r="H515" s="49" t="s">
        <v>388</v>
      </c>
      <c r="I515" s="49" t="s">
        <v>2339</v>
      </c>
      <c r="J515" s="53"/>
    </row>
    <row r="516" spans="1:10" x14ac:dyDescent="0.25">
      <c r="A516" s="51">
        <v>43249</v>
      </c>
      <c r="C516" s="49" t="s">
        <v>1868</v>
      </c>
      <c r="D516" s="49" t="s">
        <v>51</v>
      </c>
      <c r="F516" s="49" t="str">
        <f>IFERROR(IF(Tabla1[[#This Row],[CONCEPTO mx]]="","",VLOOKUP(Tabla1[[#This Row],[CONCEPTO mx]],Tabla2[#All],2,0)),"")</f>
        <v/>
      </c>
      <c r="G516" s="49" t="str">
        <f>IFERROR(IF(Tabla1[[#This Row],[CONCEPTO mx]]="","",VLOOKUP(Tabla1[[#This Row],[CONCEPTO mx]],Tabla2[#All],3,0)),"")</f>
        <v/>
      </c>
      <c r="H516" s="49" t="s">
        <v>2391</v>
      </c>
      <c r="I516" s="49" t="s">
        <v>2339</v>
      </c>
      <c r="J516" s="53"/>
    </row>
    <row r="517" spans="1:10" x14ac:dyDescent="0.25">
      <c r="A517" s="51">
        <v>43249</v>
      </c>
      <c r="C517" s="49" t="s">
        <v>1866</v>
      </c>
      <c r="D517" s="49" t="s">
        <v>51</v>
      </c>
      <c r="F517" s="49" t="str">
        <f>IFERROR(IF(Tabla1[[#This Row],[CONCEPTO mx]]="","",VLOOKUP(Tabla1[[#This Row],[CONCEPTO mx]],Tabla2[#All],2,0)),"")</f>
        <v/>
      </c>
      <c r="G517" s="49" t="str">
        <f>IFERROR(IF(Tabla1[[#This Row],[CONCEPTO mx]]="","",VLOOKUP(Tabla1[[#This Row],[CONCEPTO mx]],Tabla2[#All],3,0)),"")</f>
        <v/>
      </c>
      <c r="H517" s="49" t="s">
        <v>628</v>
      </c>
      <c r="I517" s="49" t="s">
        <v>2320</v>
      </c>
      <c r="J517" s="53"/>
    </row>
    <row r="518" spans="1:10" x14ac:dyDescent="0.25">
      <c r="A518" s="51">
        <v>43249</v>
      </c>
      <c r="C518" s="49" t="s">
        <v>1871</v>
      </c>
      <c r="D518" s="49" t="s">
        <v>51</v>
      </c>
      <c r="F518" s="49" t="str">
        <f>IFERROR(IF(Tabla1[[#This Row],[CONCEPTO mx]]="","",VLOOKUP(Tabla1[[#This Row],[CONCEPTO mx]],Tabla2[#All],2,0)),"")</f>
        <v/>
      </c>
      <c r="G518" s="49" t="str">
        <f>IFERROR(IF(Tabla1[[#This Row],[CONCEPTO mx]]="","",VLOOKUP(Tabla1[[#This Row],[CONCEPTO mx]],Tabla2[#All],3,0)),"")</f>
        <v/>
      </c>
      <c r="H518" s="49" t="s">
        <v>628</v>
      </c>
      <c r="I518" s="49" t="s">
        <v>2339</v>
      </c>
      <c r="J518" s="53"/>
    </row>
    <row r="519" spans="1:10" x14ac:dyDescent="0.25">
      <c r="A519" s="51">
        <v>43249</v>
      </c>
      <c r="C519" s="49" t="s">
        <v>1869</v>
      </c>
      <c r="D519" s="49" t="s">
        <v>51</v>
      </c>
      <c r="F519" s="49" t="str">
        <f>IFERROR(IF(Tabla1[[#This Row],[CONCEPTO mx]]="","",VLOOKUP(Tabla1[[#This Row],[CONCEPTO mx]],Tabla2[#All],2,0)),"")</f>
        <v/>
      </c>
      <c r="G519" s="49" t="str">
        <f>IFERROR(IF(Tabla1[[#This Row],[CONCEPTO mx]]="","",VLOOKUP(Tabla1[[#This Row],[CONCEPTO mx]],Tabla2[#All],3,0)),"")</f>
        <v/>
      </c>
      <c r="H519" s="49" t="s">
        <v>2391</v>
      </c>
      <c r="I519" s="49" t="s">
        <v>2339</v>
      </c>
      <c r="J519" s="53"/>
    </row>
    <row r="520" spans="1:10" x14ac:dyDescent="0.25">
      <c r="A520" s="51">
        <v>43249</v>
      </c>
      <c r="C520" s="49" t="s">
        <v>1865</v>
      </c>
      <c r="D520" s="49" t="s">
        <v>51</v>
      </c>
      <c r="F520" s="49" t="str">
        <f>IFERROR(IF(Tabla1[[#This Row],[CONCEPTO mx]]="","",VLOOKUP(Tabla1[[#This Row],[CONCEPTO mx]],Tabla2[#All],2,0)),"")</f>
        <v/>
      </c>
      <c r="G520" s="49" t="str">
        <f>IFERROR(IF(Tabla1[[#This Row],[CONCEPTO mx]]="","",VLOOKUP(Tabla1[[#This Row],[CONCEPTO mx]],Tabla2[#All],3,0)),"")</f>
        <v/>
      </c>
      <c r="H520" s="49" t="s">
        <v>2391</v>
      </c>
      <c r="I520" s="49" t="s">
        <v>2339</v>
      </c>
      <c r="J520" s="53"/>
    </row>
    <row r="521" spans="1:10" x14ac:dyDescent="0.25">
      <c r="A521" s="51">
        <v>43249</v>
      </c>
      <c r="C521" s="49" t="s">
        <v>1872</v>
      </c>
      <c r="D521" s="49" t="s">
        <v>2273</v>
      </c>
      <c r="F521" s="49" t="str">
        <f>IFERROR(IF(Tabla1[[#This Row],[CONCEPTO mx]]="","",VLOOKUP(Tabla1[[#This Row],[CONCEPTO mx]],Tabla2[#All],2,0)),"")</f>
        <v/>
      </c>
      <c r="G521" s="49" t="str">
        <f>IFERROR(IF(Tabla1[[#This Row],[CONCEPTO mx]]="","",VLOOKUP(Tabla1[[#This Row],[CONCEPTO mx]],Tabla2[#All],3,0)),"")</f>
        <v/>
      </c>
      <c r="H521" s="49" t="s">
        <v>387</v>
      </c>
      <c r="I521" s="49" t="s">
        <v>2339</v>
      </c>
      <c r="J521" s="53"/>
    </row>
    <row r="522" spans="1:10" x14ac:dyDescent="0.25">
      <c r="A522" s="51">
        <v>43249</v>
      </c>
      <c r="C522" s="49" t="s">
        <v>1873</v>
      </c>
      <c r="D522" s="49" t="s">
        <v>51</v>
      </c>
      <c r="F522" s="49" t="str">
        <f>IFERROR(IF(Tabla1[[#This Row],[CONCEPTO mx]]="","",VLOOKUP(Tabla1[[#This Row],[CONCEPTO mx]],Tabla2[#All],2,0)),"")</f>
        <v/>
      </c>
      <c r="G522" s="49" t="str">
        <f>IFERROR(IF(Tabla1[[#This Row],[CONCEPTO mx]]="","",VLOOKUP(Tabla1[[#This Row],[CONCEPTO mx]],Tabla2[#All],3,0)),"")</f>
        <v/>
      </c>
      <c r="H522" s="49" t="s">
        <v>628</v>
      </c>
      <c r="I522" s="49" t="s">
        <v>2339</v>
      </c>
      <c r="J522" s="53"/>
    </row>
    <row r="523" spans="1:10" x14ac:dyDescent="0.25">
      <c r="A523" s="51">
        <v>43249</v>
      </c>
      <c r="C523" s="49" t="s">
        <v>1867</v>
      </c>
      <c r="D523" s="49" t="s">
        <v>51</v>
      </c>
      <c r="F523" s="49" t="str">
        <f>IFERROR(IF(Tabla1[[#This Row],[CONCEPTO mx]]="","",VLOOKUP(Tabla1[[#This Row],[CONCEPTO mx]],Tabla2[#All],2,0)),"")</f>
        <v/>
      </c>
      <c r="G523" s="49" t="str">
        <f>IFERROR(IF(Tabla1[[#This Row],[CONCEPTO mx]]="","",VLOOKUP(Tabla1[[#This Row],[CONCEPTO mx]],Tabla2[#All],3,0)),"")</f>
        <v/>
      </c>
      <c r="H523" s="49" t="s">
        <v>2393</v>
      </c>
      <c r="I523" s="49" t="s">
        <v>2339</v>
      </c>
      <c r="J523" s="53"/>
    </row>
    <row r="524" spans="1:10" x14ac:dyDescent="0.25">
      <c r="A524" s="51">
        <v>43249</v>
      </c>
      <c r="C524" s="49" t="s">
        <v>1870</v>
      </c>
      <c r="D524" s="49" t="s">
        <v>51</v>
      </c>
      <c r="E524" s="49" t="s">
        <v>3315</v>
      </c>
      <c r="F524" s="49" t="str">
        <f>IFERROR(IF(Tabla1[[#This Row],[CONCEPTO mx]]="","",VLOOKUP(Tabla1[[#This Row],[CONCEPTO mx]],Tabla2[#All],2,0)),"")</f>
        <v>CM40</v>
      </c>
      <c r="G524" s="49" t="str">
        <f>IFERROR(IF(Tabla1[[#This Row],[CONCEPTO mx]]="","",VLOOKUP(Tabla1[[#This Row],[CONCEPTO mx]],Tabla2[#All],3,0)),"")</f>
        <v>SST</v>
      </c>
      <c r="H524" s="49" t="s">
        <v>388</v>
      </c>
      <c r="I524" s="49" t="s">
        <v>2320</v>
      </c>
      <c r="J524" s="53"/>
    </row>
    <row r="525" spans="1:10" x14ac:dyDescent="0.25">
      <c r="A525" s="51">
        <v>43251</v>
      </c>
      <c r="C525" s="49" t="s">
        <v>1874</v>
      </c>
      <c r="D525" s="49" t="s">
        <v>51</v>
      </c>
      <c r="F525" s="49" t="str">
        <f>IFERROR(IF(Tabla1[[#This Row],[CONCEPTO mx]]="","",VLOOKUP(Tabla1[[#This Row],[CONCEPTO mx]],Tabla2[#All],2,0)),"")</f>
        <v/>
      </c>
      <c r="G525" s="49" t="str">
        <f>IFERROR(IF(Tabla1[[#This Row],[CONCEPTO mx]]="","",VLOOKUP(Tabla1[[#This Row],[CONCEPTO mx]],Tabla2[#All],3,0)),"")</f>
        <v/>
      </c>
      <c r="H525" s="49" t="s">
        <v>438</v>
      </c>
      <c r="I525" s="49" t="s">
        <v>2298</v>
      </c>
      <c r="J525" s="53" t="s">
        <v>2828</v>
      </c>
    </row>
    <row r="526" spans="1:10" x14ac:dyDescent="0.25">
      <c r="A526" s="51">
        <v>43251</v>
      </c>
      <c r="C526" s="49" t="s">
        <v>1879</v>
      </c>
      <c r="D526" s="49" t="s">
        <v>51</v>
      </c>
      <c r="F526" s="49" t="str">
        <f>IFERROR(IF(Tabla1[[#This Row],[CONCEPTO mx]]="","",VLOOKUP(Tabla1[[#This Row],[CONCEPTO mx]],Tabla2[#All],2,0)),"")</f>
        <v/>
      </c>
      <c r="G526" s="49" t="str">
        <f>IFERROR(IF(Tabla1[[#This Row],[CONCEPTO mx]]="","",VLOOKUP(Tabla1[[#This Row],[CONCEPTO mx]],Tabla2[#All],3,0)),"")</f>
        <v/>
      </c>
      <c r="H526" s="49" t="s">
        <v>628</v>
      </c>
      <c r="I526" s="49" t="s">
        <v>2339</v>
      </c>
      <c r="J526" s="53"/>
    </row>
    <row r="527" spans="1:10" x14ac:dyDescent="0.25">
      <c r="A527" s="51">
        <v>43251</v>
      </c>
      <c r="C527" s="49" t="s">
        <v>1878</v>
      </c>
      <c r="D527" s="49" t="s">
        <v>1881</v>
      </c>
      <c r="F527" s="49" t="str">
        <f>IFERROR(IF(Tabla1[[#This Row],[CONCEPTO mx]]="","",VLOOKUP(Tabla1[[#This Row],[CONCEPTO mx]],Tabla2[#All],2,0)),"")</f>
        <v/>
      </c>
      <c r="G527" s="49" t="str">
        <f>IFERROR(IF(Tabla1[[#This Row],[CONCEPTO mx]]="","",VLOOKUP(Tabla1[[#This Row],[CONCEPTO mx]],Tabla2[#All],3,0)),"")</f>
        <v/>
      </c>
      <c r="H527" s="49" t="s">
        <v>2393</v>
      </c>
      <c r="I527" s="49" t="s">
        <v>2339</v>
      </c>
      <c r="J527" s="53"/>
    </row>
    <row r="528" spans="1:10" x14ac:dyDescent="0.25">
      <c r="A528" s="51">
        <v>43251</v>
      </c>
      <c r="C528" s="49" t="s">
        <v>1880</v>
      </c>
      <c r="D528" s="49" t="s">
        <v>51</v>
      </c>
      <c r="F528" s="49" t="str">
        <f>IFERROR(IF(Tabla1[[#This Row],[CONCEPTO mx]]="","",VLOOKUP(Tabla1[[#This Row],[CONCEPTO mx]],Tabla2[#All],2,0)),"")</f>
        <v/>
      </c>
      <c r="G528" s="49" t="str">
        <f>IFERROR(IF(Tabla1[[#This Row],[CONCEPTO mx]]="","",VLOOKUP(Tabla1[[#This Row],[CONCEPTO mx]],Tabla2[#All],3,0)),"")</f>
        <v/>
      </c>
      <c r="H528" s="49" t="s">
        <v>2391</v>
      </c>
      <c r="I528" s="49" t="s">
        <v>2339</v>
      </c>
      <c r="J528" s="53"/>
    </row>
    <row r="529" spans="1:10" x14ac:dyDescent="0.25">
      <c r="A529" s="51">
        <v>43251</v>
      </c>
      <c r="C529" s="49" t="s">
        <v>1877</v>
      </c>
      <c r="D529" s="49" t="s">
        <v>51</v>
      </c>
      <c r="F529" s="49" t="str">
        <f>IFERROR(IF(Tabla1[[#This Row],[CONCEPTO mx]]="","",VLOOKUP(Tabla1[[#This Row],[CONCEPTO mx]],Tabla2[#All],2,0)),"")</f>
        <v/>
      </c>
      <c r="G529" s="49" t="str">
        <f>IFERROR(IF(Tabla1[[#This Row],[CONCEPTO mx]]="","",VLOOKUP(Tabla1[[#This Row],[CONCEPTO mx]],Tabla2[#All],3,0)),"")</f>
        <v/>
      </c>
      <c r="H529" s="49" t="s">
        <v>2393</v>
      </c>
      <c r="I529" s="49" t="s">
        <v>2339</v>
      </c>
      <c r="J529" s="53"/>
    </row>
    <row r="530" spans="1:10" x14ac:dyDescent="0.25">
      <c r="A530" s="51">
        <v>43251</v>
      </c>
      <c r="C530" s="49" t="s">
        <v>1876</v>
      </c>
      <c r="D530" s="49" t="s">
        <v>51</v>
      </c>
      <c r="F530" s="49" t="str">
        <f>IFERROR(IF(Tabla1[[#This Row],[CONCEPTO mx]]="","",VLOOKUP(Tabla1[[#This Row],[CONCEPTO mx]],Tabla2[#All],2,0)),"")</f>
        <v/>
      </c>
      <c r="G530" s="49" t="str">
        <f>IFERROR(IF(Tabla1[[#This Row],[CONCEPTO mx]]="","",VLOOKUP(Tabla1[[#This Row],[CONCEPTO mx]],Tabla2[#All],3,0)),"")</f>
        <v/>
      </c>
      <c r="H530" s="49" t="s">
        <v>2391</v>
      </c>
      <c r="I530" s="49" t="s">
        <v>2339</v>
      </c>
      <c r="J530" s="53"/>
    </row>
    <row r="531" spans="1:10" x14ac:dyDescent="0.25">
      <c r="A531" s="51">
        <v>43251</v>
      </c>
      <c r="C531" s="49" t="s">
        <v>1875</v>
      </c>
      <c r="D531" s="49" t="s">
        <v>51</v>
      </c>
      <c r="F531" s="49" t="str">
        <f>IFERROR(IF(Tabla1[[#This Row],[CONCEPTO mx]]="","",VLOOKUP(Tabla1[[#This Row],[CONCEPTO mx]],Tabla2[#All],2,0)),"")</f>
        <v/>
      </c>
      <c r="G531" s="49" t="str">
        <f>IFERROR(IF(Tabla1[[#This Row],[CONCEPTO mx]]="","",VLOOKUP(Tabla1[[#This Row],[CONCEPTO mx]],Tabla2[#All],3,0)),"")</f>
        <v/>
      </c>
      <c r="H531" s="49" t="s">
        <v>2391</v>
      </c>
      <c r="I531" s="49" t="s">
        <v>2339</v>
      </c>
      <c r="J531" s="53"/>
    </row>
    <row r="532" spans="1:10" x14ac:dyDescent="0.25">
      <c r="A532" s="51">
        <v>43256</v>
      </c>
      <c r="C532" s="49" t="s">
        <v>1882</v>
      </c>
      <c r="D532" s="49" t="s">
        <v>2273</v>
      </c>
      <c r="F532" s="49" t="str">
        <f>IFERROR(IF(Tabla1[[#This Row],[CONCEPTO mx]]="","",VLOOKUP(Tabla1[[#This Row],[CONCEPTO mx]],Tabla2[#All],2,0)),"")</f>
        <v/>
      </c>
      <c r="G532" s="49" t="str">
        <f>IFERROR(IF(Tabla1[[#This Row],[CONCEPTO mx]]="","",VLOOKUP(Tabla1[[#This Row],[CONCEPTO mx]],Tabla2[#All],3,0)),"")</f>
        <v/>
      </c>
      <c r="H532" s="49" t="s">
        <v>387</v>
      </c>
      <c r="I532" s="49" t="s">
        <v>2327</v>
      </c>
      <c r="J532" s="53"/>
    </row>
    <row r="533" spans="1:10" x14ac:dyDescent="0.25">
      <c r="A533" s="51">
        <v>43257</v>
      </c>
      <c r="C533" s="49" t="s">
        <v>1883</v>
      </c>
      <c r="D533" s="49" t="s">
        <v>51</v>
      </c>
      <c r="E533" s="49" t="s">
        <v>3315</v>
      </c>
      <c r="F533" s="49" t="str">
        <f>IFERROR(IF(Tabla1[[#This Row],[CONCEPTO mx]]="","",VLOOKUP(Tabla1[[#This Row],[CONCEPTO mx]],Tabla2[#All],2,0)),"")</f>
        <v>CM40</v>
      </c>
      <c r="G533" s="49" t="str">
        <f>IFERROR(IF(Tabla1[[#This Row],[CONCEPTO mx]]="","",VLOOKUP(Tabla1[[#This Row],[CONCEPTO mx]],Tabla2[#All],3,0)),"")</f>
        <v>SST</v>
      </c>
      <c r="H533" s="49" t="s">
        <v>550</v>
      </c>
      <c r="I533" s="49" t="s">
        <v>2339</v>
      </c>
      <c r="J533" s="53"/>
    </row>
    <row r="534" spans="1:10" x14ac:dyDescent="0.25">
      <c r="A534" s="51">
        <v>43257</v>
      </c>
      <c r="C534" s="49" t="s">
        <v>1884</v>
      </c>
      <c r="D534" s="49" t="s">
        <v>51</v>
      </c>
      <c r="E534" s="49" t="s">
        <v>3315</v>
      </c>
      <c r="F534" s="49" t="str">
        <f>IFERROR(IF(Tabla1[[#This Row],[CONCEPTO mx]]="","",VLOOKUP(Tabla1[[#This Row],[CONCEPTO mx]],Tabla2[#All],2,0)),"")</f>
        <v>CM40</v>
      </c>
      <c r="G534" s="49" t="str">
        <f>IFERROR(IF(Tabla1[[#This Row],[CONCEPTO mx]]="","",VLOOKUP(Tabla1[[#This Row],[CONCEPTO mx]],Tabla2[#All],3,0)),"")</f>
        <v>SST</v>
      </c>
      <c r="H534" s="49" t="s">
        <v>542</v>
      </c>
      <c r="I534" s="49" t="s">
        <v>2328</v>
      </c>
      <c r="J534" s="53"/>
    </row>
    <row r="535" spans="1:10" x14ac:dyDescent="0.25">
      <c r="A535" s="51">
        <v>43258</v>
      </c>
      <c r="C535" s="49" t="s">
        <v>1885</v>
      </c>
      <c r="D535" s="49" t="s">
        <v>2273</v>
      </c>
      <c r="F535" s="49" t="str">
        <f>IFERROR(IF(Tabla1[[#This Row],[CONCEPTO mx]]="","",VLOOKUP(Tabla1[[#This Row],[CONCEPTO mx]],Tabla2[#All],2,0)),"")</f>
        <v/>
      </c>
      <c r="G535" s="49" t="str">
        <f>IFERROR(IF(Tabla1[[#This Row],[CONCEPTO mx]]="","",VLOOKUP(Tabla1[[#This Row],[CONCEPTO mx]],Tabla2[#All],3,0)),"")</f>
        <v/>
      </c>
      <c r="H535" s="49" t="s">
        <v>438</v>
      </c>
      <c r="I535" s="49" t="s">
        <v>2298</v>
      </c>
      <c r="J535" s="53" t="s">
        <v>2829</v>
      </c>
    </row>
    <row r="536" spans="1:10" x14ac:dyDescent="0.25">
      <c r="A536" s="51">
        <v>43259</v>
      </c>
      <c r="C536" s="49" t="s">
        <v>1886</v>
      </c>
      <c r="D536" s="49" t="s">
        <v>51</v>
      </c>
      <c r="F536" s="49" t="str">
        <f>IFERROR(IF(Tabla1[[#This Row],[CONCEPTO mx]]="","",VLOOKUP(Tabla1[[#This Row],[CONCEPTO mx]],Tabla2[#All],2,0)),"")</f>
        <v/>
      </c>
      <c r="G536" s="49" t="str">
        <f>IFERROR(IF(Tabla1[[#This Row],[CONCEPTO mx]]="","",VLOOKUP(Tabla1[[#This Row],[CONCEPTO mx]],Tabla2[#All],3,0)),"")</f>
        <v/>
      </c>
      <c r="H536" s="49" t="s">
        <v>486</v>
      </c>
      <c r="I536" s="49" t="s">
        <v>2298</v>
      </c>
      <c r="J536" s="53" t="s">
        <v>2830</v>
      </c>
    </row>
    <row r="537" spans="1:10" x14ac:dyDescent="0.25">
      <c r="A537" s="51">
        <v>43259</v>
      </c>
      <c r="C537" s="49" t="s">
        <v>1887</v>
      </c>
      <c r="D537" s="49" t="s">
        <v>51</v>
      </c>
      <c r="E537" s="49" t="s">
        <v>3315</v>
      </c>
      <c r="F537" s="49" t="str">
        <f>IFERROR(IF(Tabla1[[#This Row],[CONCEPTO mx]]="","",VLOOKUP(Tabla1[[#This Row],[CONCEPTO mx]],Tabla2[#All],2,0)),"")</f>
        <v>CM40</v>
      </c>
      <c r="G537" s="49" t="str">
        <f>IFERROR(IF(Tabla1[[#This Row],[CONCEPTO mx]]="","",VLOOKUP(Tabla1[[#This Row],[CONCEPTO mx]],Tabla2[#All],3,0)),"")</f>
        <v>SST</v>
      </c>
      <c r="H537" s="49" t="s">
        <v>439</v>
      </c>
      <c r="I537" s="49" t="s">
        <v>2328</v>
      </c>
      <c r="J537" s="53"/>
    </row>
    <row r="538" spans="1:10" x14ac:dyDescent="0.25">
      <c r="A538" s="51">
        <v>43263</v>
      </c>
      <c r="C538" s="49" t="s">
        <v>1890</v>
      </c>
      <c r="D538" s="49" t="s">
        <v>2273</v>
      </c>
      <c r="F538" s="49" t="str">
        <f>IFERROR(IF(Tabla1[[#This Row],[CONCEPTO mx]]="","",VLOOKUP(Tabla1[[#This Row],[CONCEPTO mx]],Tabla2[#All],2,0)),"")</f>
        <v/>
      </c>
      <c r="G538" s="49" t="str">
        <f>IFERROR(IF(Tabla1[[#This Row],[CONCEPTO mx]]="","",VLOOKUP(Tabla1[[#This Row],[CONCEPTO mx]],Tabla2[#All],3,0)),"")</f>
        <v/>
      </c>
      <c r="H538" s="49" t="s">
        <v>406</v>
      </c>
      <c r="I538" s="49" t="s">
        <v>2339</v>
      </c>
      <c r="J538" s="53"/>
    </row>
    <row r="539" spans="1:10" x14ac:dyDescent="0.25">
      <c r="A539" s="51">
        <v>43263</v>
      </c>
      <c r="C539" s="49" t="s">
        <v>1888</v>
      </c>
      <c r="D539" s="49" t="s">
        <v>51</v>
      </c>
      <c r="E539" s="49" t="s">
        <v>3315</v>
      </c>
      <c r="F539" s="49" t="str">
        <f>IFERROR(IF(Tabla1[[#This Row],[CONCEPTO mx]]="","",VLOOKUP(Tabla1[[#This Row],[CONCEPTO mx]],Tabla2[#All],2,0)),"")</f>
        <v>CM40</v>
      </c>
      <c r="G539" s="49" t="str">
        <f>IFERROR(IF(Tabla1[[#This Row],[CONCEPTO mx]]="","",VLOOKUP(Tabla1[[#This Row],[CONCEPTO mx]],Tabla2[#All],3,0)),"")</f>
        <v>SST</v>
      </c>
      <c r="H539" s="49" t="s">
        <v>441</v>
      </c>
      <c r="I539" s="49" t="s">
        <v>2339</v>
      </c>
      <c r="J539" s="53"/>
    </row>
    <row r="540" spans="1:10" x14ac:dyDescent="0.25">
      <c r="A540" s="51">
        <v>43263</v>
      </c>
      <c r="C540" s="49" t="s">
        <v>1889</v>
      </c>
      <c r="D540" s="49" t="s">
        <v>51</v>
      </c>
      <c r="F540" s="49" t="str">
        <f>IFERROR(IF(Tabla1[[#This Row],[CONCEPTO mx]]="","",VLOOKUP(Tabla1[[#This Row],[CONCEPTO mx]],Tabla2[#All],2,0)),"")</f>
        <v/>
      </c>
      <c r="G540" s="49" t="str">
        <f>IFERROR(IF(Tabla1[[#This Row],[CONCEPTO mx]]="","",VLOOKUP(Tabla1[[#This Row],[CONCEPTO mx]],Tabla2[#All],3,0)),"")</f>
        <v/>
      </c>
      <c r="H540" s="49" t="s">
        <v>387</v>
      </c>
      <c r="I540" s="49" t="s">
        <v>2339</v>
      </c>
      <c r="J540" s="53"/>
    </row>
    <row r="541" spans="1:10" x14ac:dyDescent="0.25">
      <c r="A541" s="51">
        <v>43266</v>
      </c>
      <c r="C541" s="49" t="s">
        <v>1892</v>
      </c>
      <c r="D541" s="49" t="s">
        <v>51</v>
      </c>
      <c r="E541" s="49" t="s">
        <v>3315</v>
      </c>
      <c r="F541" s="49" t="str">
        <f>IFERROR(IF(Tabla1[[#This Row],[CONCEPTO mx]]="","",VLOOKUP(Tabla1[[#This Row],[CONCEPTO mx]],Tabla2[#All],2,0)),"")</f>
        <v>CM40</v>
      </c>
      <c r="G541" s="49" t="str">
        <f>IFERROR(IF(Tabla1[[#This Row],[CONCEPTO mx]]="","",VLOOKUP(Tabla1[[#This Row],[CONCEPTO mx]],Tabla2[#All],3,0)),"")</f>
        <v>SST</v>
      </c>
      <c r="H541" s="49" t="s">
        <v>486</v>
      </c>
      <c r="I541" s="49" t="s">
        <v>2339</v>
      </c>
      <c r="J541" s="53"/>
    </row>
    <row r="542" spans="1:10" x14ac:dyDescent="0.25">
      <c r="A542" s="51">
        <v>43266</v>
      </c>
      <c r="C542" s="49" t="s">
        <v>1891</v>
      </c>
      <c r="D542" s="49" t="s">
        <v>51</v>
      </c>
      <c r="F542" s="49" t="str">
        <f>IFERROR(IF(Tabla1[[#This Row],[CONCEPTO mx]]="","",VLOOKUP(Tabla1[[#This Row],[CONCEPTO mx]],Tabla2[#All],2,0)),"")</f>
        <v/>
      </c>
      <c r="G542" s="49" t="str">
        <f>IFERROR(IF(Tabla1[[#This Row],[CONCEPTO mx]]="","",VLOOKUP(Tabla1[[#This Row],[CONCEPTO mx]],Tabla2[#All],3,0)),"")</f>
        <v/>
      </c>
      <c r="H542" s="49" t="s">
        <v>486</v>
      </c>
      <c r="I542" s="49" t="s">
        <v>2339</v>
      </c>
      <c r="J542" s="53"/>
    </row>
    <row r="543" spans="1:10" x14ac:dyDescent="0.25">
      <c r="A543" s="51">
        <v>43266</v>
      </c>
      <c r="C543" s="49" t="s">
        <v>1893</v>
      </c>
      <c r="D543" s="49" t="s">
        <v>51</v>
      </c>
      <c r="E543" s="49" t="s">
        <v>3315</v>
      </c>
      <c r="F543" s="49" t="str">
        <f>IFERROR(IF(Tabla1[[#This Row],[CONCEPTO mx]]="","",VLOOKUP(Tabla1[[#This Row],[CONCEPTO mx]],Tabla2[#All],2,0)),"")</f>
        <v>CM40</v>
      </c>
      <c r="G543" s="49" t="str">
        <f>IFERROR(IF(Tabla1[[#This Row],[CONCEPTO mx]]="","",VLOOKUP(Tabla1[[#This Row],[CONCEPTO mx]],Tabla2[#All],3,0)),"")</f>
        <v>SST</v>
      </c>
      <c r="H543" s="49" t="s">
        <v>441</v>
      </c>
      <c r="I543" s="49" t="s">
        <v>2339</v>
      </c>
      <c r="J543" s="53"/>
    </row>
    <row r="544" spans="1:10" x14ac:dyDescent="0.25">
      <c r="A544" s="51">
        <v>43269</v>
      </c>
      <c r="C544" s="49" t="s">
        <v>1894</v>
      </c>
      <c r="D544" s="49" t="s">
        <v>51</v>
      </c>
      <c r="F544" s="49" t="str">
        <f>IFERROR(IF(Tabla1[[#This Row],[CONCEPTO mx]]="","",VLOOKUP(Tabla1[[#This Row],[CONCEPTO mx]],Tabla2[#All],2,0)),"")</f>
        <v/>
      </c>
      <c r="G544" s="49" t="str">
        <f>IFERROR(IF(Tabla1[[#This Row],[CONCEPTO mx]]="","",VLOOKUP(Tabla1[[#This Row],[CONCEPTO mx]],Tabla2[#All],3,0)),"")</f>
        <v/>
      </c>
      <c r="H544" s="49" t="s">
        <v>628</v>
      </c>
      <c r="I544" s="49" t="s">
        <v>2320</v>
      </c>
      <c r="J544" s="53"/>
    </row>
    <row r="545" spans="1:10" x14ac:dyDescent="0.25">
      <c r="A545" s="51">
        <v>43269</v>
      </c>
      <c r="C545" s="49" t="s">
        <v>1895</v>
      </c>
      <c r="D545" s="49" t="s">
        <v>2273</v>
      </c>
      <c r="F545" s="49" t="str">
        <f>IFERROR(IF(Tabla1[[#This Row],[CONCEPTO mx]]="","",VLOOKUP(Tabla1[[#This Row],[CONCEPTO mx]],Tabla2[#All],2,0)),"")</f>
        <v/>
      </c>
      <c r="G545" s="49" t="str">
        <f>IFERROR(IF(Tabla1[[#This Row],[CONCEPTO mx]]="","",VLOOKUP(Tabla1[[#This Row],[CONCEPTO mx]],Tabla2[#All],3,0)),"")</f>
        <v/>
      </c>
      <c r="H545" s="49" t="s">
        <v>550</v>
      </c>
      <c r="I545" s="49" t="s">
        <v>2339</v>
      </c>
      <c r="J545" s="53"/>
    </row>
    <row r="546" spans="1:10" x14ac:dyDescent="0.25">
      <c r="A546" s="51">
        <v>43271</v>
      </c>
      <c r="C546" s="49" t="s">
        <v>1896</v>
      </c>
      <c r="D546" s="49" t="s">
        <v>51</v>
      </c>
      <c r="E546" s="49" t="s">
        <v>3315</v>
      </c>
      <c r="F546" s="49" t="str">
        <f>IFERROR(IF(Tabla1[[#This Row],[CONCEPTO mx]]="","",VLOOKUP(Tabla1[[#This Row],[CONCEPTO mx]],Tabla2[#All],2,0)),"")</f>
        <v>CM40</v>
      </c>
      <c r="G546" s="49" t="str">
        <f>IFERROR(IF(Tabla1[[#This Row],[CONCEPTO mx]]="","",VLOOKUP(Tabla1[[#This Row],[CONCEPTO mx]],Tabla2[#All],3,0)),"")</f>
        <v>SST</v>
      </c>
      <c r="H546" s="49" t="s">
        <v>2393</v>
      </c>
      <c r="I546" s="49" t="s">
        <v>2298</v>
      </c>
      <c r="J546" s="53" t="s">
        <v>2831</v>
      </c>
    </row>
    <row r="547" spans="1:10" x14ac:dyDescent="0.25">
      <c r="A547" s="51">
        <v>43271</v>
      </c>
      <c r="C547" s="49" t="s">
        <v>1897</v>
      </c>
      <c r="D547" s="49" t="s">
        <v>51</v>
      </c>
      <c r="F547" s="49" t="str">
        <f>IFERROR(IF(Tabla1[[#This Row],[CONCEPTO mx]]="","",VLOOKUP(Tabla1[[#This Row],[CONCEPTO mx]],Tabla2[#All],2,0)),"")</f>
        <v/>
      </c>
      <c r="G547" s="49" t="str">
        <f>IFERROR(IF(Tabla1[[#This Row],[CONCEPTO mx]]="","",VLOOKUP(Tabla1[[#This Row],[CONCEPTO mx]],Tabla2[#All],3,0)),"")</f>
        <v/>
      </c>
      <c r="H547" s="49" t="s">
        <v>406</v>
      </c>
      <c r="I547" s="49" t="s">
        <v>2339</v>
      </c>
      <c r="J547" s="53"/>
    </row>
    <row r="548" spans="1:10" x14ac:dyDescent="0.25">
      <c r="A548" s="51">
        <v>43272</v>
      </c>
      <c r="C548" s="49" t="s">
        <v>1899</v>
      </c>
      <c r="D548" s="49" t="s">
        <v>2273</v>
      </c>
      <c r="F548" s="49" t="str">
        <f>IFERROR(IF(Tabla1[[#This Row],[CONCEPTO mx]]="","",VLOOKUP(Tabla1[[#This Row],[CONCEPTO mx]],Tabla2[#All],2,0)),"")</f>
        <v/>
      </c>
      <c r="G548" s="49" t="str">
        <f>IFERROR(IF(Tabla1[[#This Row],[CONCEPTO mx]]="","",VLOOKUP(Tabla1[[#This Row],[CONCEPTO mx]],Tabla2[#All],3,0)),"")</f>
        <v/>
      </c>
      <c r="H548" s="49" t="s">
        <v>387</v>
      </c>
      <c r="I548" s="49" t="s">
        <v>2328</v>
      </c>
      <c r="J548" s="53"/>
    </row>
    <row r="549" spans="1:10" x14ac:dyDescent="0.25">
      <c r="A549" s="51">
        <v>43272</v>
      </c>
      <c r="C549" s="49" t="s">
        <v>1898</v>
      </c>
      <c r="D549" s="49" t="s">
        <v>51</v>
      </c>
      <c r="E549" s="49" t="s">
        <v>3315</v>
      </c>
      <c r="F549" s="49" t="str">
        <f>IFERROR(IF(Tabla1[[#This Row],[CONCEPTO mx]]="","",VLOOKUP(Tabla1[[#This Row],[CONCEPTO mx]],Tabla2[#All],2,0)),"")</f>
        <v>CM40</v>
      </c>
      <c r="G549" s="49" t="str">
        <f>IFERROR(IF(Tabla1[[#This Row],[CONCEPTO mx]]="","",VLOOKUP(Tabla1[[#This Row],[CONCEPTO mx]],Tabla2[#All],3,0)),"")</f>
        <v>SST</v>
      </c>
      <c r="H549" s="49" t="s">
        <v>439</v>
      </c>
      <c r="I549" s="49" t="s">
        <v>2328</v>
      </c>
      <c r="J549" s="53"/>
    </row>
    <row r="550" spans="1:10" x14ac:dyDescent="0.25">
      <c r="A550" s="51">
        <v>43273</v>
      </c>
      <c r="C550" s="49" t="s">
        <v>1900</v>
      </c>
      <c r="D550" s="49" t="s">
        <v>51</v>
      </c>
      <c r="F550" s="49" t="str">
        <f>IFERROR(IF(Tabla1[[#This Row],[CONCEPTO mx]]="","",VLOOKUP(Tabla1[[#This Row],[CONCEPTO mx]],Tabla2[#All],2,0)),"")</f>
        <v/>
      </c>
      <c r="G550" s="49" t="str">
        <f>IFERROR(IF(Tabla1[[#This Row],[CONCEPTO mx]]="","",VLOOKUP(Tabla1[[#This Row],[CONCEPTO mx]],Tabla2[#All],3,0)),"")</f>
        <v/>
      </c>
      <c r="H550" s="49" t="s">
        <v>550</v>
      </c>
      <c r="I550" s="49" t="s">
        <v>2339</v>
      </c>
      <c r="J550" s="53"/>
    </row>
    <row r="551" spans="1:10" x14ac:dyDescent="0.25">
      <c r="A551" s="51">
        <v>43273</v>
      </c>
      <c r="C551" s="49" t="s">
        <v>1901</v>
      </c>
      <c r="D551" s="49" t="s">
        <v>51</v>
      </c>
      <c r="F551" s="49" t="str">
        <f>IFERROR(IF(Tabla1[[#This Row],[CONCEPTO mx]]="","",VLOOKUP(Tabla1[[#This Row],[CONCEPTO mx]],Tabla2[#All],2,0)),"")</f>
        <v/>
      </c>
      <c r="G551" s="49" t="str">
        <f>IFERROR(IF(Tabla1[[#This Row],[CONCEPTO mx]]="","",VLOOKUP(Tabla1[[#This Row],[CONCEPTO mx]],Tabla2[#All],3,0)),"")</f>
        <v/>
      </c>
      <c r="H551" s="49" t="s">
        <v>406</v>
      </c>
      <c r="I551" s="49" t="s">
        <v>2339</v>
      </c>
      <c r="J551" s="53"/>
    </row>
    <row r="552" spans="1:10" x14ac:dyDescent="0.25">
      <c r="A552" s="51">
        <v>43277</v>
      </c>
      <c r="C552" s="49" t="s">
        <v>1902</v>
      </c>
      <c r="E552" s="49" t="s">
        <v>2355</v>
      </c>
      <c r="F552" s="49" t="str">
        <f>IFERROR(IF(Tabla1[[#This Row],[CONCEPTO mx]]="","",VLOOKUP(Tabla1[[#This Row],[CONCEPTO mx]],Tabla2[#All],2,0)),"")</f>
        <v>CM13</v>
      </c>
      <c r="G552" s="49" t="str">
        <f>IFERROR(IF(Tabla1[[#This Row],[CONCEPTO mx]]="","",VLOOKUP(Tabla1[[#This Row],[CONCEPTO mx]],Tabla2[#All],3,0)),"")</f>
        <v>Gestión Humana</v>
      </c>
      <c r="H552" s="49" t="s">
        <v>542</v>
      </c>
      <c r="I552" s="49" t="s">
        <v>2320</v>
      </c>
      <c r="J552" s="53"/>
    </row>
    <row r="553" spans="1:10" x14ac:dyDescent="0.25">
      <c r="A553" s="51">
        <v>43279</v>
      </c>
      <c r="C553" s="49" t="s">
        <v>1905</v>
      </c>
      <c r="D553" s="49" t="s">
        <v>51</v>
      </c>
      <c r="F553" s="49" t="str">
        <f>IFERROR(IF(Tabla1[[#This Row],[CONCEPTO mx]]="","",VLOOKUP(Tabla1[[#This Row],[CONCEPTO mx]],Tabla2[#All],2,0)),"")</f>
        <v/>
      </c>
      <c r="G553" s="49" t="str">
        <f>IFERROR(IF(Tabla1[[#This Row],[CONCEPTO mx]]="","",VLOOKUP(Tabla1[[#This Row],[CONCEPTO mx]],Tabla2[#All],3,0)),"")</f>
        <v/>
      </c>
      <c r="H553" s="49" t="s">
        <v>628</v>
      </c>
      <c r="I553" s="49" t="s">
        <v>2339</v>
      </c>
      <c r="J553" s="53"/>
    </row>
    <row r="554" spans="1:10" x14ac:dyDescent="0.25">
      <c r="A554" s="51">
        <v>43279</v>
      </c>
      <c r="C554" s="49" t="s">
        <v>1906</v>
      </c>
      <c r="D554" s="49" t="s">
        <v>51</v>
      </c>
      <c r="F554" s="49" t="str">
        <f>IFERROR(IF(Tabla1[[#This Row],[CONCEPTO mx]]="","",VLOOKUP(Tabla1[[#This Row],[CONCEPTO mx]],Tabla2[#All],2,0)),"")</f>
        <v/>
      </c>
      <c r="G554" s="49" t="str">
        <f>IFERROR(IF(Tabla1[[#This Row],[CONCEPTO mx]]="","",VLOOKUP(Tabla1[[#This Row],[CONCEPTO mx]],Tabla2[#All],3,0)),"")</f>
        <v/>
      </c>
      <c r="H554" s="49" t="s">
        <v>542</v>
      </c>
      <c r="I554" s="49" t="s">
        <v>2339</v>
      </c>
      <c r="J554" s="53"/>
    </row>
    <row r="555" spans="1:10" x14ac:dyDescent="0.25">
      <c r="A555" s="51">
        <v>43279</v>
      </c>
      <c r="C555" s="49" t="s">
        <v>1904</v>
      </c>
      <c r="D555" s="49" t="s">
        <v>51</v>
      </c>
      <c r="F555" s="49" t="str">
        <f>IFERROR(IF(Tabla1[[#This Row],[CONCEPTO mx]]="","",VLOOKUP(Tabla1[[#This Row],[CONCEPTO mx]],Tabla2[#All],2,0)),"")</f>
        <v/>
      </c>
      <c r="G555" s="49" t="str">
        <f>IFERROR(IF(Tabla1[[#This Row],[CONCEPTO mx]]="","",VLOOKUP(Tabla1[[#This Row],[CONCEPTO mx]],Tabla2[#All],3,0)),"")</f>
        <v/>
      </c>
      <c r="H555" s="49" t="s">
        <v>628</v>
      </c>
      <c r="I555" s="49" t="s">
        <v>2339</v>
      </c>
      <c r="J555" s="53"/>
    </row>
    <row r="556" spans="1:10" x14ac:dyDescent="0.25">
      <c r="A556" s="51">
        <v>43279</v>
      </c>
      <c r="C556" s="49" t="s">
        <v>1903</v>
      </c>
      <c r="D556" s="49" t="s">
        <v>51</v>
      </c>
      <c r="E556" s="49" t="s">
        <v>3315</v>
      </c>
      <c r="F556" s="49" t="str">
        <f>IFERROR(IF(Tabla1[[#This Row],[CONCEPTO mx]]="","",VLOOKUP(Tabla1[[#This Row],[CONCEPTO mx]],Tabla2[#All],2,0)),"")</f>
        <v>CM40</v>
      </c>
      <c r="G556" s="49" t="str">
        <f>IFERROR(IF(Tabla1[[#This Row],[CONCEPTO mx]]="","",VLOOKUP(Tabla1[[#This Row],[CONCEPTO mx]],Tabla2[#All],3,0)),"")</f>
        <v>SST</v>
      </c>
      <c r="H556" s="49" t="s">
        <v>388</v>
      </c>
      <c r="I556" s="49" t="s">
        <v>2320</v>
      </c>
      <c r="J556" s="53"/>
    </row>
    <row r="557" spans="1:10" x14ac:dyDescent="0.25">
      <c r="A557" s="51">
        <v>43284</v>
      </c>
      <c r="C557" s="49" t="s">
        <v>1909</v>
      </c>
      <c r="D557" s="49" t="s">
        <v>51</v>
      </c>
      <c r="F557" s="49" t="str">
        <f>IFERROR(IF(Tabla1[[#This Row],[CONCEPTO mx]]="","",VLOOKUP(Tabla1[[#This Row],[CONCEPTO mx]],Tabla2[#All],2,0)),"")</f>
        <v/>
      </c>
      <c r="G557" s="49" t="str">
        <f>IFERROR(IF(Tabla1[[#This Row],[CONCEPTO mx]]="","",VLOOKUP(Tabla1[[#This Row],[CONCEPTO mx]],Tabla2[#All],3,0)),"")</f>
        <v/>
      </c>
      <c r="H557" s="49" t="s">
        <v>387</v>
      </c>
      <c r="I557" s="49" t="s">
        <v>2330</v>
      </c>
      <c r="J557" s="53"/>
    </row>
    <row r="558" spans="1:10" x14ac:dyDescent="0.25">
      <c r="A558" s="51">
        <v>43284</v>
      </c>
      <c r="C558" s="49" t="s">
        <v>1908</v>
      </c>
      <c r="D558" s="49" t="s">
        <v>2273</v>
      </c>
      <c r="F558" s="49" t="str">
        <f>IFERROR(IF(Tabla1[[#This Row],[CONCEPTO mx]]="","",VLOOKUP(Tabla1[[#This Row],[CONCEPTO mx]],Tabla2[#All],2,0)),"")</f>
        <v/>
      </c>
      <c r="G558" s="49" t="str">
        <f>IFERROR(IF(Tabla1[[#This Row],[CONCEPTO mx]]="","",VLOOKUP(Tabla1[[#This Row],[CONCEPTO mx]],Tabla2[#All],3,0)),"")</f>
        <v/>
      </c>
      <c r="H558" s="49" t="s">
        <v>470</v>
      </c>
      <c r="I558" s="49" t="s">
        <v>2339</v>
      </c>
      <c r="J558" s="53"/>
    </row>
    <row r="559" spans="1:10" x14ac:dyDescent="0.25">
      <c r="A559" s="51">
        <v>43284</v>
      </c>
      <c r="C559" s="49" t="s">
        <v>1907</v>
      </c>
      <c r="D559" s="49" t="s">
        <v>2273</v>
      </c>
      <c r="F559" s="49" t="str">
        <f>IFERROR(IF(Tabla1[[#This Row],[CONCEPTO mx]]="","",VLOOKUP(Tabla1[[#This Row],[CONCEPTO mx]],Tabla2[#All],2,0)),"")</f>
        <v/>
      </c>
      <c r="G559" s="49" t="str">
        <f>IFERROR(IF(Tabla1[[#This Row],[CONCEPTO mx]]="","",VLOOKUP(Tabla1[[#This Row],[CONCEPTO mx]],Tabla2[#All],3,0)),"")</f>
        <v/>
      </c>
      <c r="J559" s="53"/>
    </row>
    <row r="560" spans="1:10" x14ac:dyDescent="0.25">
      <c r="A560" s="51">
        <v>43285</v>
      </c>
      <c r="C560" s="49" t="s">
        <v>1914</v>
      </c>
      <c r="D560" s="49" t="s">
        <v>2273</v>
      </c>
      <c r="F560" s="49" t="str">
        <f>IFERROR(IF(Tabla1[[#This Row],[CONCEPTO mx]]="","",VLOOKUP(Tabla1[[#This Row],[CONCEPTO mx]],Tabla2[#All],2,0)),"")</f>
        <v/>
      </c>
      <c r="G560" s="49" t="str">
        <f>IFERROR(IF(Tabla1[[#This Row],[CONCEPTO mx]]="","",VLOOKUP(Tabla1[[#This Row],[CONCEPTO mx]],Tabla2[#All],3,0)),"")</f>
        <v/>
      </c>
      <c r="H560" s="49" t="s">
        <v>542</v>
      </c>
      <c r="I560" s="49" t="s">
        <v>2320</v>
      </c>
      <c r="J560" s="53"/>
    </row>
    <row r="561" spans="1:10" x14ac:dyDescent="0.25">
      <c r="A561" s="51">
        <v>43285</v>
      </c>
      <c r="C561" s="49" t="s">
        <v>1910</v>
      </c>
      <c r="D561" s="49" t="s">
        <v>51</v>
      </c>
      <c r="F561" s="49" t="str">
        <f>IFERROR(IF(Tabla1[[#This Row],[CONCEPTO mx]]="","",VLOOKUP(Tabla1[[#This Row],[CONCEPTO mx]],Tabla2[#All],2,0)),"")</f>
        <v/>
      </c>
      <c r="G561" s="49" t="str">
        <f>IFERROR(IF(Tabla1[[#This Row],[CONCEPTO mx]]="","",VLOOKUP(Tabla1[[#This Row],[CONCEPTO mx]],Tabla2[#All],3,0)),"")</f>
        <v/>
      </c>
      <c r="H561" s="49" t="s">
        <v>388</v>
      </c>
      <c r="I561" s="49" t="s">
        <v>2339</v>
      </c>
      <c r="J561" s="53"/>
    </row>
    <row r="562" spans="1:10" x14ac:dyDescent="0.25">
      <c r="A562" s="51">
        <v>43285</v>
      </c>
      <c r="C562" s="49" t="s">
        <v>1911</v>
      </c>
      <c r="E562" s="49" t="s">
        <v>2355</v>
      </c>
      <c r="F562" s="49" t="str">
        <f>IFERROR(IF(Tabla1[[#This Row],[CONCEPTO mx]]="","",VLOOKUP(Tabla1[[#This Row],[CONCEPTO mx]],Tabla2[#All],2,0)),"")</f>
        <v>CM13</v>
      </c>
      <c r="G562" s="49" t="str">
        <f>IFERROR(IF(Tabla1[[#This Row],[CONCEPTO mx]]="","",VLOOKUP(Tabla1[[#This Row],[CONCEPTO mx]],Tabla2[#All],3,0)),"")</f>
        <v>Gestión Humana</v>
      </c>
      <c r="H562" s="49" t="s">
        <v>387</v>
      </c>
      <c r="I562" s="49" t="s">
        <v>2339</v>
      </c>
      <c r="J562" s="53"/>
    </row>
    <row r="563" spans="1:10" x14ac:dyDescent="0.25">
      <c r="A563" s="51">
        <v>43285</v>
      </c>
      <c r="C563" s="49" t="s">
        <v>1912</v>
      </c>
      <c r="D563" s="49" t="s">
        <v>51</v>
      </c>
      <c r="F563" s="49" t="str">
        <f>IFERROR(IF(Tabla1[[#This Row],[CONCEPTO mx]]="","",VLOOKUP(Tabla1[[#This Row],[CONCEPTO mx]],Tabla2[#All],2,0)),"")</f>
        <v/>
      </c>
      <c r="G563" s="49" t="str">
        <f>IFERROR(IF(Tabla1[[#This Row],[CONCEPTO mx]]="","",VLOOKUP(Tabla1[[#This Row],[CONCEPTO mx]],Tabla2[#All],3,0)),"")</f>
        <v/>
      </c>
      <c r="H563" s="49" t="s">
        <v>343</v>
      </c>
      <c r="I563" s="49" t="s">
        <v>2339</v>
      </c>
      <c r="J563" s="53"/>
    </row>
    <row r="564" spans="1:10" x14ac:dyDescent="0.25">
      <c r="A564" s="51">
        <v>43285</v>
      </c>
      <c r="C564" s="49" t="s">
        <v>1913</v>
      </c>
      <c r="D564" s="49" t="s">
        <v>2273</v>
      </c>
      <c r="F564" s="49" t="str">
        <f>IFERROR(IF(Tabla1[[#This Row],[CONCEPTO mx]]="","",VLOOKUP(Tabla1[[#This Row],[CONCEPTO mx]],Tabla2[#All],2,0)),"")</f>
        <v/>
      </c>
      <c r="G564" s="49" t="str">
        <f>IFERROR(IF(Tabla1[[#This Row],[CONCEPTO mx]]="","",VLOOKUP(Tabla1[[#This Row],[CONCEPTO mx]],Tabla2[#All],3,0)),"")</f>
        <v/>
      </c>
      <c r="H564" s="49" t="s">
        <v>528</v>
      </c>
      <c r="I564" s="49" t="s">
        <v>2339</v>
      </c>
      <c r="J564" s="53"/>
    </row>
    <row r="565" spans="1:10" x14ac:dyDescent="0.25">
      <c r="A565" s="51">
        <v>43286</v>
      </c>
      <c r="C565" s="49" t="s">
        <v>1917</v>
      </c>
      <c r="D565" s="49" t="s">
        <v>2273</v>
      </c>
      <c r="F565" s="49" t="str">
        <f>IFERROR(IF(Tabla1[[#This Row],[CONCEPTO mx]]="","",VLOOKUP(Tabla1[[#This Row],[CONCEPTO mx]],Tabla2[#All],2,0)),"")</f>
        <v/>
      </c>
      <c r="G565" s="49" t="str">
        <f>IFERROR(IF(Tabla1[[#This Row],[CONCEPTO mx]]="","",VLOOKUP(Tabla1[[#This Row],[CONCEPTO mx]],Tabla2[#All],3,0)),"")</f>
        <v/>
      </c>
      <c r="H565" s="49" t="s">
        <v>2395</v>
      </c>
      <c r="I565" s="49" t="s">
        <v>1918</v>
      </c>
      <c r="J565" s="53"/>
    </row>
    <row r="566" spans="1:10" x14ac:dyDescent="0.25">
      <c r="A566" s="51">
        <v>43286</v>
      </c>
      <c r="C566" s="49" t="s">
        <v>1916</v>
      </c>
      <c r="D566" s="49" t="s">
        <v>51</v>
      </c>
      <c r="F566" s="49" t="str">
        <f>IFERROR(IF(Tabla1[[#This Row],[CONCEPTO mx]]="","",VLOOKUP(Tabla1[[#This Row],[CONCEPTO mx]],Tabla2[#All],2,0)),"")</f>
        <v/>
      </c>
      <c r="G566" s="49" t="str">
        <f>IFERROR(IF(Tabla1[[#This Row],[CONCEPTO mx]]="","",VLOOKUP(Tabla1[[#This Row],[CONCEPTO mx]],Tabla2[#All],3,0)),"")</f>
        <v/>
      </c>
      <c r="H566" s="49" t="s">
        <v>438</v>
      </c>
      <c r="I566" s="49" t="s">
        <v>2298</v>
      </c>
      <c r="J566" s="53"/>
    </row>
    <row r="567" spans="1:10" x14ac:dyDescent="0.25">
      <c r="A567" s="51">
        <v>43286</v>
      </c>
      <c r="C567" s="49" t="s">
        <v>1915</v>
      </c>
      <c r="E567" s="49" t="s">
        <v>2355</v>
      </c>
      <c r="F567" s="49" t="str">
        <f>IFERROR(IF(Tabla1[[#This Row],[CONCEPTO mx]]="","",VLOOKUP(Tabla1[[#This Row],[CONCEPTO mx]],Tabla2[#All],2,0)),"")</f>
        <v>CM13</v>
      </c>
      <c r="G567" s="49" t="str">
        <f>IFERROR(IF(Tabla1[[#This Row],[CONCEPTO mx]]="","",VLOOKUP(Tabla1[[#This Row],[CONCEPTO mx]],Tabla2[#All],3,0)),"")</f>
        <v>Gestión Humana</v>
      </c>
      <c r="H567" s="49" t="s">
        <v>387</v>
      </c>
      <c r="I567" s="49" t="s">
        <v>2339</v>
      </c>
      <c r="J567" s="53"/>
    </row>
    <row r="568" spans="1:10" x14ac:dyDescent="0.25">
      <c r="A568" s="51">
        <v>43287</v>
      </c>
      <c r="C568" s="49" t="s">
        <v>1919</v>
      </c>
      <c r="E568" s="49" t="s">
        <v>2355</v>
      </c>
      <c r="F568" s="49" t="str">
        <f>IFERROR(IF(Tabla1[[#This Row],[CONCEPTO mx]]="","",VLOOKUP(Tabla1[[#This Row],[CONCEPTO mx]],Tabla2[#All],2,0)),"")</f>
        <v>CM13</v>
      </c>
      <c r="G568" s="49" t="str">
        <f>IFERROR(IF(Tabla1[[#This Row],[CONCEPTO mx]]="","",VLOOKUP(Tabla1[[#This Row],[CONCEPTO mx]],Tabla2[#All],3,0)),"")</f>
        <v>Gestión Humana</v>
      </c>
      <c r="H568" s="49" t="s">
        <v>486</v>
      </c>
      <c r="I568" s="49" t="s">
        <v>2298</v>
      </c>
      <c r="J568" s="53" t="s">
        <v>2832</v>
      </c>
    </row>
    <row r="569" spans="1:10" x14ac:dyDescent="0.25">
      <c r="A569" s="51">
        <v>43290</v>
      </c>
      <c r="C569" s="49" t="s">
        <v>1920</v>
      </c>
      <c r="D569" s="49" t="s">
        <v>51</v>
      </c>
      <c r="E569" s="49" t="s">
        <v>3315</v>
      </c>
      <c r="F569" s="49" t="str">
        <f>IFERROR(IF(Tabla1[[#This Row],[CONCEPTO mx]]="","",VLOOKUP(Tabla1[[#This Row],[CONCEPTO mx]],Tabla2[#All],2,0)),"")</f>
        <v>CM40</v>
      </c>
      <c r="G569" s="49" t="str">
        <f>IFERROR(IF(Tabla1[[#This Row],[CONCEPTO mx]]="","",VLOOKUP(Tabla1[[#This Row],[CONCEPTO mx]],Tabla2[#All],3,0)),"")</f>
        <v>SST</v>
      </c>
      <c r="H569" s="49" t="s">
        <v>406</v>
      </c>
      <c r="I569" s="49" t="s">
        <v>1921</v>
      </c>
      <c r="J569" s="53"/>
    </row>
    <row r="570" spans="1:10" x14ac:dyDescent="0.25">
      <c r="A570" s="51">
        <v>43291</v>
      </c>
      <c r="C570" s="49" t="s">
        <v>1911</v>
      </c>
      <c r="D570" s="49" t="s">
        <v>51</v>
      </c>
      <c r="F570" s="49" t="str">
        <f>IFERROR(IF(Tabla1[[#This Row],[CONCEPTO mx]]="","",VLOOKUP(Tabla1[[#This Row],[CONCEPTO mx]],Tabla2[#All],2,0)),"")</f>
        <v/>
      </c>
      <c r="G570" s="49" t="str">
        <f>IFERROR(IF(Tabla1[[#This Row],[CONCEPTO mx]]="","",VLOOKUP(Tabla1[[#This Row],[CONCEPTO mx]],Tabla2[#All],3,0)),"")</f>
        <v/>
      </c>
      <c r="H570" s="49" t="s">
        <v>387</v>
      </c>
      <c r="I570" s="49" t="s">
        <v>2339</v>
      </c>
      <c r="J570" s="53"/>
    </row>
    <row r="571" spans="1:10" x14ac:dyDescent="0.25">
      <c r="A571" s="51">
        <v>43291</v>
      </c>
      <c r="C571" s="49" t="s">
        <v>1913</v>
      </c>
      <c r="D571" s="49" t="s">
        <v>1922</v>
      </c>
      <c r="F571" s="49" t="str">
        <f>IFERROR(IF(Tabla1[[#This Row],[CONCEPTO mx]]="","",VLOOKUP(Tabla1[[#This Row],[CONCEPTO mx]],Tabla2[#All],2,0)),"")</f>
        <v/>
      </c>
      <c r="G571" s="49" t="str">
        <f>IFERROR(IF(Tabla1[[#This Row],[CONCEPTO mx]]="","",VLOOKUP(Tabla1[[#This Row],[CONCEPTO mx]],Tabla2[#All],3,0)),"")</f>
        <v/>
      </c>
      <c r="H571" s="49" t="s">
        <v>387</v>
      </c>
      <c r="I571" s="49" t="s">
        <v>2339</v>
      </c>
      <c r="J571" s="53"/>
    </row>
    <row r="572" spans="1:10" x14ac:dyDescent="0.25">
      <c r="A572" s="51">
        <v>43293</v>
      </c>
      <c r="C572" s="49" t="s">
        <v>1914</v>
      </c>
      <c r="D572" s="49" t="s">
        <v>1923</v>
      </c>
      <c r="F572" s="49" t="str">
        <f>IFERROR(IF(Tabla1[[#This Row],[CONCEPTO mx]]="","",VLOOKUP(Tabla1[[#This Row],[CONCEPTO mx]],Tabla2[#All],2,0)),"")</f>
        <v/>
      </c>
      <c r="G572" s="49" t="str">
        <f>IFERROR(IF(Tabla1[[#This Row],[CONCEPTO mx]]="","",VLOOKUP(Tabla1[[#This Row],[CONCEPTO mx]],Tabla2[#All],3,0)),"")</f>
        <v/>
      </c>
      <c r="H572" s="49" t="s">
        <v>387</v>
      </c>
      <c r="I572" s="49" t="s">
        <v>2320</v>
      </c>
      <c r="J572" s="53"/>
    </row>
    <row r="573" spans="1:10" x14ac:dyDescent="0.25">
      <c r="A573" s="51">
        <v>43293</v>
      </c>
      <c r="C573" s="49" t="s">
        <v>1924</v>
      </c>
      <c r="D573" s="49" t="s">
        <v>51</v>
      </c>
      <c r="F573" s="49" t="str">
        <f>IFERROR(IF(Tabla1[[#This Row],[CONCEPTO mx]]="","",VLOOKUP(Tabla1[[#This Row],[CONCEPTO mx]],Tabla2[#All],2,0)),"")</f>
        <v/>
      </c>
      <c r="G573" s="49" t="str">
        <f>IFERROR(IF(Tabla1[[#This Row],[CONCEPTO mx]]="","",VLOOKUP(Tabla1[[#This Row],[CONCEPTO mx]],Tabla2[#All],3,0)),"")</f>
        <v/>
      </c>
      <c r="H573" s="49" t="s">
        <v>528</v>
      </c>
      <c r="I573" s="49" t="s">
        <v>2339</v>
      </c>
      <c r="J573" s="53"/>
    </row>
    <row r="574" spans="1:10" x14ac:dyDescent="0.25">
      <c r="A574" s="51">
        <v>43294</v>
      </c>
      <c r="C574" s="49" t="s">
        <v>1926</v>
      </c>
      <c r="D574" s="49" t="s">
        <v>2273</v>
      </c>
      <c r="F574" s="49" t="str">
        <f>IFERROR(IF(Tabla1[[#This Row],[CONCEPTO mx]]="","",VLOOKUP(Tabla1[[#This Row],[CONCEPTO mx]],Tabla2[#All],2,0)),"")</f>
        <v/>
      </c>
      <c r="G574" s="49" t="str">
        <f>IFERROR(IF(Tabla1[[#This Row],[CONCEPTO mx]]="","",VLOOKUP(Tabla1[[#This Row],[CONCEPTO mx]],Tabla2[#All],3,0)),"")</f>
        <v/>
      </c>
      <c r="H574" s="49" t="s">
        <v>352</v>
      </c>
      <c r="I574" s="49" t="s">
        <v>2298</v>
      </c>
      <c r="J574" s="53" t="s">
        <v>2833</v>
      </c>
    </row>
    <row r="575" spans="1:10" x14ac:dyDescent="0.25">
      <c r="A575" s="51">
        <v>43294</v>
      </c>
      <c r="C575" s="49" t="s">
        <v>1925</v>
      </c>
      <c r="D575" s="49" t="s">
        <v>51</v>
      </c>
      <c r="F575" s="49" t="str">
        <f>IFERROR(IF(Tabla1[[#This Row],[CONCEPTO mx]]="","",VLOOKUP(Tabla1[[#This Row],[CONCEPTO mx]],Tabla2[#All],2,0)),"")</f>
        <v/>
      </c>
      <c r="G575" s="49" t="str">
        <f>IFERROR(IF(Tabla1[[#This Row],[CONCEPTO mx]]="","",VLOOKUP(Tabla1[[#This Row],[CONCEPTO mx]],Tabla2[#All],3,0)),"")</f>
        <v/>
      </c>
      <c r="H575" s="49" t="s">
        <v>388</v>
      </c>
      <c r="I575" s="49" t="s">
        <v>2320</v>
      </c>
      <c r="J575" s="53"/>
    </row>
    <row r="576" spans="1:10" x14ac:dyDescent="0.25">
      <c r="A576" s="51">
        <v>43297</v>
      </c>
      <c r="C576" s="49" t="s">
        <v>1919</v>
      </c>
      <c r="D576" s="49" t="s">
        <v>2273</v>
      </c>
      <c r="F576" s="49" t="str">
        <f>IFERROR(IF(Tabla1[[#This Row],[CONCEPTO mx]]="","",VLOOKUP(Tabla1[[#This Row],[CONCEPTO mx]],Tabla2[#All],2,0)),"")</f>
        <v/>
      </c>
      <c r="G576" s="49" t="str">
        <f>IFERROR(IF(Tabla1[[#This Row],[CONCEPTO mx]]="","",VLOOKUP(Tabla1[[#This Row],[CONCEPTO mx]],Tabla2[#All],3,0)),"")</f>
        <v/>
      </c>
      <c r="H576" s="49" t="s">
        <v>486</v>
      </c>
      <c r="I576" s="49" t="s">
        <v>2298</v>
      </c>
      <c r="J576" s="53" t="s">
        <v>2832</v>
      </c>
    </row>
    <row r="577" spans="1:10" x14ac:dyDescent="0.25">
      <c r="A577" s="51">
        <v>43298</v>
      </c>
      <c r="C577" s="49" t="s">
        <v>1927</v>
      </c>
      <c r="D577" s="49" t="s">
        <v>2273</v>
      </c>
      <c r="F577" s="49" t="str">
        <f>IFERROR(IF(Tabla1[[#This Row],[CONCEPTO mx]]="","",VLOOKUP(Tabla1[[#This Row],[CONCEPTO mx]],Tabla2[#All],2,0)),"")</f>
        <v/>
      </c>
      <c r="G577" s="49" t="str">
        <f>IFERROR(IF(Tabla1[[#This Row],[CONCEPTO mx]]="","",VLOOKUP(Tabla1[[#This Row],[CONCEPTO mx]],Tabla2[#All],3,0)),"")</f>
        <v/>
      </c>
      <c r="H577" s="49" t="s">
        <v>406</v>
      </c>
      <c r="I577" s="49" t="s">
        <v>2320</v>
      </c>
      <c r="J577" s="53"/>
    </row>
    <row r="578" spans="1:10" x14ac:dyDescent="0.25">
      <c r="A578" s="51">
        <v>43299</v>
      </c>
      <c r="C578" s="49" t="s">
        <v>1928</v>
      </c>
      <c r="D578" s="49" t="s">
        <v>51</v>
      </c>
      <c r="F578" s="49" t="str">
        <f>IFERROR(IF(Tabla1[[#This Row],[CONCEPTO mx]]="","",VLOOKUP(Tabla1[[#This Row],[CONCEPTO mx]],Tabla2[#All],2,0)),"")</f>
        <v/>
      </c>
      <c r="G578" s="49" t="str">
        <f>IFERROR(IF(Tabla1[[#This Row],[CONCEPTO mx]]="","",VLOOKUP(Tabla1[[#This Row],[CONCEPTO mx]],Tabla2[#All],3,0)),"")</f>
        <v/>
      </c>
      <c r="H578" s="49" t="s">
        <v>628</v>
      </c>
      <c r="I578" s="49" t="s">
        <v>2339</v>
      </c>
      <c r="J578" s="53"/>
    </row>
    <row r="579" spans="1:10" x14ac:dyDescent="0.25">
      <c r="A579" s="51">
        <v>43300</v>
      </c>
      <c r="C579" s="49" t="s">
        <v>1929</v>
      </c>
      <c r="D579" s="49" t="s">
        <v>51</v>
      </c>
      <c r="F579" s="49" t="str">
        <f>IFERROR(IF(Tabla1[[#This Row],[CONCEPTO mx]]="","",VLOOKUP(Tabla1[[#This Row],[CONCEPTO mx]],Tabla2[#All],2,0)),"")</f>
        <v/>
      </c>
      <c r="G579" s="49" t="str">
        <f>IFERROR(IF(Tabla1[[#This Row],[CONCEPTO mx]]="","",VLOOKUP(Tabla1[[#This Row],[CONCEPTO mx]],Tabla2[#All],3,0)),"")</f>
        <v/>
      </c>
      <c r="H579" s="49" t="s">
        <v>388</v>
      </c>
      <c r="I579" s="49" t="s">
        <v>2329</v>
      </c>
      <c r="J579" s="53" t="s">
        <v>2322</v>
      </c>
    </row>
    <row r="580" spans="1:10" x14ac:dyDescent="0.25">
      <c r="A580" s="51">
        <v>43304</v>
      </c>
      <c r="C580" s="49" t="s">
        <v>1932</v>
      </c>
      <c r="D580" s="49" t="s">
        <v>51</v>
      </c>
      <c r="F580" s="49" t="str">
        <f>IFERROR(IF(Tabla1[[#This Row],[CONCEPTO mx]]="","",VLOOKUP(Tabla1[[#This Row],[CONCEPTO mx]],Tabla2[#All],2,0)),"")</f>
        <v/>
      </c>
      <c r="G580" s="49" t="str">
        <f>IFERROR(IF(Tabla1[[#This Row],[CONCEPTO mx]]="","",VLOOKUP(Tabla1[[#This Row],[CONCEPTO mx]],Tabla2[#All],3,0)),"")</f>
        <v/>
      </c>
      <c r="H580" s="49" t="s">
        <v>388</v>
      </c>
      <c r="I580" s="49" t="s">
        <v>2325</v>
      </c>
      <c r="J580" s="53"/>
    </row>
    <row r="581" spans="1:10" x14ac:dyDescent="0.25">
      <c r="A581" s="51">
        <v>43304</v>
      </c>
      <c r="C581" s="49" t="s">
        <v>1934</v>
      </c>
      <c r="D581" s="49" t="s">
        <v>51</v>
      </c>
      <c r="F581" s="49" t="str">
        <f>IFERROR(IF(Tabla1[[#This Row],[CONCEPTO mx]]="","",VLOOKUP(Tabla1[[#This Row],[CONCEPTO mx]],Tabla2[#All],2,0)),"")</f>
        <v/>
      </c>
      <c r="G581" s="49" t="str">
        <f>IFERROR(IF(Tabla1[[#This Row],[CONCEPTO mx]]="","",VLOOKUP(Tabla1[[#This Row],[CONCEPTO mx]],Tabla2[#All],3,0)),"")</f>
        <v/>
      </c>
      <c r="H581" s="49" t="s">
        <v>406</v>
      </c>
      <c r="I581" s="49" t="s">
        <v>2328</v>
      </c>
      <c r="J581" s="53"/>
    </row>
    <row r="582" spans="1:10" x14ac:dyDescent="0.25">
      <c r="A582" s="51">
        <v>43304</v>
      </c>
      <c r="C582" s="49" t="s">
        <v>1933</v>
      </c>
      <c r="D582" s="49" t="s">
        <v>51</v>
      </c>
      <c r="F582" s="49" t="str">
        <f>IFERROR(IF(Tabla1[[#This Row],[CONCEPTO mx]]="","",VLOOKUP(Tabla1[[#This Row],[CONCEPTO mx]],Tabla2[#All],2,0)),"")</f>
        <v/>
      </c>
      <c r="G582" s="49" t="str">
        <f>IFERROR(IF(Tabla1[[#This Row],[CONCEPTO mx]]="","",VLOOKUP(Tabla1[[#This Row],[CONCEPTO mx]],Tabla2[#All],3,0)),"")</f>
        <v/>
      </c>
      <c r="H582" s="49" t="s">
        <v>438</v>
      </c>
      <c r="I582" s="49" t="s">
        <v>2320</v>
      </c>
      <c r="J582" s="53"/>
    </row>
    <row r="583" spans="1:10" x14ac:dyDescent="0.25">
      <c r="A583" s="51">
        <v>43304</v>
      </c>
      <c r="C583" s="49" t="s">
        <v>1936</v>
      </c>
      <c r="D583" s="49" t="s">
        <v>51</v>
      </c>
      <c r="E583" s="49" t="s">
        <v>3315</v>
      </c>
      <c r="F583" s="49" t="str">
        <f>IFERROR(IF(Tabla1[[#This Row],[CONCEPTO mx]]="","",VLOOKUP(Tabla1[[#This Row],[CONCEPTO mx]],Tabla2[#All],2,0)),"")</f>
        <v>CM40</v>
      </c>
      <c r="G583" s="49" t="str">
        <f>IFERROR(IF(Tabla1[[#This Row],[CONCEPTO mx]]="","",VLOOKUP(Tabla1[[#This Row],[CONCEPTO mx]],Tabla2[#All],3,0)),"")</f>
        <v>SST</v>
      </c>
      <c r="H583" s="49" t="s">
        <v>343</v>
      </c>
      <c r="I583" s="49" t="s">
        <v>2324</v>
      </c>
      <c r="J583" s="53"/>
    </row>
    <row r="584" spans="1:10" x14ac:dyDescent="0.25">
      <c r="A584" s="51">
        <v>43304</v>
      </c>
      <c r="C584" s="49" t="s">
        <v>1930</v>
      </c>
      <c r="D584" s="49" t="s">
        <v>51</v>
      </c>
      <c r="F584" s="49" t="str">
        <f>IFERROR(IF(Tabla1[[#This Row],[CONCEPTO mx]]="","",VLOOKUP(Tabla1[[#This Row],[CONCEPTO mx]],Tabla2[#All],2,0)),"")</f>
        <v/>
      </c>
      <c r="G584" s="49" t="str">
        <f>IFERROR(IF(Tabla1[[#This Row],[CONCEPTO mx]]="","",VLOOKUP(Tabla1[[#This Row],[CONCEPTO mx]],Tabla2[#All],3,0)),"")</f>
        <v/>
      </c>
      <c r="H584" s="49" t="s">
        <v>438</v>
      </c>
      <c r="I584" s="49" t="s">
        <v>1931</v>
      </c>
      <c r="J584" s="53"/>
    </row>
    <row r="585" spans="1:10" x14ac:dyDescent="0.25">
      <c r="A585" s="51">
        <v>43304</v>
      </c>
      <c r="C585" s="49" t="s">
        <v>1935</v>
      </c>
      <c r="E585" s="49" t="s">
        <v>2355</v>
      </c>
      <c r="F585" s="49" t="str">
        <f>IFERROR(IF(Tabla1[[#This Row],[CONCEPTO mx]]="","",VLOOKUP(Tabla1[[#This Row],[CONCEPTO mx]],Tabla2[#All],2,0)),"")</f>
        <v>CM13</v>
      </c>
      <c r="G585" s="49" t="str">
        <f>IFERROR(IF(Tabla1[[#This Row],[CONCEPTO mx]]="","",VLOOKUP(Tabla1[[#This Row],[CONCEPTO mx]],Tabla2[#All],3,0)),"")</f>
        <v>Gestión Humana</v>
      </c>
      <c r="H585" s="49" t="s">
        <v>470</v>
      </c>
      <c r="I585" s="49" t="s">
        <v>2298</v>
      </c>
      <c r="J585" s="53" t="s">
        <v>2834</v>
      </c>
    </row>
    <row r="586" spans="1:10" x14ac:dyDescent="0.25">
      <c r="A586" s="51">
        <v>43306</v>
      </c>
      <c r="C586" s="49" t="s">
        <v>1939</v>
      </c>
      <c r="D586" s="49" t="s">
        <v>51</v>
      </c>
      <c r="E586" s="49" t="s">
        <v>3315</v>
      </c>
      <c r="F586" s="49" t="str">
        <f>IFERROR(IF(Tabla1[[#This Row],[CONCEPTO mx]]="","",VLOOKUP(Tabla1[[#This Row],[CONCEPTO mx]],Tabla2[#All],2,0)),"")</f>
        <v>CM40</v>
      </c>
      <c r="G586" s="49" t="str">
        <f>IFERROR(IF(Tabla1[[#This Row],[CONCEPTO mx]]="","",VLOOKUP(Tabla1[[#This Row],[CONCEPTO mx]],Tabla2[#All],3,0)),"")</f>
        <v>SST</v>
      </c>
      <c r="H586" s="49" t="s">
        <v>413</v>
      </c>
      <c r="I586" s="49" t="s">
        <v>2320</v>
      </c>
      <c r="J586" s="53"/>
    </row>
    <row r="587" spans="1:10" x14ac:dyDescent="0.25">
      <c r="A587" s="51">
        <v>43306</v>
      </c>
      <c r="C587" s="49" t="s">
        <v>1937</v>
      </c>
      <c r="D587" s="49" t="s">
        <v>51</v>
      </c>
      <c r="F587" s="49" t="str">
        <f>IFERROR(IF(Tabla1[[#This Row],[CONCEPTO mx]]="","",VLOOKUP(Tabla1[[#This Row],[CONCEPTO mx]],Tabla2[#All],2,0)),"")</f>
        <v/>
      </c>
      <c r="G587" s="49" t="str">
        <f>IFERROR(IF(Tabla1[[#This Row],[CONCEPTO mx]]="","",VLOOKUP(Tabla1[[#This Row],[CONCEPTO mx]],Tabla2[#All],3,0)),"")</f>
        <v/>
      </c>
      <c r="H587" s="49" t="s">
        <v>352</v>
      </c>
      <c r="I587" s="49" t="s">
        <v>2298</v>
      </c>
      <c r="J587" s="53" t="s">
        <v>2835</v>
      </c>
    </row>
    <row r="588" spans="1:10" x14ac:dyDescent="0.25">
      <c r="A588" s="51">
        <v>43306</v>
      </c>
      <c r="C588" s="49" t="s">
        <v>1938</v>
      </c>
      <c r="D588" s="49" t="s">
        <v>51</v>
      </c>
      <c r="F588" s="49" t="str">
        <f>IFERROR(IF(Tabla1[[#This Row],[CONCEPTO mx]]="","",VLOOKUP(Tabla1[[#This Row],[CONCEPTO mx]],Tabla2[#All],2,0)),"")</f>
        <v/>
      </c>
      <c r="G588" s="49" t="str">
        <f>IFERROR(IF(Tabla1[[#This Row],[CONCEPTO mx]]="","",VLOOKUP(Tabla1[[#This Row],[CONCEPTO mx]],Tabla2[#All],3,0)),"")</f>
        <v/>
      </c>
      <c r="H588" s="49" t="s">
        <v>2394</v>
      </c>
      <c r="I588" s="49" t="s">
        <v>2298</v>
      </c>
      <c r="J588" s="53" t="s">
        <v>2836</v>
      </c>
    </row>
    <row r="589" spans="1:10" x14ac:dyDescent="0.25">
      <c r="A589" s="51">
        <v>43307</v>
      </c>
      <c r="C589" s="49" t="s">
        <v>1943</v>
      </c>
      <c r="D589" s="49" t="s">
        <v>51</v>
      </c>
      <c r="F589" s="49" t="str">
        <f>IFERROR(IF(Tabla1[[#This Row],[CONCEPTO mx]]="","",VLOOKUP(Tabla1[[#This Row],[CONCEPTO mx]],Tabla2[#All],2,0)),"")</f>
        <v/>
      </c>
      <c r="G589" s="49" t="str">
        <f>IFERROR(IF(Tabla1[[#This Row],[CONCEPTO mx]]="","",VLOOKUP(Tabla1[[#This Row],[CONCEPTO mx]],Tabla2[#All],3,0)),"")</f>
        <v/>
      </c>
      <c r="H589" s="49" t="s">
        <v>387</v>
      </c>
      <c r="I589" s="49" t="s">
        <v>2298</v>
      </c>
      <c r="J589" s="53" t="s">
        <v>2302</v>
      </c>
    </row>
    <row r="590" spans="1:10" x14ac:dyDescent="0.25">
      <c r="A590" s="51">
        <v>43307</v>
      </c>
      <c r="C590" s="49" t="s">
        <v>1940</v>
      </c>
      <c r="D590" s="49" t="s">
        <v>2273</v>
      </c>
      <c r="F590" s="49" t="str">
        <f>IFERROR(IF(Tabla1[[#This Row],[CONCEPTO mx]]="","",VLOOKUP(Tabla1[[#This Row],[CONCEPTO mx]],Tabla2[#All],2,0)),"")</f>
        <v/>
      </c>
      <c r="G590" s="49" t="str">
        <f>IFERROR(IF(Tabla1[[#This Row],[CONCEPTO mx]]="","",VLOOKUP(Tabla1[[#This Row],[CONCEPTO mx]],Tabla2[#All],3,0)),"")</f>
        <v/>
      </c>
      <c r="H590" s="49" t="s">
        <v>438</v>
      </c>
      <c r="I590" s="49" t="s">
        <v>2298</v>
      </c>
      <c r="J590" s="53" t="s">
        <v>2778</v>
      </c>
    </row>
    <row r="591" spans="1:10" x14ac:dyDescent="0.25">
      <c r="A591" s="51">
        <v>43307</v>
      </c>
      <c r="C591" s="49" t="s">
        <v>1941</v>
      </c>
      <c r="D591" s="49" t="s">
        <v>51</v>
      </c>
      <c r="F591" s="49" t="str">
        <f>IFERROR(IF(Tabla1[[#This Row],[CONCEPTO mx]]="","",VLOOKUP(Tabla1[[#This Row],[CONCEPTO mx]],Tabla2[#All],2,0)),"")</f>
        <v/>
      </c>
      <c r="G591" s="49" t="str">
        <f>IFERROR(IF(Tabla1[[#This Row],[CONCEPTO mx]]="","",VLOOKUP(Tabla1[[#This Row],[CONCEPTO mx]],Tabla2[#All],3,0)),"")</f>
        <v/>
      </c>
      <c r="H591" s="49" t="s">
        <v>486</v>
      </c>
      <c r="I591" s="49" t="s">
        <v>2298</v>
      </c>
      <c r="J591" s="53" t="s">
        <v>2837</v>
      </c>
    </row>
    <row r="592" spans="1:10" x14ac:dyDescent="0.25">
      <c r="A592" s="51">
        <v>43307</v>
      </c>
      <c r="C592" s="49" t="s">
        <v>1942</v>
      </c>
      <c r="D592" s="49" t="s">
        <v>51</v>
      </c>
      <c r="F592" s="49" t="str">
        <f>IFERROR(IF(Tabla1[[#This Row],[CONCEPTO mx]]="","",VLOOKUP(Tabla1[[#This Row],[CONCEPTO mx]],Tabla2[#All],2,0)),"")</f>
        <v/>
      </c>
      <c r="G592" s="49" t="str">
        <f>IFERROR(IF(Tabla1[[#This Row],[CONCEPTO mx]]="","",VLOOKUP(Tabla1[[#This Row],[CONCEPTO mx]],Tabla2[#All],3,0)),"")</f>
        <v/>
      </c>
      <c r="H592" s="49" t="s">
        <v>2393</v>
      </c>
      <c r="I592" s="49" t="s">
        <v>2318</v>
      </c>
      <c r="J592" s="53"/>
    </row>
    <row r="593" spans="1:10" x14ac:dyDescent="0.25">
      <c r="A593" s="55">
        <v>43307</v>
      </c>
      <c r="C593" s="56" t="s">
        <v>1830</v>
      </c>
      <c r="D593" s="49" t="s">
        <v>51</v>
      </c>
      <c r="E593" s="49" t="s">
        <v>3315</v>
      </c>
      <c r="F593" s="49" t="str">
        <f>IFERROR(IF(Tabla1[[#This Row],[CONCEPTO mx]]="","",VLOOKUP(Tabla1[[#This Row],[CONCEPTO mx]],Tabla2[#All],2,0)),"")</f>
        <v>CM40</v>
      </c>
      <c r="G593" s="49" t="str">
        <f>IFERROR(IF(Tabla1[[#This Row],[CONCEPTO mx]]="","",VLOOKUP(Tabla1[[#This Row],[CONCEPTO mx]],Tabla2[#All],3,0)),"")</f>
        <v>SST</v>
      </c>
      <c r="H593" s="49" t="s">
        <v>550</v>
      </c>
      <c r="I593" s="49" t="s">
        <v>3392</v>
      </c>
      <c r="J593" s="49" t="s">
        <v>2320</v>
      </c>
    </row>
    <row r="594" spans="1:10" x14ac:dyDescent="0.25">
      <c r="A594" s="51">
        <v>43308</v>
      </c>
      <c r="C594" s="49" t="s">
        <v>1945</v>
      </c>
      <c r="D594" s="49" t="s">
        <v>51</v>
      </c>
      <c r="F594" s="49" t="str">
        <f>IFERROR(IF(Tabla1[[#This Row],[CONCEPTO mx]]="","",VLOOKUP(Tabla1[[#This Row],[CONCEPTO mx]],Tabla2[#All],2,0)),"")</f>
        <v/>
      </c>
      <c r="G594" s="49" t="str">
        <f>IFERROR(IF(Tabla1[[#This Row],[CONCEPTO mx]]="","",VLOOKUP(Tabla1[[#This Row],[CONCEPTO mx]],Tabla2[#All],3,0)),"")</f>
        <v/>
      </c>
      <c r="H594" s="49" t="s">
        <v>486</v>
      </c>
      <c r="I594" s="49" t="s">
        <v>2298</v>
      </c>
      <c r="J594" s="53" t="s">
        <v>2838</v>
      </c>
    </row>
    <row r="595" spans="1:10" x14ac:dyDescent="0.25">
      <c r="A595" s="51">
        <v>43308</v>
      </c>
      <c r="C595" s="49" t="s">
        <v>1951</v>
      </c>
      <c r="D595" s="49" t="s">
        <v>51</v>
      </c>
      <c r="F595" s="49" t="str">
        <f>IFERROR(IF(Tabla1[[#This Row],[CONCEPTO mx]]="","",VLOOKUP(Tabla1[[#This Row],[CONCEPTO mx]],Tabla2[#All],2,0)),"")</f>
        <v/>
      </c>
      <c r="G595" s="49" t="str">
        <f>IFERROR(IF(Tabla1[[#This Row],[CONCEPTO mx]]="","",VLOOKUP(Tabla1[[#This Row],[CONCEPTO mx]],Tabla2[#All],3,0)),"")</f>
        <v/>
      </c>
      <c r="H595" s="49" t="s">
        <v>406</v>
      </c>
      <c r="I595" s="49" t="s">
        <v>2298</v>
      </c>
      <c r="J595" s="53" t="s">
        <v>2840</v>
      </c>
    </row>
    <row r="596" spans="1:10" x14ac:dyDescent="0.25">
      <c r="A596" s="51">
        <v>43308</v>
      </c>
      <c r="C596" s="49" t="s">
        <v>1949</v>
      </c>
      <c r="D596" s="49" t="s">
        <v>51</v>
      </c>
      <c r="E596" s="49" t="s">
        <v>3315</v>
      </c>
      <c r="F596" s="49" t="str">
        <f>IFERROR(IF(Tabla1[[#This Row],[CONCEPTO mx]]="","",VLOOKUP(Tabla1[[#This Row],[CONCEPTO mx]],Tabla2[#All],2,0)),"")</f>
        <v>CM40</v>
      </c>
      <c r="G596" s="49" t="str">
        <f>IFERROR(IF(Tabla1[[#This Row],[CONCEPTO mx]]="","",VLOOKUP(Tabla1[[#This Row],[CONCEPTO mx]],Tabla2[#All],3,0)),"")</f>
        <v>SST</v>
      </c>
      <c r="H596" s="49" t="s">
        <v>470</v>
      </c>
      <c r="I596" s="49" t="s">
        <v>2318</v>
      </c>
      <c r="J596" s="53"/>
    </row>
    <row r="597" spans="1:10" x14ac:dyDescent="0.25">
      <c r="A597" s="51">
        <v>43308</v>
      </c>
      <c r="C597" s="49" t="s">
        <v>1944</v>
      </c>
      <c r="D597" s="49" t="s">
        <v>51</v>
      </c>
      <c r="E597" s="49" t="s">
        <v>3315</v>
      </c>
      <c r="F597" s="49" t="str">
        <f>IFERROR(IF(Tabla1[[#This Row],[CONCEPTO mx]]="","",VLOOKUP(Tabla1[[#This Row],[CONCEPTO mx]],Tabla2[#All],2,0)),"")</f>
        <v>CM40</v>
      </c>
      <c r="G597" s="49" t="str">
        <f>IFERROR(IF(Tabla1[[#This Row],[CONCEPTO mx]]="","",VLOOKUP(Tabla1[[#This Row],[CONCEPTO mx]],Tabla2[#All],3,0)),"")</f>
        <v>SST</v>
      </c>
      <c r="H597" s="49" t="s">
        <v>470</v>
      </c>
      <c r="I597" s="49" t="s">
        <v>2298</v>
      </c>
      <c r="J597" s="53" t="s">
        <v>2838</v>
      </c>
    </row>
    <row r="598" spans="1:10" x14ac:dyDescent="0.25">
      <c r="A598" s="51">
        <v>43308</v>
      </c>
      <c r="C598" s="49" t="s">
        <v>1948</v>
      </c>
      <c r="E598" s="49" t="s">
        <v>2355</v>
      </c>
      <c r="F598" s="49" t="str">
        <f>IFERROR(IF(Tabla1[[#This Row],[CONCEPTO mx]]="","",VLOOKUP(Tabla1[[#This Row],[CONCEPTO mx]],Tabla2[#All],2,0)),"")</f>
        <v>CM13</v>
      </c>
      <c r="G598" s="49" t="str">
        <f>IFERROR(IF(Tabla1[[#This Row],[CONCEPTO mx]]="","",VLOOKUP(Tabla1[[#This Row],[CONCEPTO mx]],Tabla2[#All],3,0)),"")</f>
        <v>Gestión Humana</v>
      </c>
      <c r="H598" s="49" t="s">
        <v>2393</v>
      </c>
      <c r="I598" s="49" t="s">
        <v>2319</v>
      </c>
      <c r="J598" s="53"/>
    </row>
    <row r="599" spans="1:10" x14ac:dyDescent="0.25">
      <c r="A599" s="51">
        <v>43308</v>
      </c>
      <c r="C599" s="49" t="s">
        <v>1950</v>
      </c>
      <c r="D599" s="49" t="s">
        <v>51</v>
      </c>
      <c r="F599" s="49" t="str">
        <f>IFERROR(IF(Tabla1[[#This Row],[CONCEPTO mx]]="","",VLOOKUP(Tabla1[[#This Row],[CONCEPTO mx]],Tabla2[#All],2,0)),"")</f>
        <v/>
      </c>
      <c r="G599" s="49" t="str">
        <f>IFERROR(IF(Tabla1[[#This Row],[CONCEPTO mx]]="","",VLOOKUP(Tabla1[[#This Row],[CONCEPTO mx]],Tabla2[#All],3,0)),"")</f>
        <v/>
      </c>
      <c r="H599" s="49" t="s">
        <v>406</v>
      </c>
      <c r="I599" s="49" t="s">
        <v>2298</v>
      </c>
      <c r="J599" s="53" t="s">
        <v>2839</v>
      </c>
    </row>
    <row r="600" spans="1:10" x14ac:dyDescent="0.25">
      <c r="A600" s="51">
        <v>43308</v>
      </c>
      <c r="C600" s="49" t="s">
        <v>1946</v>
      </c>
      <c r="E600" s="49" t="s">
        <v>2355</v>
      </c>
      <c r="F600" s="49" t="str">
        <f>IFERROR(IF(Tabla1[[#This Row],[CONCEPTO mx]]="","",VLOOKUP(Tabla1[[#This Row],[CONCEPTO mx]],Tabla2[#All],2,0)),"")</f>
        <v>CM13</v>
      </c>
      <c r="G600" s="49" t="str">
        <f>IFERROR(IF(Tabla1[[#This Row],[CONCEPTO mx]]="","",VLOOKUP(Tabla1[[#This Row],[CONCEPTO mx]],Tabla2[#All],3,0)),"")</f>
        <v>Gestión Humana</v>
      </c>
      <c r="H600" s="49" t="s">
        <v>486</v>
      </c>
      <c r="I600" s="49" t="s">
        <v>2298</v>
      </c>
      <c r="J600" s="53" t="s">
        <v>2353</v>
      </c>
    </row>
    <row r="601" spans="1:10" x14ac:dyDescent="0.25">
      <c r="A601" s="51">
        <v>43308</v>
      </c>
      <c r="C601" s="49" t="s">
        <v>1952</v>
      </c>
      <c r="D601" s="49" t="s">
        <v>51</v>
      </c>
      <c r="E601" s="49" t="s">
        <v>3315</v>
      </c>
      <c r="F601" s="49" t="str">
        <f>IFERROR(IF(Tabla1[[#This Row],[CONCEPTO mx]]="","",VLOOKUP(Tabla1[[#This Row],[CONCEPTO mx]],Tabla2[#All],2,0)),"")</f>
        <v>CM40</v>
      </c>
      <c r="G601" s="49" t="str">
        <f>IFERROR(IF(Tabla1[[#This Row],[CONCEPTO mx]]="","",VLOOKUP(Tabla1[[#This Row],[CONCEPTO mx]],Tabla2[#All],3,0)),"")</f>
        <v>SST</v>
      </c>
      <c r="H601" s="49" t="s">
        <v>406</v>
      </c>
      <c r="I601" s="49" t="s">
        <v>2298</v>
      </c>
      <c r="J601" s="53" t="s">
        <v>2341</v>
      </c>
    </row>
    <row r="602" spans="1:10" x14ac:dyDescent="0.25">
      <c r="A602" s="51">
        <v>43308</v>
      </c>
      <c r="C602" s="49" t="s">
        <v>1947</v>
      </c>
      <c r="D602" s="49" t="s">
        <v>51</v>
      </c>
      <c r="F602" s="49" t="str">
        <f>IFERROR(IF(Tabla1[[#This Row],[CONCEPTO mx]]="","",VLOOKUP(Tabla1[[#This Row],[CONCEPTO mx]],Tabla2[#All],2,0)),"")</f>
        <v/>
      </c>
      <c r="G602" s="49" t="str">
        <f>IFERROR(IF(Tabla1[[#This Row],[CONCEPTO mx]]="","",VLOOKUP(Tabla1[[#This Row],[CONCEPTO mx]],Tabla2[#All],3,0)),"")</f>
        <v/>
      </c>
      <c r="H602" s="49" t="s">
        <v>486</v>
      </c>
      <c r="I602" s="49" t="s">
        <v>2298</v>
      </c>
      <c r="J602" s="53" t="s">
        <v>2838</v>
      </c>
    </row>
    <row r="603" spans="1:10" x14ac:dyDescent="0.25">
      <c r="A603" s="51">
        <v>43311</v>
      </c>
      <c r="C603" s="49" t="s">
        <v>1955</v>
      </c>
      <c r="D603" s="49" t="s">
        <v>51</v>
      </c>
      <c r="F603" s="49" t="str">
        <f>IFERROR(IF(Tabla1[[#This Row],[CONCEPTO mx]]="","",VLOOKUP(Tabla1[[#This Row],[CONCEPTO mx]],Tabla2[#All],2,0)),"")</f>
        <v/>
      </c>
      <c r="G603" s="49" t="str">
        <f>IFERROR(IF(Tabla1[[#This Row],[CONCEPTO mx]]="","",VLOOKUP(Tabla1[[#This Row],[CONCEPTO mx]],Tabla2[#All],3,0)),"")</f>
        <v/>
      </c>
      <c r="H603" s="49" t="s">
        <v>352</v>
      </c>
      <c r="I603" s="49" t="s">
        <v>2298</v>
      </c>
      <c r="J603" s="53" t="s">
        <v>2314</v>
      </c>
    </row>
    <row r="604" spans="1:10" x14ac:dyDescent="0.25">
      <c r="A604" s="51">
        <v>43311</v>
      </c>
      <c r="C604" s="49" t="s">
        <v>1959</v>
      </c>
      <c r="D604" s="49" t="s">
        <v>2273</v>
      </c>
      <c r="F604" s="49" t="str">
        <f>IFERROR(IF(Tabla1[[#This Row],[CONCEPTO mx]]="","",VLOOKUP(Tabla1[[#This Row],[CONCEPTO mx]],Tabla2[#All],2,0)),"")</f>
        <v/>
      </c>
      <c r="G604" s="49" t="str">
        <f>IFERROR(IF(Tabla1[[#This Row],[CONCEPTO mx]]="","",VLOOKUP(Tabla1[[#This Row],[CONCEPTO mx]],Tabla2[#All],3,0)),"")</f>
        <v/>
      </c>
      <c r="H604" s="49" t="s">
        <v>438</v>
      </c>
      <c r="I604" s="49" t="s">
        <v>2298</v>
      </c>
      <c r="J604" s="53" t="s">
        <v>2841</v>
      </c>
    </row>
    <row r="605" spans="1:10" x14ac:dyDescent="0.25">
      <c r="A605" s="51">
        <v>43311</v>
      </c>
      <c r="C605" s="49" t="s">
        <v>1965</v>
      </c>
      <c r="D605" s="49" t="s">
        <v>51</v>
      </c>
      <c r="F605" s="49" t="str">
        <f>IFERROR(IF(Tabla1[[#This Row],[CONCEPTO mx]]="","",VLOOKUP(Tabla1[[#This Row],[CONCEPTO mx]],Tabla2[#All],2,0)),"")</f>
        <v/>
      </c>
      <c r="G605" s="49" t="str">
        <f>IFERROR(IF(Tabla1[[#This Row],[CONCEPTO mx]]="","",VLOOKUP(Tabla1[[#This Row],[CONCEPTO mx]],Tabla2[#All],3,0)),"")</f>
        <v/>
      </c>
      <c r="H605" s="49" t="s">
        <v>438</v>
      </c>
      <c r="I605" s="49" t="s">
        <v>2298</v>
      </c>
      <c r="J605" s="53" t="s">
        <v>2351</v>
      </c>
    </row>
    <row r="606" spans="1:10" x14ac:dyDescent="0.25">
      <c r="A606" s="51">
        <v>43311</v>
      </c>
      <c r="C606" s="49" t="s">
        <v>1962</v>
      </c>
      <c r="D606" s="49" t="s">
        <v>51</v>
      </c>
      <c r="E606" s="49" t="s">
        <v>3315</v>
      </c>
      <c r="F606" s="49" t="str">
        <f>IFERROR(IF(Tabla1[[#This Row],[CONCEPTO mx]]="","",VLOOKUP(Tabla1[[#This Row],[CONCEPTO mx]],Tabla2[#All],2,0)),"")</f>
        <v>CM40</v>
      </c>
      <c r="G606" s="49" t="str">
        <f>IFERROR(IF(Tabla1[[#This Row],[CONCEPTO mx]]="","",VLOOKUP(Tabla1[[#This Row],[CONCEPTO mx]],Tabla2[#All],3,0)),"")</f>
        <v>SST</v>
      </c>
      <c r="H606" s="49" t="s">
        <v>486</v>
      </c>
      <c r="I606" s="49" t="s">
        <v>2298</v>
      </c>
      <c r="J606" s="53" t="s">
        <v>2842</v>
      </c>
    </row>
    <row r="607" spans="1:10" x14ac:dyDescent="0.25">
      <c r="A607" s="51">
        <v>43311</v>
      </c>
      <c r="C607" s="49" t="s">
        <v>1964</v>
      </c>
      <c r="D607" s="49" t="s">
        <v>51</v>
      </c>
      <c r="E607" s="49" t="s">
        <v>3315</v>
      </c>
      <c r="F607" s="49" t="str">
        <f>IFERROR(IF(Tabla1[[#This Row],[CONCEPTO mx]]="","",VLOOKUP(Tabla1[[#This Row],[CONCEPTO mx]],Tabla2[#All],2,0)),"")</f>
        <v>CM40</v>
      </c>
      <c r="G607" s="49" t="str">
        <f>IFERROR(IF(Tabla1[[#This Row],[CONCEPTO mx]]="","",VLOOKUP(Tabla1[[#This Row],[CONCEPTO mx]],Tabla2[#All],3,0)),"")</f>
        <v>SST</v>
      </c>
      <c r="H607" s="49" t="s">
        <v>486</v>
      </c>
      <c r="I607" s="49" t="s">
        <v>2298</v>
      </c>
      <c r="J607" s="53" t="s">
        <v>2843</v>
      </c>
    </row>
    <row r="608" spans="1:10" x14ac:dyDescent="0.25">
      <c r="A608" s="51">
        <v>43311</v>
      </c>
      <c r="C608" s="49" t="s">
        <v>1956</v>
      </c>
      <c r="D608" s="49" t="s">
        <v>2273</v>
      </c>
      <c r="F608" s="49" t="str">
        <f>IFERROR(IF(Tabla1[[#This Row],[CONCEPTO mx]]="","",VLOOKUP(Tabla1[[#This Row],[CONCEPTO mx]],Tabla2[#All],2,0)),"")</f>
        <v/>
      </c>
      <c r="G608" s="49" t="str">
        <f>IFERROR(IF(Tabla1[[#This Row],[CONCEPTO mx]]="","",VLOOKUP(Tabla1[[#This Row],[CONCEPTO mx]],Tabla2[#All],3,0)),"")</f>
        <v/>
      </c>
      <c r="H608" s="49" t="s">
        <v>388</v>
      </c>
      <c r="I608" s="49" t="s">
        <v>2298</v>
      </c>
      <c r="J608" s="53" t="s">
        <v>2351</v>
      </c>
    </row>
    <row r="609" spans="1:10" x14ac:dyDescent="0.25">
      <c r="A609" s="51">
        <v>43311</v>
      </c>
      <c r="C609" s="49" t="s">
        <v>1957</v>
      </c>
      <c r="D609" s="49" t="s">
        <v>51</v>
      </c>
      <c r="F609" s="49" t="str">
        <f>IFERROR(IF(Tabla1[[#This Row],[CONCEPTO mx]]="","",VLOOKUP(Tabla1[[#This Row],[CONCEPTO mx]],Tabla2[#All],2,0)),"")</f>
        <v/>
      </c>
      <c r="G609" s="49" t="str">
        <f>IFERROR(IF(Tabla1[[#This Row],[CONCEPTO mx]]="","",VLOOKUP(Tabla1[[#This Row],[CONCEPTO mx]],Tabla2[#All],3,0)),"")</f>
        <v/>
      </c>
      <c r="H609" s="49" t="s">
        <v>388</v>
      </c>
      <c r="I609" s="49" t="s">
        <v>2298</v>
      </c>
      <c r="J609" s="53" t="s">
        <v>2351</v>
      </c>
    </row>
    <row r="610" spans="1:10" x14ac:dyDescent="0.25">
      <c r="A610" s="51">
        <v>43311</v>
      </c>
      <c r="C610" s="49" t="s">
        <v>1960</v>
      </c>
      <c r="D610" s="49" t="s">
        <v>51</v>
      </c>
      <c r="F610" s="49" t="str">
        <f>IFERROR(IF(Tabla1[[#This Row],[CONCEPTO mx]]="","",VLOOKUP(Tabla1[[#This Row],[CONCEPTO mx]],Tabla2[#All],2,0)),"")</f>
        <v/>
      </c>
      <c r="G610" s="49" t="str">
        <f>IFERROR(IF(Tabla1[[#This Row],[CONCEPTO mx]]="","",VLOOKUP(Tabla1[[#This Row],[CONCEPTO mx]],Tabla2[#All],3,0)),"")</f>
        <v/>
      </c>
      <c r="H610" s="49" t="s">
        <v>470</v>
      </c>
      <c r="I610" s="49" t="s">
        <v>2298</v>
      </c>
      <c r="J610" s="53" t="s">
        <v>2841</v>
      </c>
    </row>
    <row r="611" spans="1:10" x14ac:dyDescent="0.25">
      <c r="A611" s="51">
        <v>43311</v>
      </c>
      <c r="C611" s="49" t="s">
        <v>1958</v>
      </c>
      <c r="D611" s="49" t="s">
        <v>51</v>
      </c>
      <c r="F611" s="49" t="str">
        <f>IFERROR(IF(Tabla1[[#This Row],[CONCEPTO mx]]="","",VLOOKUP(Tabla1[[#This Row],[CONCEPTO mx]],Tabla2[#All],2,0)),"")</f>
        <v/>
      </c>
      <c r="G611" s="49" t="str">
        <f>IFERROR(IF(Tabla1[[#This Row],[CONCEPTO mx]]="","",VLOOKUP(Tabla1[[#This Row],[CONCEPTO mx]],Tabla2[#All],3,0)),"")</f>
        <v/>
      </c>
      <c r="H611" s="49" t="s">
        <v>470</v>
      </c>
      <c r="I611" s="49" t="s">
        <v>2339</v>
      </c>
      <c r="J611" s="53"/>
    </row>
    <row r="612" spans="1:10" x14ac:dyDescent="0.25">
      <c r="A612" s="51">
        <v>43311</v>
      </c>
      <c r="C612" s="49" t="s">
        <v>1963</v>
      </c>
      <c r="D612" s="49" t="s">
        <v>51</v>
      </c>
      <c r="F612" s="49" t="str">
        <f>IFERROR(IF(Tabla1[[#This Row],[CONCEPTO mx]]="","",VLOOKUP(Tabla1[[#This Row],[CONCEPTO mx]],Tabla2[#All],2,0)),"")</f>
        <v/>
      </c>
      <c r="G612" s="49" t="str">
        <f>IFERROR(IF(Tabla1[[#This Row],[CONCEPTO mx]]="","",VLOOKUP(Tabla1[[#This Row],[CONCEPTO mx]],Tabla2[#All],3,0)),"")</f>
        <v/>
      </c>
      <c r="H612" s="49" t="s">
        <v>2393</v>
      </c>
      <c r="I612" s="49" t="s">
        <v>2298</v>
      </c>
      <c r="J612" s="53" t="s">
        <v>2826</v>
      </c>
    </row>
    <row r="613" spans="1:10" x14ac:dyDescent="0.25">
      <c r="A613" s="51">
        <v>43311</v>
      </c>
      <c r="C613" s="49" t="s">
        <v>1953</v>
      </c>
      <c r="D613" s="49" t="s">
        <v>51</v>
      </c>
      <c r="E613" s="49" t="s">
        <v>3315</v>
      </c>
      <c r="F613" s="49" t="str">
        <f>IFERROR(IF(Tabla1[[#This Row],[CONCEPTO mx]]="","",VLOOKUP(Tabla1[[#This Row],[CONCEPTO mx]],Tabla2[#All],2,0)),"")</f>
        <v>CM40</v>
      </c>
      <c r="G613" s="49" t="str">
        <f>IFERROR(IF(Tabla1[[#This Row],[CONCEPTO mx]]="","",VLOOKUP(Tabla1[[#This Row],[CONCEPTO mx]],Tabla2[#All],3,0)),"")</f>
        <v>SST</v>
      </c>
      <c r="H613" s="49" t="s">
        <v>352</v>
      </c>
      <c r="I613" s="49" t="s">
        <v>2298</v>
      </c>
      <c r="J613" s="53" t="s">
        <v>2341</v>
      </c>
    </row>
    <row r="614" spans="1:10" x14ac:dyDescent="0.25">
      <c r="A614" s="51">
        <v>43311</v>
      </c>
      <c r="C614" s="49" t="s">
        <v>1961</v>
      </c>
      <c r="D614" s="49" t="s">
        <v>2273</v>
      </c>
      <c r="F614" s="49" t="str">
        <f>IFERROR(IF(Tabla1[[#This Row],[CONCEPTO mx]]="","",VLOOKUP(Tabla1[[#This Row],[CONCEPTO mx]],Tabla2[#All],2,0)),"")</f>
        <v/>
      </c>
      <c r="G614" s="49" t="str">
        <f>IFERROR(IF(Tabla1[[#This Row],[CONCEPTO mx]]="","",VLOOKUP(Tabla1[[#This Row],[CONCEPTO mx]],Tabla2[#All],3,0)),"")</f>
        <v/>
      </c>
      <c r="H614" s="49" t="s">
        <v>486</v>
      </c>
      <c r="I614" s="49" t="s">
        <v>2298</v>
      </c>
      <c r="J614" s="53" t="s">
        <v>2351</v>
      </c>
    </row>
    <row r="615" spans="1:10" x14ac:dyDescent="0.25">
      <c r="A615" s="51">
        <v>43311</v>
      </c>
      <c r="C615" s="49" t="s">
        <v>1954</v>
      </c>
      <c r="D615" s="49" t="s">
        <v>51</v>
      </c>
      <c r="F615" s="49" t="str">
        <f>IFERROR(IF(Tabla1[[#This Row],[CONCEPTO mx]]="","",VLOOKUP(Tabla1[[#This Row],[CONCEPTO mx]],Tabla2[#All],2,0)),"")</f>
        <v/>
      </c>
      <c r="G615" s="49" t="str">
        <f>IFERROR(IF(Tabla1[[#This Row],[CONCEPTO mx]]="","",VLOOKUP(Tabla1[[#This Row],[CONCEPTO mx]],Tabla2[#All],3,0)),"")</f>
        <v/>
      </c>
      <c r="H615" s="49" t="s">
        <v>388</v>
      </c>
      <c r="I615" s="49" t="s">
        <v>2298</v>
      </c>
      <c r="J615" s="53" t="s">
        <v>2351</v>
      </c>
    </row>
    <row r="616" spans="1:10" x14ac:dyDescent="0.25">
      <c r="A616" s="51">
        <v>43312</v>
      </c>
      <c r="C616" s="49" t="s">
        <v>1974</v>
      </c>
      <c r="D616" s="49" t="s">
        <v>2273</v>
      </c>
      <c r="F616" s="49" t="str">
        <f>IFERROR(IF(Tabla1[[#This Row],[CONCEPTO mx]]="","",VLOOKUP(Tabla1[[#This Row],[CONCEPTO mx]],Tabla2[#All],2,0)),"")</f>
        <v/>
      </c>
      <c r="G616" s="49" t="str">
        <f>IFERROR(IF(Tabla1[[#This Row],[CONCEPTO mx]]="","",VLOOKUP(Tabla1[[#This Row],[CONCEPTO mx]],Tabla2[#All],3,0)),"")</f>
        <v/>
      </c>
      <c r="H616" s="49" t="s">
        <v>486</v>
      </c>
      <c r="I616" s="49" t="s">
        <v>2298</v>
      </c>
      <c r="J616" s="53" t="s">
        <v>2302</v>
      </c>
    </row>
    <row r="617" spans="1:10" x14ac:dyDescent="0.25">
      <c r="A617" s="51">
        <v>43312</v>
      </c>
      <c r="C617" s="49" t="s">
        <v>1978</v>
      </c>
      <c r="D617" s="49" t="s">
        <v>2273</v>
      </c>
      <c r="F617" s="49" t="str">
        <f>IFERROR(IF(Tabla1[[#This Row],[CONCEPTO mx]]="","",VLOOKUP(Tabla1[[#This Row],[CONCEPTO mx]],Tabla2[#All],2,0)),"")</f>
        <v/>
      </c>
      <c r="G617" s="49" t="str">
        <f>IFERROR(IF(Tabla1[[#This Row],[CONCEPTO mx]]="","",VLOOKUP(Tabla1[[#This Row],[CONCEPTO mx]],Tabla2[#All],3,0)),"")</f>
        <v/>
      </c>
      <c r="H617" s="49" t="s">
        <v>470</v>
      </c>
      <c r="I617" s="49" t="s">
        <v>2298</v>
      </c>
      <c r="J617" s="53" t="s">
        <v>2422</v>
      </c>
    </row>
    <row r="618" spans="1:10" x14ac:dyDescent="0.25">
      <c r="A618" s="51">
        <v>43312</v>
      </c>
      <c r="C618" s="49" t="s">
        <v>1970</v>
      </c>
      <c r="D618" s="49" t="s">
        <v>51</v>
      </c>
      <c r="F618" s="49" t="str">
        <f>IFERROR(IF(Tabla1[[#This Row],[CONCEPTO mx]]="","",VLOOKUP(Tabla1[[#This Row],[CONCEPTO mx]],Tabla2[#All],2,0)),"")</f>
        <v/>
      </c>
      <c r="G618" s="49" t="str">
        <f>IFERROR(IF(Tabla1[[#This Row],[CONCEPTO mx]]="","",VLOOKUP(Tabla1[[#This Row],[CONCEPTO mx]],Tabla2[#All],3,0)),"")</f>
        <v/>
      </c>
      <c r="H618" s="49" t="s">
        <v>486</v>
      </c>
      <c r="I618" s="49" t="s">
        <v>2298</v>
      </c>
      <c r="J618" s="53" t="s">
        <v>2819</v>
      </c>
    </row>
    <row r="619" spans="1:10" x14ac:dyDescent="0.25">
      <c r="A619" s="51">
        <v>43312</v>
      </c>
      <c r="C619" s="49" t="s">
        <v>1966</v>
      </c>
      <c r="D619" s="49" t="s">
        <v>51</v>
      </c>
      <c r="F619" s="49" t="str">
        <f>IFERROR(IF(Tabla1[[#This Row],[CONCEPTO mx]]="","",VLOOKUP(Tabla1[[#This Row],[CONCEPTO mx]],Tabla2[#All],2,0)),"")</f>
        <v/>
      </c>
      <c r="G619" s="49" t="str">
        <f>IFERROR(IF(Tabla1[[#This Row],[CONCEPTO mx]]="","",VLOOKUP(Tabla1[[#This Row],[CONCEPTO mx]],Tabla2[#All],3,0)),"")</f>
        <v/>
      </c>
      <c r="H619" s="49" t="s">
        <v>441</v>
      </c>
      <c r="I619" s="49" t="s">
        <v>2298</v>
      </c>
      <c r="J619" s="53" t="s">
        <v>2844</v>
      </c>
    </row>
    <row r="620" spans="1:10" x14ac:dyDescent="0.25">
      <c r="A620" s="51">
        <v>43312</v>
      </c>
      <c r="C620" s="49" t="s">
        <v>1609</v>
      </c>
      <c r="D620" s="49" t="s">
        <v>51</v>
      </c>
      <c r="F620" s="49" t="str">
        <f>IFERROR(IF(Tabla1[[#This Row],[CONCEPTO mx]]="","",VLOOKUP(Tabla1[[#This Row],[CONCEPTO mx]],Tabla2[#All],2,0)),"")</f>
        <v/>
      </c>
      <c r="G620" s="49" t="str">
        <f>IFERROR(IF(Tabla1[[#This Row],[CONCEPTO mx]]="","",VLOOKUP(Tabla1[[#This Row],[CONCEPTO mx]],Tabla2[#All],3,0)),"")</f>
        <v/>
      </c>
      <c r="H620" s="49" t="s">
        <v>2393</v>
      </c>
      <c r="I620" s="49" t="s">
        <v>2298</v>
      </c>
      <c r="J620" s="53" t="s">
        <v>2302</v>
      </c>
    </row>
    <row r="621" spans="1:10" x14ac:dyDescent="0.25">
      <c r="A621" s="51">
        <v>43312</v>
      </c>
      <c r="C621" s="49" t="s">
        <v>1968</v>
      </c>
      <c r="D621" s="49" t="s">
        <v>51</v>
      </c>
      <c r="F621" s="49" t="str">
        <f>IFERROR(IF(Tabla1[[#This Row],[CONCEPTO mx]]="","",VLOOKUP(Tabla1[[#This Row],[CONCEPTO mx]],Tabla2[#All],2,0)),"")</f>
        <v/>
      </c>
      <c r="G621" s="49" t="str">
        <f>IFERROR(IF(Tabla1[[#This Row],[CONCEPTO mx]]="","",VLOOKUP(Tabla1[[#This Row],[CONCEPTO mx]],Tabla2[#All],3,0)),"")</f>
        <v/>
      </c>
      <c r="H621" s="49" t="s">
        <v>352</v>
      </c>
      <c r="I621" s="49" t="s">
        <v>2298</v>
      </c>
      <c r="J621" s="53" t="s">
        <v>2302</v>
      </c>
    </row>
    <row r="622" spans="1:10" x14ac:dyDescent="0.25">
      <c r="A622" s="51">
        <v>43312</v>
      </c>
      <c r="C622" s="49" t="s">
        <v>1967</v>
      </c>
      <c r="D622" s="49" t="s">
        <v>51</v>
      </c>
      <c r="F622" s="49" t="str">
        <f>IFERROR(IF(Tabla1[[#This Row],[CONCEPTO mx]]="","",VLOOKUP(Tabla1[[#This Row],[CONCEPTO mx]],Tabla2[#All],2,0)),"")</f>
        <v/>
      </c>
      <c r="G622" s="49" t="str">
        <f>IFERROR(IF(Tabla1[[#This Row],[CONCEPTO mx]]="","",VLOOKUP(Tabla1[[#This Row],[CONCEPTO mx]],Tabla2[#All],3,0)),"")</f>
        <v/>
      </c>
      <c r="H622" s="49" t="s">
        <v>352</v>
      </c>
      <c r="I622" s="49" t="s">
        <v>2298</v>
      </c>
      <c r="J622" s="53" t="s">
        <v>2844</v>
      </c>
    </row>
    <row r="623" spans="1:10" x14ac:dyDescent="0.25">
      <c r="A623" s="51">
        <v>43312</v>
      </c>
      <c r="C623" s="49" t="s">
        <v>1980</v>
      </c>
      <c r="D623" s="49" t="s">
        <v>51</v>
      </c>
      <c r="F623" s="49" t="str">
        <f>IFERROR(IF(Tabla1[[#This Row],[CONCEPTO mx]]="","",VLOOKUP(Tabla1[[#This Row],[CONCEPTO mx]],Tabla2[#All],2,0)),"")</f>
        <v/>
      </c>
      <c r="G623" s="49" t="str">
        <f>IFERROR(IF(Tabla1[[#This Row],[CONCEPTO mx]]="","",VLOOKUP(Tabla1[[#This Row],[CONCEPTO mx]],Tabla2[#All],3,0)),"")</f>
        <v/>
      </c>
      <c r="H623" s="49" t="s">
        <v>486</v>
      </c>
      <c r="I623" s="49" t="s">
        <v>2298</v>
      </c>
      <c r="J623" s="53" t="s">
        <v>2351</v>
      </c>
    </row>
    <row r="624" spans="1:10" x14ac:dyDescent="0.25">
      <c r="A624" s="51">
        <v>43312</v>
      </c>
      <c r="C624" s="49" t="s">
        <v>1979</v>
      </c>
      <c r="D624" s="49" t="s">
        <v>51</v>
      </c>
      <c r="F624" s="49" t="str">
        <f>IFERROR(IF(Tabla1[[#This Row],[CONCEPTO mx]]="","",VLOOKUP(Tabla1[[#This Row],[CONCEPTO mx]],Tabla2[#All],2,0)),"")</f>
        <v/>
      </c>
      <c r="G624" s="49" t="str">
        <f>IFERROR(IF(Tabla1[[#This Row],[CONCEPTO mx]]="","",VLOOKUP(Tabla1[[#This Row],[CONCEPTO mx]],Tabla2[#All],3,0)),"")</f>
        <v/>
      </c>
      <c r="H624" s="49" t="s">
        <v>486</v>
      </c>
      <c r="I624" s="49" t="s">
        <v>2298</v>
      </c>
      <c r="J624" s="53" t="s">
        <v>2819</v>
      </c>
    </row>
    <row r="625" spans="1:12" x14ac:dyDescent="0.25">
      <c r="A625" s="51">
        <v>43312</v>
      </c>
      <c r="C625" s="49" t="s">
        <v>1973</v>
      </c>
      <c r="D625" s="49" t="s">
        <v>51</v>
      </c>
      <c r="F625" s="49" t="str">
        <f>IFERROR(IF(Tabla1[[#This Row],[CONCEPTO mx]]="","",VLOOKUP(Tabla1[[#This Row],[CONCEPTO mx]],Tabla2[#All],2,0)),"")</f>
        <v/>
      </c>
      <c r="G625" s="49" t="str">
        <f>IFERROR(IF(Tabla1[[#This Row],[CONCEPTO mx]]="","",VLOOKUP(Tabla1[[#This Row],[CONCEPTO mx]],Tabla2[#All],3,0)),"")</f>
        <v/>
      </c>
      <c r="H625" s="49" t="s">
        <v>2391</v>
      </c>
      <c r="I625" s="49" t="s">
        <v>2298</v>
      </c>
      <c r="J625" s="53" t="s">
        <v>2819</v>
      </c>
    </row>
    <row r="626" spans="1:12" x14ac:dyDescent="0.25">
      <c r="A626" s="51">
        <v>43312</v>
      </c>
      <c r="C626" s="49" t="s">
        <v>1975</v>
      </c>
      <c r="D626" s="49" t="s">
        <v>51</v>
      </c>
      <c r="F626" s="49" t="str">
        <f>IFERROR(IF(Tabla1[[#This Row],[CONCEPTO mx]]="","",VLOOKUP(Tabla1[[#This Row],[CONCEPTO mx]],Tabla2[#All],2,0)),"")</f>
        <v/>
      </c>
      <c r="G626" s="49" t="str">
        <f>IFERROR(IF(Tabla1[[#This Row],[CONCEPTO mx]]="","",VLOOKUP(Tabla1[[#This Row],[CONCEPTO mx]],Tabla2[#All],3,0)),"")</f>
        <v/>
      </c>
      <c r="H626" s="49" t="s">
        <v>438</v>
      </c>
      <c r="I626" s="49" t="s">
        <v>2298</v>
      </c>
      <c r="J626" s="53" t="s">
        <v>2302</v>
      </c>
    </row>
    <row r="627" spans="1:12" x14ac:dyDescent="0.25">
      <c r="A627" s="51">
        <v>43312</v>
      </c>
      <c r="C627" s="49" t="s">
        <v>1972</v>
      </c>
      <c r="D627" s="49" t="s">
        <v>51</v>
      </c>
      <c r="F627" s="49" t="str">
        <f>IFERROR(IF(Tabla1[[#This Row],[CONCEPTO mx]]="","",VLOOKUP(Tabla1[[#This Row],[CONCEPTO mx]],Tabla2[#All],2,0)),"")</f>
        <v/>
      </c>
      <c r="G627" s="49" t="str">
        <f>IFERROR(IF(Tabla1[[#This Row],[CONCEPTO mx]]="","",VLOOKUP(Tabla1[[#This Row],[CONCEPTO mx]],Tabla2[#All],3,0)),"")</f>
        <v/>
      </c>
      <c r="H627" s="49" t="s">
        <v>486</v>
      </c>
      <c r="I627" s="49" t="s">
        <v>2298</v>
      </c>
      <c r="J627" s="53" t="s">
        <v>2819</v>
      </c>
    </row>
    <row r="628" spans="1:12" x14ac:dyDescent="0.25">
      <c r="A628" s="51">
        <v>43312</v>
      </c>
      <c r="C628" s="49" t="s">
        <v>1971</v>
      </c>
      <c r="D628" s="49" t="s">
        <v>51</v>
      </c>
      <c r="F628" s="49" t="str">
        <f>IFERROR(IF(Tabla1[[#This Row],[CONCEPTO mx]]="","",VLOOKUP(Tabla1[[#This Row],[CONCEPTO mx]],Tabla2[#All],2,0)),"")</f>
        <v/>
      </c>
      <c r="G628" s="49" t="str">
        <f>IFERROR(IF(Tabla1[[#This Row],[CONCEPTO mx]]="","",VLOOKUP(Tabla1[[#This Row],[CONCEPTO mx]],Tabla2[#All],3,0)),"")</f>
        <v/>
      </c>
      <c r="H628" s="49" t="s">
        <v>486</v>
      </c>
      <c r="I628" s="49" t="s">
        <v>2298</v>
      </c>
      <c r="J628" s="53" t="s">
        <v>2819</v>
      </c>
    </row>
    <row r="629" spans="1:12" x14ac:dyDescent="0.25">
      <c r="A629" s="51">
        <v>43312</v>
      </c>
      <c r="C629" s="49" t="s">
        <v>1976</v>
      </c>
      <c r="D629" s="49" t="s">
        <v>51</v>
      </c>
      <c r="F629" s="49" t="str">
        <f>IFERROR(IF(Tabla1[[#This Row],[CONCEPTO mx]]="","",VLOOKUP(Tabla1[[#This Row],[CONCEPTO mx]],Tabla2[#All],2,0)),"")</f>
        <v/>
      </c>
      <c r="G629" s="49" t="str">
        <f>IFERROR(IF(Tabla1[[#This Row],[CONCEPTO mx]]="","",VLOOKUP(Tabla1[[#This Row],[CONCEPTO mx]],Tabla2[#All],3,0)),"")</f>
        <v/>
      </c>
      <c r="H629" s="49" t="s">
        <v>486</v>
      </c>
      <c r="I629" s="49" t="s">
        <v>2298</v>
      </c>
      <c r="J629" s="53" t="s">
        <v>2353</v>
      </c>
    </row>
    <row r="630" spans="1:12" x14ac:dyDescent="0.25">
      <c r="A630" s="51">
        <v>43312</v>
      </c>
      <c r="C630" s="49" t="s">
        <v>1969</v>
      </c>
      <c r="D630" s="49" t="s">
        <v>51</v>
      </c>
      <c r="F630" s="49" t="str">
        <f>IFERROR(IF(Tabla1[[#This Row],[CONCEPTO mx]]="","",VLOOKUP(Tabla1[[#This Row],[CONCEPTO mx]],Tabla2[#All],2,0)),"")</f>
        <v/>
      </c>
      <c r="G630" s="49" t="str">
        <f>IFERROR(IF(Tabla1[[#This Row],[CONCEPTO mx]]="","",VLOOKUP(Tabla1[[#This Row],[CONCEPTO mx]],Tabla2[#All],3,0)),"")</f>
        <v/>
      </c>
      <c r="H630" s="49" t="s">
        <v>388</v>
      </c>
      <c r="I630" s="49" t="s">
        <v>2298</v>
      </c>
      <c r="J630" s="53" t="s">
        <v>2353</v>
      </c>
    </row>
    <row r="631" spans="1:12" x14ac:dyDescent="0.25">
      <c r="A631" s="51">
        <v>43312</v>
      </c>
      <c r="C631" s="49" t="s">
        <v>1977</v>
      </c>
      <c r="D631" s="49" t="s">
        <v>51</v>
      </c>
      <c r="F631" s="49" t="str">
        <f>IFERROR(IF(Tabla1[[#This Row],[CONCEPTO mx]]="","",VLOOKUP(Tabla1[[#This Row],[CONCEPTO mx]],Tabla2[#All],2,0)),"")</f>
        <v/>
      </c>
      <c r="G631" s="49" t="str">
        <f>IFERROR(IF(Tabla1[[#This Row],[CONCEPTO mx]]="","",VLOOKUP(Tabla1[[#This Row],[CONCEPTO mx]],Tabla2[#All],3,0)),"")</f>
        <v/>
      </c>
      <c r="H631" s="49" t="s">
        <v>486</v>
      </c>
      <c r="I631" s="49" t="s">
        <v>2298</v>
      </c>
      <c r="J631" s="53" t="s">
        <v>2791</v>
      </c>
    </row>
    <row r="632" spans="1:12" x14ac:dyDescent="0.25">
      <c r="A632" s="64">
        <v>43314</v>
      </c>
      <c r="B632" s="65"/>
      <c r="C632" s="57" t="s">
        <v>1990</v>
      </c>
      <c r="D632" s="57" t="s">
        <v>2273</v>
      </c>
      <c r="E632" s="57"/>
      <c r="F632" s="57" t="str">
        <f>IFERROR(IF(Tabla1[[#This Row],[CONCEPTO mx]]="","",VLOOKUP(Tabla1[[#This Row],[CONCEPTO mx]],Tabla2[#All],2,0)),"")</f>
        <v/>
      </c>
      <c r="G632" s="57" t="str">
        <f>IFERROR(IF(Tabla1[[#This Row],[CONCEPTO mx]]="","",VLOOKUP(Tabla1[[#This Row],[CONCEPTO mx]],Tabla2[#All],3,0)),"")</f>
        <v/>
      </c>
      <c r="H632" s="57" t="s">
        <v>542</v>
      </c>
      <c r="I632" s="57" t="s">
        <v>2298</v>
      </c>
      <c r="J632" s="66" t="s">
        <v>2302</v>
      </c>
      <c r="K632" s="57"/>
      <c r="L632" s="57"/>
    </row>
    <row r="633" spans="1:12" x14ac:dyDescent="0.25">
      <c r="A633" s="51">
        <v>43314</v>
      </c>
      <c r="C633" s="49" t="s">
        <v>1989</v>
      </c>
      <c r="D633" s="49" t="s">
        <v>51</v>
      </c>
      <c r="F633" s="49" t="str">
        <f>IFERROR(IF(Tabla1[[#This Row],[CONCEPTO mx]]="","",VLOOKUP(Tabla1[[#This Row],[CONCEPTO mx]],Tabla2[#All],2,0)),"")</f>
        <v/>
      </c>
      <c r="G633" s="49" t="str">
        <f>IFERROR(IF(Tabla1[[#This Row],[CONCEPTO mx]]="","",VLOOKUP(Tabla1[[#This Row],[CONCEPTO mx]],Tabla2[#All],3,0)),"")</f>
        <v/>
      </c>
      <c r="H633" s="49" t="s">
        <v>2394</v>
      </c>
      <c r="I633" s="49" t="s">
        <v>2298</v>
      </c>
      <c r="J633" s="53" t="s">
        <v>2845</v>
      </c>
    </row>
    <row r="634" spans="1:12" x14ac:dyDescent="0.25">
      <c r="A634" s="51">
        <v>43314</v>
      </c>
      <c r="C634" s="49" t="s">
        <v>1983</v>
      </c>
      <c r="D634" s="49" t="s">
        <v>51</v>
      </c>
      <c r="F634" s="49" t="str">
        <f>IFERROR(IF(Tabla1[[#This Row],[CONCEPTO mx]]="","",VLOOKUP(Tabla1[[#This Row],[CONCEPTO mx]],Tabla2[#All],2,0)),"")</f>
        <v/>
      </c>
      <c r="G634" s="49" t="str">
        <f>IFERROR(IF(Tabla1[[#This Row],[CONCEPTO mx]]="","",VLOOKUP(Tabla1[[#This Row],[CONCEPTO mx]],Tabla2[#All],3,0)),"")</f>
        <v/>
      </c>
      <c r="H634" s="49" t="s">
        <v>406</v>
      </c>
      <c r="I634" s="49" t="s">
        <v>1984</v>
      </c>
      <c r="J634" s="53"/>
    </row>
    <row r="635" spans="1:12" x14ac:dyDescent="0.25">
      <c r="A635" s="51">
        <v>43314</v>
      </c>
      <c r="C635" s="49" t="s">
        <v>1985</v>
      </c>
      <c r="D635" s="49" t="s">
        <v>51</v>
      </c>
      <c r="F635" s="49" t="str">
        <f>IFERROR(IF(Tabla1[[#This Row],[CONCEPTO mx]]="","",VLOOKUP(Tabla1[[#This Row],[CONCEPTO mx]],Tabla2[#All],2,0)),"")</f>
        <v/>
      </c>
      <c r="G635" s="49" t="str">
        <f>IFERROR(IF(Tabla1[[#This Row],[CONCEPTO mx]]="","",VLOOKUP(Tabla1[[#This Row],[CONCEPTO mx]],Tabla2[#All],3,0)),"")</f>
        <v/>
      </c>
      <c r="H635" s="49" t="s">
        <v>406</v>
      </c>
      <c r="I635" s="49" t="s">
        <v>2319</v>
      </c>
      <c r="J635" s="53"/>
    </row>
    <row r="636" spans="1:12" x14ac:dyDescent="0.25">
      <c r="A636" s="51">
        <v>43314</v>
      </c>
      <c r="C636" s="49" t="s">
        <v>1982</v>
      </c>
      <c r="D636" s="49" t="s">
        <v>2273</v>
      </c>
      <c r="F636" s="49" t="str">
        <f>IFERROR(IF(Tabla1[[#This Row],[CONCEPTO mx]]="","",VLOOKUP(Tabla1[[#This Row],[CONCEPTO mx]],Tabla2[#All],2,0)),"")</f>
        <v/>
      </c>
      <c r="G636" s="49" t="str">
        <f>IFERROR(IF(Tabla1[[#This Row],[CONCEPTO mx]]="","",VLOOKUP(Tabla1[[#This Row],[CONCEPTO mx]],Tabla2[#All],3,0)),"")</f>
        <v/>
      </c>
      <c r="H636" s="49" t="s">
        <v>441</v>
      </c>
      <c r="I636" s="49" t="s">
        <v>2328</v>
      </c>
      <c r="J636" s="53"/>
    </row>
    <row r="637" spans="1:12" x14ac:dyDescent="0.25">
      <c r="A637" s="51">
        <v>43314</v>
      </c>
      <c r="C637" s="49" t="s">
        <v>1981</v>
      </c>
      <c r="D637" s="49" t="s">
        <v>51</v>
      </c>
      <c r="F637" s="49" t="str">
        <f>IFERROR(IF(Tabla1[[#This Row],[CONCEPTO mx]]="","",VLOOKUP(Tabla1[[#This Row],[CONCEPTO mx]],Tabla2[#All],2,0)),"")</f>
        <v/>
      </c>
      <c r="G637" s="49" t="str">
        <f>IFERROR(IF(Tabla1[[#This Row],[CONCEPTO mx]]="","",VLOOKUP(Tabla1[[#This Row],[CONCEPTO mx]],Tabla2[#All],3,0)),"")</f>
        <v/>
      </c>
      <c r="H637" s="49" t="s">
        <v>2394</v>
      </c>
      <c r="I637" s="49" t="s">
        <v>2298</v>
      </c>
      <c r="J637" s="53" t="s">
        <v>2351</v>
      </c>
    </row>
    <row r="638" spans="1:12" x14ac:dyDescent="0.25">
      <c r="A638" s="51">
        <v>43314</v>
      </c>
      <c r="C638" s="49" t="s">
        <v>1987</v>
      </c>
      <c r="D638" s="49" t="s">
        <v>2273</v>
      </c>
      <c r="F638" s="49" t="str">
        <f>IFERROR(IF(Tabla1[[#This Row],[CONCEPTO mx]]="","",VLOOKUP(Tabla1[[#This Row],[CONCEPTO mx]],Tabla2[#All],2,0)),"")</f>
        <v/>
      </c>
      <c r="G638" s="49" t="str">
        <f>IFERROR(IF(Tabla1[[#This Row],[CONCEPTO mx]]="","",VLOOKUP(Tabla1[[#This Row],[CONCEPTO mx]],Tabla2[#All],3,0)),"")</f>
        <v/>
      </c>
      <c r="H638" s="49" t="s">
        <v>2392</v>
      </c>
      <c r="I638" s="49" t="s">
        <v>1988</v>
      </c>
      <c r="J638" s="53"/>
    </row>
    <row r="639" spans="1:12" x14ac:dyDescent="0.25">
      <c r="A639" s="51">
        <v>43314</v>
      </c>
      <c r="C639" s="49" t="s">
        <v>1986</v>
      </c>
      <c r="D639" s="49" t="s">
        <v>51</v>
      </c>
      <c r="F639" s="49" t="str">
        <f>IFERROR(IF(Tabla1[[#This Row],[CONCEPTO mx]]="","",VLOOKUP(Tabla1[[#This Row],[CONCEPTO mx]],Tabla2[#All],2,0)),"")</f>
        <v/>
      </c>
      <c r="G639" s="49" t="str">
        <f>IFERROR(IF(Tabla1[[#This Row],[CONCEPTO mx]]="","",VLOOKUP(Tabla1[[#This Row],[CONCEPTO mx]],Tabla2[#All],3,0)),"")</f>
        <v/>
      </c>
      <c r="H639" s="49" t="s">
        <v>441</v>
      </c>
      <c r="I639" s="49" t="s">
        <v>2298</v>
      </c>
      <c r="J639" s="53" t="s">
        <v>2341</v>
      </c>
    </row>
    <row r="640" spans="1:12" x14ac:dyDescent="0.25">
      <c r="A640" s="51">
        <v>43315</v>
      </c>
      <c r="C640" s="49" t="s">
        <v>1994</v>
      </c>
      <c r="D640" s="49" t="s">
        <v>51</v>
      </c>
      <c r="F640" s="49" t="str">
        <f>IFERROR(IF(Tabla1[[#This Row],[CONCEPTO mx]]="","",VLOOKUP(Tabla1[[#This Row],[CONCEPTO mx]],Tabla2[#All],2,0)),"")</f>
        <v/>
      </c>
      <c r="G640" s="49" t="str">
        <f>IFERROR(IF(Tabla1[[#This Row],[CONCEPTO mx]]="","",VLOOKUP(Tabla1[[#This Row],[CONCEPTO mx]],Tabla2[#All],3,0)),"")</f>
        <v/>
      </c>
      <c r="H640" s="49" t="s">
        <v>438</v>
      </c>
      <c r="I640" s="49" t="s">
        <v>2298</v>
      </c>
      <c r="J640" s="53" t="s">
        <v>2314</v>
      </c>
    </row>
    <row r="641" spans="1:12" x14ac:dyDescent="0.25">
      <c r="A641" s="51">
        <v>43315</v>
      </c>
      <c r="C641" s="49" t="s">
        <v>1995</v>
      </c>
      <c r="D641" s="49" t="s">
        <v>51</v>
      </c>
      <c r="F641" s="49" t="str">
        <f>IFERROR(IF(Tabla1[[#This Row],[CONCEPTO mx]]="","",VLOOKUP(Tabla1[[#This Row],[CONCEPTO mx]],Tabla2[#All],2,0)),"")</f>
        <v/>
      </c>
      <c r="G641" s="49" t="str">
        <f>IFERROR(IF(Tabla1[[#This Row],[CONCEPTO mx]]="","",VLOOKUP(Tabla1[[#This Row],[CONCEPTO mx]],Tabla2[#All],3,0)),"")</f>
        <v/>
      </c>
      <c r="H641" s="49" t="s">
        <v>438</v>
      </c>
      <c r="I641" s="49" t="s">
        <v>2298</v>
      </c>
      <c r="J641" s="53" t="s">
        <v>2351</v>
      </c>
    </row>
    <row r="642" spans="1:12" x14ac:dyDescent="0.25">
      <c r="A642" s="51">
        <v>43315</v>
      </c>
      <c r="C642" s="49" t="s">
        <v>1993</v>
      </c>
      <c r="D642" s="49" t="s">
        <v>51</v>
      </c>
      <c r="F642" s="49" t="str">
        <f>IFERROR(IF(Tabla1[[#This Row],[CONCEPTO mx]]="","",VLOOKUP(Tabla1[[#This Row],[CONCEPTO mx]],Tabla2[#All],2,0)),"")</f>
        <v/>
      </c>
      <c r="G642" s="49" t="str">
        <f>IFERROR(IF(Tabla1[[#This Row],[CONCEPTO mx]]="","",VLOOKUP(Tabla1[[#This Row],[CONCEPTO mx]],Tabla2[#All],3,0)),"")</f>
        <v/>
      </c>
      <c r="H642" s="49" t="s">
        <v>438</v>
      </c>
      <c r="I642" s="49" t="s">
        <v>2298</v>
      </c>
      <c r="J642" s="53" t="s">
        <v>2841</v>
      </c>
    </row>
    <row r="643" spans="1:12" x14ac:dyDescent="0.25">
      <c r="A643" s="51">
        <v>43315</v>
      </c>
      <c r="C643" s="49" t="s">
        <v>1991</v>
      </c>
      <c r="D643" s="49" t="s">
        <v>51</v>
      </c>
      <c r="F643" s="49" t="str">
        <f>IFERROR(IF(Tabla1[[#This Row],[CONCEPTO mx]]="","",VLOOKUP(Tabla1[[#This Row],[CONCEPTO mx]],Tabla2[#All],2,0)),"")</f>
        <v/>
      </c>
      <c r="G643" s="49" t="str">
        <f>IFERROR(IF(Tabla1[[#This Row],[CONCEPTO mx]]="","",VLOOKUP(Tabla1[[#This Row],[CONCEPTO mx]],Tabla2[#All],3,0)),"")</f>
        <v/>
      </c>
      <c r="H643" s="49" t="s">
        <v>352</v>
      </c>
      <c r="I643" s="49" t="s">
        <v>2298</v>
      </c>
      <c r="J643" s="53" t="s">
        <v>2302</v>
      </c>
    </row>
    <row r="644" spans="1:12" x14ac:dyDescent="0.25">
      <c r="A644" s="51">
        <v>43315</v>
      </c>
      <c r="C644" s="49" t="s">
        <v>1992</v>
      </c>
      <c r="D644" s="49" t="s">
        <v>51</v>
      </c>
      <c r="F644" s="49" t="str">
        <f>IFERROR(IF(Tabla1[[#This Row],[CONCEPTO mx]]="","",VLOOKUP(Tabla1[[#This Row],[CONCEPTO mx]],Tabla2[#All],2,0)),"")</f>
        <v/>
      </c>
      <c r="G644" s="49" t="str">
        <f>IFERROR(IF(Tabla1[[#This Row],[CONCEPTO mx]]="","",VLOOKUP(Tabla1[[#This Row],[CONCEPTO mx]],Tabla2[#All],3,0)),"")</f>
        <v/>
      </c>
      <c r="H644" s="49" t="s">
        <v>438</v>
      </c>
      <c r="I644" s="49" t="s">
        <v>2298</v>
      </c>
      <c r="J644" s="53" t="s">
        <v>2841</v>
      </c>
    </row>
    <row r="645" spans="1:12" x14ac:dyDescent="0.25">
      <c r="A645" s="64">
        <v>43318</v>
      </c>
      <c r="B645" s="65"/>
      <c r="C645" s="57" t="s">
        <v>1990</v>
      </c>
      <c r="D645" s="57" t="s">
        <v>51</v>
      </c>
      <c r="E645" s="57"/>
      <c r="F645" s="57" t="str">
        <f>IFERROR(IF(Tabla1[[#This Row],[CONCEPTO mx]]="","",VLOOKUP(Tabla1[[#This Row],[CONCEPTO mx]],Tabla2[#All],2,0)),"")</f>
        <v/>
      </c>
      <c r="G645" s="57" t="str">
        <f>IFERROR(IF(Tabla1[[#This Row],[CONCEPTO mx]]="","",VLOOKUP(Tabla1[[#This Row],[CONCEPTO mx]],Tabla2[#All],3,0)),"")</f>
        <v/>
      </c>
      <c r="H645" s="57" t="s">
        <v>343</v>
      </c>
      <c r="I645" s="57" t="s">
        <v>2298</v>
      </c>
      <c r="J645" s="66" t="s">
        <v>2302</v>
      </c>
      <c r="K645" s="57"/>
      <c r="L645" s="57"/>
    </row>
    <row r="646" spans="1:12" x14ac:dyDescent="0.25">
      <c r="A646" s="51">
        <v>43318</v>
      </c>
      <c r="C646" s="49" t="s">
        <v>2006</v>
      </c>
      <c r="D646" s="49" t="s">
        <v>51</v>
      </c>
      <c r="F646" s="49" t="str">
        <f>IFERROR(IF(Tabla1[[#This Row],[CONCEPTO mx]]="","",VLOOKUP(Tabla1[[#This Row],[CONCEPTO mx]],Tabla2[#All],2,0)),"")</f>
        <v/>
      </c>
      <c r="G646" s="49" t="str">
        <f>IFERROR(IF(Tabla1[[#This Row],[CONCEPTO mx]]="","",VLOOKUP(Tabla1[[#This Row],[CONCEPTO mx]],Tabla2[#All],3,0)),"")</f>
        <v/>
      </c>
      <c r="H646" s="49" t="s">
        <v>438</v>
      </c>
      <c r="I646" s="49" t="s">
        <v>2331</v>
      </c>
      <c r="J646" s="53" t="s">
        <v>2322</v>
      </c>
    </row>
    <row r="647" spans="1:12" x14ac:dyDescent="0.25">
      <c r="A647" s="51">
        <v>43318</v>
      </c>
      <c r="C647" s="49" t="s">
        <v>2002</v>
      </c>
      <c r="D647" s="49" t="s">
        <v>2001</v>
      </c>
      <c r="F647" s="49" t="str">
        <f>IFERROR(IF(Tabla1[[#This Row],[CONCEPTO mx]]="","",VLOOKUP(Tabla1[[#This Row],[CONCEPTO mx]],Tabla2[#All],2,0)),"")</f>
        <v/>
      </c>
      <c r="G647" s="49" t="str">
        <f>IFERROR(IF(Tabla1[[#This Row],[CONCEPTO mx]]="","",VLOOKUP(Tabla1[[#This Row],[CONCEPTO mx]],Tabla2[#All],3,0)),"")</f>
        <v/>
      </c>
      <c r="H647" s="49" t="s">
        <v>484</v>
      </c>
      <c r="I647" s="49" t="s">
        <v>2316</v>
      </c>
      <c r="J647" s="53"/>
    </row>
    <row r="648" spans="1:12" x14ac:dyDescent="0.25">
      <c r="A648" s="51">
        <v>43318</v>
      </c>
      <c r="C648" s="49" t="s">
        <v>2004</v>
      </c>
      <c r="D648" s="49" t="s">
        <v>2273</v>
      </c>
      <c r="F648" s="49" t="str">
        <f>IFERROR(IF(Tabla1[[#This Row],[CONCEPTO mx]]="","",VLOOKUP(Tabla1[[#This Row],[CONCEPTO mx]],Tabla2[#All],2,0)),"")</f>
        <v/>
      </c>
      <c r="G648" s="49" t="str">
        <f>IFERROR(IF(Tabla1[[#This Row],[CONCEPTO mx]]="","",VLOOKUP(Tabla1[[#This Row],[CONCEPTO mx]],Tabla2[#All],3,0)),"")</f>
        <v/>
      </c>
      <c r="H648" s="49" t="s">
        <v>388</v>
      </c>
      <c r="I648" s="49" t="s">
        <v>2298</v>
      </c>
      <c r="J648" s="53" t="s">
        <v>2792</v>
      </c>
    </row>
    <row r="649" spans="1:12" x14ac:dyDescent="0.25">
      <c r="A649" s="51">
        <v>43318</v>
      </c>
      <c r="C649" s="49" t="s">
        <v>2000</v>
      </c>
      <c r="D649" s="49" t="s">
        <v>2001</v>
      </c>
      <c r="F649" s="49" t="str">
        <f>IFERROR(IF(Tabla1[[#This Row],[CONCEPTO mx]]="","",VLOOKUP(Tabla1[[#This Row],[CONCEPTO mx]],Tabla2[#All],2,0)),"")</f>
        <v/>
      </c>
      <c r="G649" s="49" t="str">
        <f>IFERROR(IF(Tabla1[[#This Row],[CONCEPTO mx]]="","",VLOOKUP(Tabla1[[#This Row],[CONCEPTO mx]],Tabla2[#All],3,0)),"")</f>
        <v/>
      </c>
      <c r="H649" s="49" t="s">
        <v>388</v>
      </c>
      <c r="I649" s="49" t="s">
        <v>2317</v>
      </c>
      <c r="J649" s="53"/>
    </row>
    <row r="650" spans="1:12" x14ac:dyDescent="0.25">
      <c r="A650" s="51">
        <v>43318</v>
      </c>
      <c r="C650" s="49" t="s">
        <v>2003</v>
      </c>
      <c r="D650" s="49" t="s">
        <v>51</v>
      </c>
      <c r="F650" s="49" t="str">
        <f>IFERROR(IF(Tabla1[[#This Row],[CONCEPTO mx]]="","",VLOOKUP(Tabla1[[#This Row],[CONCEPTO mx]],Tabla2[#All],2,0)),"")</f>
        <v/>
      </c>
      <c r="G650" s="49" t="str">
        <f>IFERROR(IF(Tabla1[[#This Row],[CONCEPTO mx]]="","",VLOOKUP(Tabla1[[#This Row],[CONCEPTO mx]],Tabla2[#All],3,0)),"")</f>
        <v/>
      </c>
      <c r="H650" s="49" t="s">
        <v>438</v>
      </c>
      <c r="I650" s="49" t="s">
        <v>2298</v>
      </c>
      <c r="J650" s="53" t="s">
        <v>2302</v>
      </c>
    </row>
    <row r="651" spans="1:12" x14ac:dyDescent="0.25">
      <c r="A651" s="51">
        <v>43318</v>
      </c>
      <c r="C651" s="49" t="s">
        <v>1996</v>
      </c>
      <c r="D651" s="49" t="s">
        <v>51</v>
      </c>
      <c r="E651" s="49" t="s">
        <v>3315</v>
      </c>
      <c r="F651" s="49" t="str">
        <f>IFERROR(IF(Tabla1[[#This Row],[CONCEPTO mx]]="","",VLOOKUP(Tabla1[[#This Row],[CONCEPTO mx]],Tabla2[#All],2,0)),"")</f>
        <v>CM40</v>
      </c>
      <c r="G651" s="49" t="str">
        <f>IFERROR(IF(Tabla1[[#This Row],[CONCEPTO mx]]="","",VLOOKUP(Tabla1[[#This Row],[CONCEPTO mx]],Tabla2[#All],3,0)),"")</f>
        <v>SST</v>
      </c>
      <c r="H651" s="49" t="s">
        <v>438</v>
      </c>
      <c r="I651" s="49" t="s">
        <v>2298</v>
      </c>
      <c r="J651" s="53" t="s">
        <v>2846</v>
      </c>
    </row>
    <row r="652" spans="1:12" x14ac:dyDescent="0.25">
      <c r="A652" s="51">
        <v>43318</v>
      </c>
      <c r="C652" s="49" t="s">
        <v>289</v>
      </c>
      <c r="D652" s="49" t="s">
        <v>51</v>
      </c>
      <c r="F652" s="49" t="str">
        <f>IFERROR(IF(Tabla1[[#This Row],[CONCEPTO mx]]="","",VLOOKUP(Tabla1[[#This Row],[CONCEPTO mx]],Tabla2[#All],2,0)),"")</f>
        <v/>
      </c>
      <c r="G652" s="49" t="str">
        <f>IFERROR(IF(Tabla1[[#This Row],[CONCEPTO mx]]="","",VLOOKUP(Tabla1[[#This Row],[CONCEPTO mx]],Tabla2[#All],3,0)),"")</f>
        <v/>
      </c>
      <c r="H652" s="49" t="s">
        <v>2394</v>
      </c>
      <c r="I652" s="49" t="s">
        <v>2298</v>
      </c>
      <c r="J652" s="53" t="s">
        <v>2819</v>
      </c>
    </row>
    <row r="653" spans="1:12" x14ac:dyDescent="0.25">
      <c r="A653" s="51">
        <v>43318</v>
      </c>
      <c r="C653" s="49" t="s">
        <v>2011</v>
      </c>
      <c r="D653" s="49" t="s">
        <v>51</v>
      </c>
      <c r="F653" s="49" t="str">
        <f>IFERROR(IF(Tabla1[[#This Row],[CONCEPTO mx]]="","",VLOOKUP(Tabla1[[#This Row],[CONCEPTO mx]],Tabla2[#All],2,0)),"")</f>
        <v/>
      </c>
      <c r="G653" s="49" t="str">
        <f>IFERROR(IF(Tabla1[[#This Row],[CONCEPTO mx]]="","",VLOOKUP(Tabla1[[#This Row],[CONCEPTO mx]],Tabla2[#All],3,0)),"")</f>
        <v/>
      </c>
      <c r="H653" s="49" t="s">
        <v>343</v>
      </c>
      <c r="I653" s="49" t="s">
        <v>2298</v>
      </c>
      <c r="J653" s="53" t="s">
        <v>2302</v>
      </c>
    </row>
    <row r="654" spans="1:12" x14ac:dyDescent="0.25">
      <c r="A654" s="51">
        <v>43318</v>
      </c>
      <c r="C654" s="49" t="s">
        <v>1999</v>
      </c>
      <c r="D654" s="49" t="s">
        <v>51</v>
      </c>
      <c r="E654" s="49" t="s">
        <v>3315</v>
      </c>
      <c r="F654" s="49" t="str">
        <f>IFERROR(IF(Tabla1[[#This Row],[CONCEPTO mx]]="","",VLOOKUP(Tabla1[[#This Row],[CONCEPTO mx]],Tabla2[#All],2,0)),"")</f>
        <v>CM40</v>
      </c>
      <c r="G654" s="49" t="str">
        <f>IFERROR(IF(Tabla1[[#This Row],[CONCEPTO mx]]="","",VLOOKUP(Tabla1[[#This Row],[CONCEPTO mx]],Tabla2[#All],3,0)),"")</f>
        <v>SST</v>
      </c>
      <c r="H654" s="49" t="s">
        <v>2393</v>
      </c>
      <c r="I654" s="49" t="s">
        <v>2298</v>
      </c>
      <c r="J654" s="53" t="s">
        <v>2317</v>
      </c>
    </row>
    <row r="655" spans="1:12" x14ac:dyDescent="0.25">
      <c r="A655" s="51">
        <v>43318</v>
      </c>
      <c r="C655" s="49" t="s">
        <v>2007</v>
      </c>
      <c r="D655" s="49" t="s">
        <v>51</v>
      </c>
      <c r="E655" s="49" t="s">
        <v>3315</v>
      </c>
      <c r="F655" s="49" t="str">
        <f>IFERROR(IF(Tabla1[[#This Row],[CONCEPTO mx]]="","",VLOOKUP(Tabla1[[#This Row],[CONCEPTO mx]],Tabla2[#All],2,0)),"")</f>
        <v>CM40</v>
      </c>
      <c r="G655" s="49" t="str">
        <f>IFERROR(IF(Tabla1[[#This Row],[CONCEPTO mx]]="","",VLOOKUP(Tabla1[[#This Row],[CONCEPTO mx]],Tabla2[#All],3,0)),"")</f>
        <v>SST</v>
      </c>
      <c r="H655" s="49" t="s">
        <v>438</v>
      </c>
      <c r="I655" s="49" t="s">
        <v>2298</v>
      </c>
      <c r="J655" s="53" t="s">
        <v>2302</v>
      </c>
    </row>
    <row r="656" spans="1:12" x14ac:dyDescent="0.25">
      <c r="A656" s="51">
        <v>43318</v>
      </c>
      <c r="C656" s="49" t="s">
        <v>2009</v>
      </c>
      <c r="D656" s="49" t="s">
        <v>2273</v>
      </c>
      <c r="F656" s="49" t="str">
        <f>IFERROR(IF(Tabla1[[#This Row],[CONCEPTO mx]]="","",VLOOKUP(Tabla1[[#This Row],[CONCEPTO mx]],Tabla2[#All],2,0)),"")</f>
        <v/>
      </c>
      <c r="G656" s="49" t="str">
        <f>IFERROR(IF(Tabla1[[#This Row],[CONCEPTO mx]]="","",VLOOKUP(Tabla1[[#This Row],[CONCEPTO mx]],Tabla2[#All],3,0)),"")</f>
        <v/>
      </c>
      <c r="H656" s="49" t="s">
        <v>486</v>
      </c>
      <c r="I656" s="49" t="s">
        <v>2298</v>
      </c>
      <c r="J656" s="53" t="s">
        <v>2353</v>
      </c>
    </row>
    <row r="657" spans="1:10" x14ac:dyDescent="0.25">
      <c r="A657" s="51">
        <v>43318</v>
      </c>
      <c r="C657" s="49" t="s">
        <v>1997</v>
      </c>
      <c r="D657" s="49" t="s">
        <v>51</v>
      </c>
      <c r="F657" s="49" t="str">
        <f>IFERROR(IF(Tabla1[[#This Row],[CONCEPTO mx]]="","",VLOOKUP(Tabla1[[#This Row],[CONCEPTO mx]],Tabla2[#All],2,0)),"")</f>
        <v/>
      </c>
      <c r="G657" s="49" t="str">
        <f>IFERROR(IF(Tabla1[[#This Row],[CONCEPTO mx]]="","",VLOOKUP(Tabla1[[#This Row],[CONCEPTO mx]],Tabla2[#All],3,0)),"")</f>
        <v/>
      </c>
      <c r="H657" s="49" t="s">
        <v>470</v>
      </c>
      <c r="I657" s="49" t="s">
        <v>2298</v>
      </c>
      <c r="J657" s="53" t="s">
        <v>2847</v>
      </c>
    </row>
    <row r="658" spans="1:10" x14ac:dyDescent="0.25">
      <c r="A658" s="51">
        <v>43318</v>
      </c>
      <c r="C658" s="49" t="s">
        <v>2005</v>
      </c>
      <c r="D658" s="49" t="s">
        <v>51</v>
      </c>
      <c r="F658" s="49" t="str">
        <f>IFERROR(IF(Tabla1[[#This Row],[CONCEPTO mx]]="","",VLOOKUP(Tabla1[[#This Row],[CONCEPTO mx]],Tabla2[#All],2,0)),"")</f>
        <v/>
      </c>
      <c r="G658" s="49" t="str">
        <f>IFERROR(IF(Tabla1[[#This Row],[CONCEPTO mx]]="","",VLOOKUP(Tabla1[[#This Row],[CONCEPTO mx]],Tabla2[#All],3,0)),"")</f>
        <v/>
      </c>
      <c r="H658" s="49" t="s">
        <v>388</v>
      </c>
      <c r="I658" s="49" t="s">
        <v>2298</v>
      </c>
      <c r="J658" s="53" t="s">
        <v>2302</v>
      </c>
    </row>
    <row r="659" spans="1:10" x14ac:dyDescent="0.25">
      <c r="A659" s="51">
        <v>43318</v>
      </c>
      <c r="C659" s="49" t="s">
        <v>1998</v>
      </c>
      <c r="D659" s="49" t="s">
        <v>51</v>
      </c>
      <c r="F659" s="49" t="str">
        <f>IFERROR(IF(Tabla1[[#This Row],[CONCEPTO mx]]="","",VLOOKUP(Tabla1[[#This Row],[CONCEPTO mx]],Tabla2[#All],2,0)),"")</f>
        <v/>
      </c>
      <c r="G659" s="49" t="str">
        <f>IFERROR(IF(Tabla1[[#This Row],[CONCEPTO mx]]="","",VLOOKUP(Tabla1[[#This Row],[CONCEPTO mx]],Tabla2[#All],3,0)),"")</f>
        <v/>
      </c>
      <c r="H659" s="49" t="s">
        <v>438</v>
      </c>
      <c r="I659" s="49" t="s">
        <v>2298</v>
      </c>
      <c r="J659" s="53" t="s">
        <v>2848</v>
      </c>
    </row>
    <row r="660" spans="1:10" x14ac:dyDescent="0.25">
      <c r="A660" s="51">
        <v>43318</v>
      </c>
      <c r="C660" s="49" t="s">
        <v>2012</v>
      </c>
      <c r="D660" s="49" t="s">
        <v>51</v>
      </c>
      <c r="F660" s="49" t="str">
        <f>IFERROR(IF(Tabla1[[#This Row],[CONCEPTO mx]]="","",VLOOKUP(Tabla1[[#This Row],[CONCEPTO mx]],Tabla2[#All],2,0)),"")</f>
        <v/>
      </c>
      <c r="G660" s="49" t="str">
        <f>IFERROR(IF(Tabla1[[#This Row],[CONCEPTO mx]]="","",VLOOKUP(Tabla1[[#This Row],[CONCEPTO mx]],Tabla2[#All],3,0)),"")</f>
        <v/>
      </c>
      <c r="H660" s="49" t="s">
        <v>628</v>
      </c>
      <c r="I660" s="49" t="s">
        <v>2298</v>
      </c>
      <c r="J660" s="53" t="s">
        <v>2302</v>
      </c>
    </row>
    <row r="661" spans="1:10" x14ac:dyDescent="0.25">
      <c r="A661" s="51">
        <v>43318</v>
      </c>
      <c r="C661" s="49" t="s">
        <v>2010</v>
      </c>
      <c r="E661" s="49" t="s">
        <v>2355</v>
      </c>
      <c r="F661" s="49" t="str">
        <f>IFERROR(IF(Tabla1[[#This Row],[CONCEPTO mx]]="","",VLOOKUP(Tabla1[[#This Row],[CONCEPTO mx]],Tabla2[#All],2,0)),"")</f>
        <v>CM13</v>
      </c>
      <c r="G661" s="49" t="str">
        <f>IFERROR(IF(Tabla1[[#This Row],[CONCEPTO mx]]="","",VLOOKUP(Tabla1[[#This Row],[CONCEPTO mx]],Tabla2[#All],3,0)),"")</f>
        <v>Gestión Humana</v>
      </c>
      <c r="H661" s="49" t="s">
        <v>2394</v>
      </c>
      <c r="I661" s="49" t="s">
        <v>2298</v>
      </c>
      <c r="J661" s="53" t="s">
        <v>2353</v>
      </c>
    </row>
    <row r="662" spans="1:10" x14ac:dyDescent="0.25">
      <c r="A662" s="51">
        <v>43318</v>
      </c>
      <c r="C662" s="49" t="s">
        <v>2008</v>
      </c>
      <c r="D662" s="49" t="s">
        <v>51</v>
      </c>
      <c r="E662" s="49" t="s">
        <v>3315</v>
      </c>
      <c r="F662" s="49" t="str">
        <f>IFERROR(IF(Tabla1[[#This Row],[CONCEPTO mx]]="","",VLOOKUP(Tabla1[[#This Row],[CONCEPTO mx]],Tabla2[#All],2,0)),"")</f>
        <v>CM40</v>
      </c>
      <c r="G662" s="49" t="str">
        <f>IFERROR(IF(Tabla1[[#This Row],[CONCEPTO mx]]="","",VLOOKUP(Tabla1[[#This Row],[CONCEPTO mx]],Tabla2[#All],3,0)),"")</f>
        <v>SST</v>
      </c>
      <c r="H662" s="49" t="s">
        <v>438</v>
      </c>
      <c r="I662" s="49" t="s">
        <v>2298</v>
      </c>
      <c r="J662" s="53" t="s">
        <v>2849</v>
      </c>
    </row>
    <row r="663" spans="1:10" x14ac:dyDescent="0.25">
      <c r="A663" s="51">
        <v>43320</v>
      </c>
      <c r="C663" s="49" t="s">
        <v>2013</v>
      </c>
      <c r="D663" s="49" t="s">
        <v>51</v>
      </c>
      <c r="F663" s="49" t="str">
        <f>IFERROR(IF(Tabla1[[#This Row],[CONCEPTO mx]]="","",VLOOKUP(Tabla1[[#This Row],[CONCEPTO mx]],Tabla2[#All],2,0)),"")</f>
        <v/>
      </c>
      <c r="G663" s="49" t="str">
        <f>IFERROR(IF(Tabla1[[#This Row],[CONCEPTO mx]]="","",VLOOKUP(Tabla1[[#This Row],[CONCEPTO mx]],Tabla2[#All],3,0)),"")</f>
        <v/>
      </c>
      <c r="H663" s="49" t="s">
        <v>438</v>
      </c>
      <c r="I663" s="49" t="s">
        <v>2298</v>
      </c>
      <c r="J663" s="53" t="s">
        <v>2844</v>
      </c>
    </row>
    <row r="664" spans="1:10" x14ac:dyDescent="0.25">
      <c r="A664" s="51">
        <v>43320</v>
      </c>
      <c r="C664" s="49" t="s">
        <v>2015</v>
      </c>
      <c r="D664" s="49" t="s">
        <v>2273</v>
      </c>
      <c r="F664" s="49" t="str">
        <f>IFERROR(IF(Tabla1[[#This Row],[CONCEPTO mx]]="","",VLOOKUP(Tabla1[[#This Row],[CONCEPTO mx]],Tabla2[#All],2,0)),"")</f>
        <v/>
      </c>
      <c r="G664" s="49" t="str">
        <f>IFERROR(IF(Tabla1[[#This Row],[CONCEPTO mx]]="","",VLOOKUP(Tabla1[[#This Row],[CONCEPTO mx]],Tabla2[#All],3,0)),"")</f>
        <v/>
      </c>
      <c r="H664" s="49" t="s">
        <v>484</v>
      </c>
      <c r="I664" s="49" t="s">
        <v>2298</v>
      </c>
      <c r="J664" s="53" t="s">
        <v>2841</v>
      </c>
    </row>
    <row r="665" spans="1:10" x14ac:dyDescent="0.25">
      <c r="A665" s="51">
        <v>43320</v>
      </c>
      <c r="C665" s="49" t="s">
        <v>2014</v>
      </c>
      <c r="D665" s="49" t="s">
        <v>51</v>
      </c>
      <c r="F665" s="49" t="str">
        <f>IFERROR(IF(Tabla1[[#This Row],[CONCEPTO mx]]="","",VLOOKUP(Tabla1[[#This Row],[CONCEPTO mx]],Tabla2[#All],2,0)),"")</f>
        <v/>
      </c>
      <c r="G665" s="49" t="str">
        <f>IFERROR(IF(Tabla1[[#This Row],[CONCEPTO mx]]="","",VLOOKUP(Tabla1[[#This Row],[CONCEPTO mx]],Tabla2[#All],3,0)),"")</f>
        <v/>
      </c>
      <c r="H665" s="49" t="s">
        <v>438</v>
      </c>
      <c r="I665" s="49" t="s">
        <v>2298</v>
      </c>
      <c r="J665" s="53" t="s">
        <v>2844</v>
      </c>
    </row>
    <row r="666" spans="1:10" x14ac:dyDescent="0.25">
      <c r="A666" s="51">
        <v>43320</v>
      </c>
      <c r="C666" s="49" t="s">
        <v>2016</v>
      </c>
      <c r="D666" s="49" t="s">
        <v>51</v>
      </c>
      <c r="F666" s="49" t="str">
        <f>IFERROR(IF(Tabla1[[#This Row],[CONCEPTO mx]]="","",VLOOKUP(Tabla1[[#This Row],[CONCEPTO mx]],Tabla2[#All],2,0)),"")</f>
        <v/>
      </c>
      <c r="G666" s="49" t="str">
        <f>IFERROR(IF(Tabla1[[#This Row],[CONCEPTO mx]]="","",VLOOKUP(Tabla1[[#This Row],[CONCEPTO mx]],Tabla2[#All],3,0)),"")</f>
        <v/>
      </c>
      <c r="H666" s="49" t="s">
        <v>628</v>
      </c>
      <c r="I666" s="49" t="s">
        <v>2298</v>
      </c>
      <c r="J666" s="53" t="s">
        <v>2850</v>
      </c>
    </row>
    <row r="667" spans="1:10" x14ac:dyDescent="0.25">
      <c r="A667" s="51">
        <v>43322</v>
      </c>
      <c r="C667" s="49" t="s">
        <v>2022</v>
      </c>
      <c r="D667" s="49" t="s">
        <v>51</v>
      </c>
      <c r="F667" s="49" t="str">
        <f>IFERROR(IF(Tabla1[[#This Row],[CONCEPTO mx]]="","",VLOOKUP(Tabla1[[#This Row],[CONCEPTO mx]],Tabla2[#All],2,0)),"")</f>
        <v/>
      </c>
      <c r="G667" s="49" t="str">
        <f>IFERROR(IF(Tabla1[[#This Row],[CONCEPTO mx]]="","",VLOOKUP(Tabla1[[#This Row],[CONCEPTO mx]],Tabla2[#All],3,0)),"")</f>
        <v/>
      </c>
      <c r="H667" s="49" t="s">
        <v>441</v>
      </c>
      <c r="I667" s="49" t="s">
        <v>2298</v>
      </c>
      <c r="J667" s="53" t="s">
        <v>2314</v>
      </c>
    </row>
    <row r="668" spans="1:10" x14ac:dyDescent="0.25">
      <c r="A668" s="51">
        <v>43322</v>
      </c>
      <c r="C668" s="49" t="s">
        <v>2020</v>
      </c>
      <c r="D668" s="49" t="s">
        <v>2273</v>
      </c>
      <c r="F668" s="49" t="str">
        <f>IFERROR(IF(Tabla1[[#This Row],[CONCEPTO mx]]="","",VLOOKUP(Tabla1[[#This Row],[CONCEPTO mx]],Tabla2[#All],2,0)),"")</f>
        <v/>
      </c>
      <c r="G668" s="49" t="str">
        <f>IFERROR(IF(Tabla1[[#This Row],[CONCEPTO mx]]="","",VLOOKUP(Tabla1[[#This Row],[CONCEPTO mx]],Tabla2[#All],3,0)),"")</f>
        <v/>
      </c>
      <c r="H668" s="49" t="s">
        <v>352</v>
      </c>
      <c r="I668" s="49" t="s">
        <v>2298</v>
      </c>
      <c r="J668" s="53" t="s">
        <v>2351</v>
      </c>
    </row>
    <row r="669" spans="1:10" x14ac:dyDescent="0.25">
      <c r="A669" s="51">
        <v>43322</v>
      </c>
      <c r="C669" s="49" t="s">
        <v>2024</v>
      </c>
      <c r="D669" s="49" t="s">
        <v>51</v>
      </c>
      <c r="F669" s="49" t="str">
        <f>IFERROR(IF(Tabla1[[#This Row],[CONCEPTO mx]]="","",VLOOKUP(Tabla1[[#This Row],[CONCEPTO mx]],Tabla2[#All],2,0)),"")</f>
        <v/>
      </c>
      <c r="G669" s="49" t="str">
        <f>IFERROR(IF(Tabla1[[#This Row],[CONCEPTO mx]]="","",VLOOKUP(Tabla1[[#This Row],[CONCEPTO mx]],Tabla2[#All],3,0)),"")</f>
        <v/>
      </c>
      <c r="H669" s="49" t="s">
        <v>2394</v>
      </c>
      <c r="I669" s="49" t="s">
        <v>2320</v>
      </c>
      <c r="J669" s="53"/>
    </row>
    <row r="670" spans="1:10" x14ac:dyDescent="0.25">
      <c r="A670" s="51">
        <v>43322</v>
      </c>
      <c r="C670" s="49" t="s">
        <v>2019</v>
      </c>
      <c r="D670" s="49" t="s">
        <v>51</v>
      </c>
      <c r="F670" s="49" t="str">
        <f>IFERROR(IF(Tabla1[[#This Row],[CONCEPTO mx]]="","",VLOOKUP(Tabla1[[#This Row],[CONCEPTO mx]],Tabla2[#All],2,0)),"")</f>
        <v/>
      </c>
      <c r="G670" s="49" t="str">
        <f>IFERROR(IF(Tabla1[[#This Row],[CONCEPTO mx]]="","",VLOOKUP(Tabla1[[#This Row],[CONCEPTO mx]],Tabla2[#All],3,0)),"")</f>
        <v/>
      </c>
      <c r="H670" s="49" t="s">
        <v>438</v>
      </c>
      <c r="I670" s="49" t="s">
        <v>2298</v>
      </c>
      <c r="J670" s="53" t="s">
        <v>2341</v>
      </c>
    </row>
    <row r="671" spans="1:10" x14ac:dyDescent="0.25">
      <c r="A671" s="51">
        <v>43322</v>
      </c>
      <c r="C671" s="49" t="s">
        <v>2021</v>
      </c>
      <c r="D671" s="49" t="s">
        <v>51</v>
      </c>
      <c r="F671" s="49" t="str">
        <f>IFERROR(IF(Tabla1[[#This Row],[CONCEPTO mx]]="","",VLOOKUP(Tabla1[[#This Row],[CONCEPTO mx]],Tabla2[#All],2,0)),"")</f>
        <v/>
      </c>
      <c r="G671" s="49" t="str">
        <f>IFERROR(IF(Tabla1[[#This Row],[CONCEPTO mx]]="","",VLOOKUP(Tabla1[[#This Row],[CONCEPTO mx]],Tabla2[#All],3,0)),"")</f>
        <v/>
      </c>
      <c r="H671" s="49" t="s">
        <v>406</v>
      </c>
      <c r="I671" s="49" t="s">
        <v>2298</v>
      </c>
      <c r="J671" s="53" t="s">
        <v>2368</v>
      </c>
    </row>
    <row r="672" spans="1:10" x14ac:dyDescent="0.25">
      <c r="A672" s="51">
        <v>43322</v>
      </c>
      <c r="C672" s="49" t="s">
        <v>2017</v>
      </c>
      <c r="D672" s="49" t="s">
        <v>2273</v>
      </c>
      <c r="F672" s="49" t="str">
        <f>IFERROR(IF(Tabla1[[#This Row],[CONCEPTO mx]]="","",VLOOKUP(Tabla1[[#This Row],[CONCEPTO mx]],Tabla2[#All],2,0)),"")</f>
        <v/>
      </c>
      <c r="G672" s="49" t="str">
        <f>IFERROR(IF(Tabla1[[#This Row],[CONCEPTO mx]]="","",VLOOKUP(Tabla1[[#This Row],[CONCEPTO mx]],Tabla2[#All],3,0)),"")</f>
        <v/>
      </c>
      <c r="H672" s="49" t="s">
        <v>438</v>
      </c>
      <c r="I672" s="49" t="s">
        <v>2298</v>
      </c>
      <c r="J672" s="53" t="s">
        <v>2351</v>
      </c>
    </row>
    <row r="673" spans="1:10" x14ac:dyDescent="0.25">
      <c r="A673" s="51">
        <v>43322</v>
      </c>
      <c r="C673" s="49" t="s">
        <v>2018</v>
      </c>
      <c r="D673" s="49" t="s">
        <v>2273</v>
      </c>
      <c r="F673" s="49" t="str">
        <f>IFERROR(IF(Tabla1[[#This Row],[CONCEPTO mx]]="","",VLOOKUP(Tabla1[[#This Row],[CONCEPTO mx]],Tabla2[#All],2,0)),"")</f>
        <v/>
      </c>
      <c r="G673" s="49" t="str">
        <f>IFERROR(IF(Tabla1[[#This Row],[CONCEPTO mx]]="","",VLOOKUP(Tabla1[[#This Row],[CONCEPTO mx]],Tabla2[#All],3,0)),"")</f>
        <v/>
      </c>
      <c r="H673" s="49" t="s">
        <v>486</v>
      </c>
      <c r="I673" s="49" t="s">
        <v>2330</v>
      </c>
      <c r="J673" s="53"/>
    </row>
    <row r="674" spans="1:10" x14ac:dyDescent="0.25">
      <c r="A674" s="51">
        <v>43322</v>
      </c>
      <c r="C674" s="49" t="s">
        <v>2023</v>
      </c>
      <c r="E674" s="49" t="s">
        <v>2355</v>
      </c>
      <c r="F674" s="49" t="str">
        <f>IFERROR(IF(Tabla1[[#This Row],[CONCEPTO mx]]="","",VLOOKUP(Tabla1[[#This Row],[CONCEPTO mx]],Tabla2[#All],2,0)),"")</f>
        <v>CM13</v>
      </c>
      <c r="G674" s="49" t="str">
        <f>IFERROR(IF(Tabla1[[#This Row],[CONCEPTO mx]]="","",VLOOKUP(Tabla1[[#This Row],[CONCEPTO mx]],Tabla2[#All],3,0)),"")</f>
        <v>Gestión Humana</v>
      </c>
      <c r="H674" s="49" t="s">
        <v>388</v>
      </c>
      <c r="I674" s="49" t="s">
        <v>2298</v>
      </c>
      <c r="J674" s="53" t="s">
        <v>2353</v>
      </c>
    </row>
    <row r="675" spans="1:10" x14ac:dyDescent="0.25">
      <c r="A675" s="51">
        <v>43325</v>
      </c>
      <c r="C675" s="49" t="s">
        <v>2031</v>
      </c>
      <c r="D675" s="49" t="s">
        <v>51</v>
      </c>
      <c r="F675" s="49" t="str">
        <f>IFERROR(IF(Tabla1[[#This Row],[CONCEPTO mx]]="","",VLOOKUP(Tabla1[[#This Row],[CONCEPTO mx]],Tabla2[#All],2,0)),"")</f>
        <v/>
      </c>
      <c r="G675" s="49" t="str">
        <f>IFERROR(IF(Tabla1[[#This Row],[CONCEPTO mx]]="","",VLOOKUP(Tabla1[[#This Row],[CONCEPTO mx]],Tabla2[#All],3,0)),"")</f>
        <v/>
      </c>
      <c r="H675" s="49" t="s">
        <v>406</v>
      </c>
      <c r="I675" s="49" t="s">
        <v>2298</v>
      </c>
      <c r="J675" s="53" t="s">
        <v>2539</v>
      </c>
    </row>
    <row r="676" spans="1:10" x14ac:dyDescent="0.25">
      <c r="A676" s="51">
        <v>43325</v>
      </c>
      <c r="C676" s="49" t="s">
        <v>2026</v>
      </c>
      <c r="E676" s="49" t="s">
        <v>2355</v>
      </c>
      <c r="F676" s="49" t="str">
        <f>IFERROR(IF(Tabla1[[#This Row],[CONCEPTO mx]]="","",VLOOKUP(Tabla1[[#This Row],[CONCEPTO mx]],Tabla2[#All],2,0)),"")</f>
        <v>CM13</v>
      </c>
      <c r="G676" s="49" t="str">
        <f>IFERROR(IF(Tabla1[[#This Row],[CONCEPTO mx]]="","",VLOOKUP(Tabla1[[#This Row],[CONCEPTO mx]],Tabla2[#All],3,0)),"")</f>
        <v>Gestión Humana</v>
      </c>
      <c r="H676" s="49" t="s">
        <v>438</v>
      </c>
      <c r="I676" s="49" t="s">
        <v>2298</v>
      </c>
      <c r="J676" s="53" t="s">
        <v>2351</v>
      </c>
    </row>
    <row r="677" spans="1:10" x14ac:dyDescent="0.25">
      <c r="A677" s="51">
        <v>43325</v>
      </c>
      <c r="C677" s="49" t="s">
        <v>2028</v>
      </c>
      <c r="D677" s="49" t="s">
        <v>2029</v>
      </c>
      <c r="F677" s="49" t="str">
        <f>IFERROR(IF(Tabla1[[#This Row],[CONCEPTO mx]]="","",VLOOKUP(Tabla1[[#This Row],[CONCEPTO mx]],Tabla2[#All],2,0)),"")</f>
        <v/>
      </c>
      <c r="G677" s="49" t="str">
        <f>IFERROR(IF(Tabla1[[#This Row],[CONCEPTO mx]]="","",VLOOKUP(Tabla1[[#This Row],[CONCEPTO mx]],Tabla2[#All],3,0)),"")</f>
        <v/>
      </c>
      <c r="H677" s="49" t="s">
        <v>343</v>
      </c>
      <c r="I677" s="49" t="s">
        <v>2298</v>
      </c>
      <c r="J677" s="53" t="s">
        <v>2314</v>
      </c>
    </row>
    <row r="678" spans="1:10" x14ac:dyDescent="0.25">
      <c r="A678" s="51">
        <v>43325</v>
      </c>
      <c r="C678" s="49" t="s">
        <v>2030</v>
      </c>
      <c r="D678" s="49" t="s">
        <v>51</v>
      </c>
      <c r="F678" s="49" t="str">
        <f>IFERROR(IF(Tabla1[[#This Row],[CONCEPTO mx]]="","",VLOOKUP(Tabla1[[#This Row],[CONCEPTO mx]],Tabla2[#All],2,0)),"")</f>
        <v/>
      </c>
      <c r="G678" s="49" t="str">
        <f>IFERROR(IF(Tabla1[[#This Row],[CONCEPTO mx]]="","",VLOOKUP(Tabla1[[#This Row],[CONCEPTO mx]],Tabla2[#All],3,0)),"")</f>
        <v/>
      </c>
      <c r="H678" s="49" t="s">
        <v>343</v>
      </c>
      <c r="I678" s="49" t="s">
        <v>2298</v>
      </c>
      <c r="J678" s="53" t="s">
        <v>2314</v>
      </c>
    </row>
    <row r="679" spans="1:10" x14ac:dyDescent="0.25">
      <c r="A679" s="51">
        <v>43325</v>
      </c>
      <c r="C679" s="49" t="s">
        <v>2027</v>
      </c>
      <c r="D679" s="49" t="s">
        <v>51</v>
      </c>
      <c r="F679" s="49" t="str">
        <f>IFERROR(IF(Tabla1[[#This Row],[CONCEPTO mx]]="","",VLOOKUP(Tabla1[[#This Row],[CONCEPTO mx]],Tabla2[#All],2,0)),"")</f>
        <v/>
      </c>
      <c r="G679" s="49" t="str">
        <f>IFERROR(IF(Tabla1[[#This Row],[CONCEPTO mx]]="","",VLOOKUP(Tabla1[[#This Row],[CONCEPTO mx]],Tabla2[#All],3,0)),"")</f>
        <v/>
      </c>
      <c r="H679" s="49" t="s">
        <v>438</v>
      </c>
      <c r="I679" s="49" t="s">
        <v>2298</v>
      </c>
      <c r="J679" s="53" t="s">
        <v>2845</v>
      </c>
    </row>
    <row r="680" spans="1:10" x14ac:dyDescent="0.25">
      <c r="A680" s="51">
        <v>43325</v>
      </c>
      <c r="C680" s="49" t="s">
        <v>2025</v>
      </c>
      <c r="D680" s="49" t="s">
        <v>2273</v>
      </c>
      <c r="F680" s="49" t="str">
        <f>IFERROR(IF(Tabla1[[#This Row],[CONCEPTO mx]]="","",VLOOKUP(Tabla1[[#This Row],[CONCEPTO mx]],Tabla2[#All],2,0)),"")</f>
        <v/>
      </c>
      <c r="G680" s="49" t="str">
        <f>IFERROR(IF(Tabla1[[#This Row],[CONCEPTO mx]]="","",VLOOKUP(Tabla1[[#This Row],[CONCEPTO mx]],Tabla2[#All],3,0)),"")</f>
        <v/>
      </c>
      <c r="H680" s="49" t="s">
        <v>470</v>
      </c>
      <c r="I680" s="49" t="s">
        <v>2298</v>
      </c>
      <c r="J680" s="53"/>
    </row>
    <row r="681" spans="1:10" x14ac:dyDescent="0.25">
      <c r="A681" s="51">
        <v>43326</v>
      </c>
      <c r="C681" s="49" t="s">
        <v>2034</v>
      </c>
      <c r="D681" s="49" t="s">
        <v>51</v>
      </c>
      <c r="F681" s="49" t="str">
        <f>IFERROR(IF(Tabla1[[#This Row],[CONCEPTO mx]]="","",VLOOKUP(Tabla1[[#This Row],[CONCEPTO mx]],Tabla2[#All],2,0)),"")</f>
        <v/>
      </c>
      <c r="G681" s="49" t="str">
        <f>IFERROR(IF(Tabla1[[#This Row],[CONCEPTO mx]]="","",VLOOKUP(Tabla1[[#This Row],[CONCEPTO mx]],Tabla2[#All],3,0)),"")</f>
        <v/>
      </c>
      <c r="H681" s="49" t="s">
        <v>2391</v>
      </c>
      <c r="I681" s="49" t="s">
        <v>2298</v>
      </c>
      <c r="J681" s="53" t="s">
        <v>2302</v>
      </c>
    </row>
    <row r="682" spans="1:10" x14ac:dyDescent="0.25">
      <c r="A682" s="51">
        <v>43326</v>
      </c>
      <c r="C682" s="49" t="s">
        <v>2037</v>
      </c>
      <c r="D682" s="49" t="s">
        <v>51</v>
      </c>
      <c r="F682" s="49" t="str">
        <f>IFERROR(IF(Tabla1[[#This Row],[CONCEPTO mx]]="","",VLOOKUP(Tabla1[[#This Row],[CONCEPTO mx]],Tabla2[#All],2,0)),"")</f>
        <v/>
      </c>
      <c r="G682" s="49" t="str">
        <f>IFERROR(IF(Tabla1[[#This Row],[CONCEPTO mx]]="","",VLOOKUP(Tabla1[[#This Row],[CONCEPTO mx]],Tabla2[#All],3,0)),"")</f>
        <v/>
      </c>
      <c r="H682" s="49" t="s">
        <v>486</v>
      </c>
      <c r="I682" s="49" t="s">
        <v>2298</v>
      </c>
      <c r="J682" s="53" t="s">
        <v>2829</v>
      </c>
    </row>
    <row r="683" spans="1:10" x14ac:dyDescent="0.25">
      <c r="A683" s="51">
        <v>43326</v>
      </c>
      <c r="C683" s="49" t="s">
        <v>2036</v>
      </c>
      <c r="D683" s="49" t="s">
        <v>51</v>
      </c>
      <c r="E683" s="49" t="s">
        <v>3315</v>
      </c>
      <c r="F683" s="49" t="str">
        <f>IFERROR(IF(Tabla1[[#This Row],[CONCEPTO mx]]="","",VLOOKUP(Tabla1[[#This Row],[CONCEPTO mx]],Tabla2[#All],2,0)),"")</f>
        <v>CM40</v>
      </c>
      <c r="G683" s="49" t="str">
        <f>IFERROR(IF(Tabla1[[#This Row],[CONCEPTO mx]]="","",VLOOKUP(Tabla1[[#This Row],[CONCEPTO mx]],Tabla2[#All],3,0)),"")</f>
        <v>SST</v>
      </c>
      <c r="H683" s="49" t="s">
        <v>486</v>
      </c>
      <c r="I683" s="49" t="s">
        <v>2298</v>
      </c>
      <c r="J683" s="53" t="s">
        <v>2829</v>
      </c>
    </row>
    <row r="684" spans="1:10" x14ac:dyDescent="0.25">
      <c r="A684" s="51">
        <v>43326</v>
      </c>
      <c r="C684" s="49" t="s">
        <v>2038</v>
      </c>
      <c r="D684" s="49" t="s">
        <v>51</v>
      </c>
      <c r="F684" s="49" t="str">
        <f>IFERROR(IF(Tabla1[[#This Row],[CONCEPTO mx]]="","",VLOOKUP(Tabla1[[#This Row],[CONCEPTO mx]],Tabla2[#All],2,0)),"")</f>
        <v/>
      </c>
      <c r="G684" s="49" t="str">
        <f>IFERROR(IF(Tabla1[[#This Row],[CONCEPTO mx]]="","",VLOOKUP(Tabla1[[#This Row],[CONCEPTO mx]],Tabla2[#All],3,0)),"")</f>
        <v/>
      </c>
      <c r="H684" s="49" t="s">
        <v>438</v>
      </c>
      <c r="I684" s="49" t="s">
        <v>2298</v>
      </c>
      <c r="J684" s="53" t="s">
        <v>2302</v>
      </c>
    </row>
    <row r="685" spans="1:10" x14ac:dyDescent="0.25">
      <c r="A685" s="51">
        <v>43326</v>
      </c>
      <c r="C685" s="49" t="s">
        <v>2040</v>
      </c>
      <c r="D685" s="49" t="s">
        <v>51</v>
      </c>
      <c r="E685" s="49" t="s">
        <v>3315</v>
      </c>
      <c r="F685" s="49" t="str">
        <f>IFERROR(IF(Tabla1[[#This Row],[CONCEPTO mx]]="","",VLOOKUP(Tabla1[[#This Row],[CONCEPTO mx]],Tabla2[#All],2,0)),"")</f>
        <v>CM40</v>
      </c>
      <c r="G685" s="49" t="str">
        <f>IFERROR(IF(Tabla1[[#This Row],[CONCEPTO mx]]="","",VLOOKUP(Tabla1[[#This Row],[CONCEPTO mx]],Tabla2[#All],3,0)),"")</f>
        <v>SST</v>
      </c>
      <c r="H685" s="49" t="s">
        <v>2391</v>
      </c>
      <c r="I685" s="49" t="s">
        <v>2298</v>
      </c>
      <c r="J685" s="53" t="s">
        <v>2412</v>
      </c>
    </row>
    <row r="686" spans="1:10" x14ac:dyDescent="0.25">
      <c r="A686" s="51">
        <v>43326</v>
      </c>
      <c r="C686" s="49" t="s">
        <v>2032</v>
      </c>
      <c r="D686" s="49" t="s">
        <v>51</v>
      </c>
      <c r="F686" s="49" t="str">
        <f>IFERROR(IF(Tabla1[[#This Row],[CONCEPTO mx]]="","",VLOOKUP(Tabla1[[#This Row],[CONCEPTO mx]],Tabla2[#All],2,0)),"")</f>
        <v/>
      </c>
      <c r="G686" s="49" t="str">
        <f>IFERROR(IF(Tabla1[[#This Row],[CONCEPTO mx]]="","",VLOOKUP(Tabla1[[#This Row],[CONCEPTO mx]],Tabla2[#All],3,0)),"")</f>
        <v/>
      </c>
      <c r="H686" s="49" t="s">
        <v>2393</v>
      </c>
      <c r="I686" s="49" t="s">
        <v>2298</v>
      </c>
      <c r="J686" s="53" t="s">
        <v>2302</v>
      </c>
    </row>
    <row r="687" spans="1:10" x14ac:dyDescent="0.25">
      <c r="A687" s="51">
        <v>43326</v>
      </c>
      <c r="C687" s="49" t="s">
        <v>2039</v>
      </c>
      <c r="D687" s="49" t="s">
        <v>2273</v>
      </c>
      <c r="F687" s="49" t="str">
        <f>IFERROR(IF(Tabla1[[#This Row],[CONCEPTO mx]]="","",VLOOKUP(Tabla1[[#This Row],[CONCEPTO mx]],Tabla2[#All],2,0)),"")</f>
        <v/>
      </c>
      <c r="G687" s="49" t="str">
        <f>IFERROR(IF(Tabla1[[#This Row],[CONCEPTO mx]]="","",VLOOKUP(Tabla1[[#This Row],[CONCEPTO mx]],Tabla2[#All],3,0)),"")</f>
        <v/>
      </c>
      <c r="H687" s="49" t="s">
        <v>438</v>
      </c>
      <c r="I687" s="49" t="s">
        <v>2298</v>
      </c>
      <c r="J687" s="53" t="s">
        <v>2844</v>
      </c>
    </row>
    <row r="688" spans="1:10" x14ac:dyDescent="0.25">
      <c r="A688" s="51">
        <v>43326</v>
      </c>
      <c r="C688" s="49" t="s">
        <v>2035</v>
      </c>
      <c r="D688" s="49" t="s">
        <v>51</v>
      </c>
      <c r="F688" s="49" t="str">
        <f>IFERROR(IF(Tabla1[[#This Row],[CONCEPTO mx]]="","",VLOOKUP(Tabla1[[#This Row],[CONCEPTO mx]],Tabla2[#All],2,0)),"")</f>
        <v/>
      </c>
      <c r="G688" s="49" t="str">
        <f>IFERROR(IF(Tabla1[[#This Row],[CONCEPTO mx]]="","",VLOOKUP(Tabla1[[#This Row],[CONCEPTO mx]],Tabla2[#All],3,0)),"")</f>
        <v/>
      </c>
      <c r="H688" s="49" t="s">
        <v>438</v>
      </c>
      <c r="I688" s="49" t="s">
        <v>2298</v>
      </c>
      <c r="J688" s="53" t="s">
        <v>2844</v>
      </c>
    </row>
    <row r="689" spans="1:10" x14ac:dyDescent="0.25">
      <c r="A689" s="51">
        <v>43326</v>
      </c>
      <c r="C689" s="49" t="s">
        <v>2033</v>
      </c>
      <c r="D689" s="49" t="s">
        <v>51</v>
      </c>
      <c r="E689" s="49" t="s">
        <v>3315</v>
      </c>
      <c r="F689" s="49" t="str">
        <f>IFERROR(IF(Tabla1[[#This Row],[CONCEPTO mx]]="","",VLOOKUP(Tabla1[[#This Row],[CONCEPTO mx]],Tabla2[#All],2,0)),"")</f>
        <v>CM40</v>
      </c>
      <c r="G689" s="49" t="str">
        <f>IFERROR(IF(Tabla1[[#This Row],[CONCEPTO mx]]="","",VLOOKUP(Tabla1[[#This Row],[CONCEPTO mx]],Tabla2[#All],3,0)),"")</f>
        <v>SST</v>
      </c>
      <c r="H689" s="49" t="s">
        <v>438</v>
      </c>
      <c r="I689" s="49" t="s">
        <v>2298</v>
      </c>
      <c r="J689" s="53" t="s">
        <v>2302</v>
      </c>
    </row>
    <row r="690" spans="1:10" x14ac:dyDescent="0.25">
      <c r="A690" s="51">
        <v>43326</v>
      </c>
      <c r="C690" s="49" t="s">
        <v>2041</v>
      </c>
      <c r="D690" s="49" t="s">
        <v>51</v>
      </c>
      <c r="E690" s="49" t="s">
        <v>3315</v>
      </c>
      <c r="F690" s="49" t="str">
        <f>IFERROR(IF(Tabla1[[#This Row],[CONCEPTO mx]]="","",VLOOKUP(Tabla1[[#This Row],[CONCEPTO mx]],Tabla2[#All],2,0)),"")</f>
        <v>CM40</v>
      </c>
      <c r="G690" s="49" t="str">
        <f>IFERROR(IF(Tabla1[[#This Row],[CONCEPTO mx]]="","",VLOOKUP(Tabla1[[#This Row],[CONCEPTO mx]],Tabla2[#All],3,0)),"")</f>
        <v>SST</v>
      </c>
      <c r="H690" s="49" t="s">
        <v>2391</v>
      </c>
      <c r="I690" s="49" t="s">
        <v>2298</v>
      </c>
      <c r="J690" s="53" t="s">
        <v>2412</v>
      </c>
    </row>
    <row r="691" spans="1:10" x14ac:dyDescent="0.25">
      <c r="A691" s="51">
        <v>43326</v>
      </c>
      <c r="C691" s="49" t="s">
        <v>2043</v>
      </c>
      <c r="D691" s="49" t="s">
        <v>51</v>
      </c>
      <c r="F691" s="49" t="str">
        <f>IFERROR(IF(Tabla1[[#This Row],[CONCEPTO mx]]="","",VLOOKUP(Tabla1[[#This Row],[CONCEPTO mx]],Tabla2[#All],2,0)),"")</f>
        <v/>
      </c>
      <c r="G691" s="49" t="str">
        <f>IFERROR(IF(Tabla1[[#This Row],[CONCEPTO mx]]="","",VLOOKUP(Tabla1[[#This Row],[CONCEPTO mx]],Tabla2[#All],3,0)),"")</f>
        <v/>
      </c>
      <c r="H691" s="49" t="s">
        <v>441</v>
      </c>
      <c r="I691" s="49" t="s">
        <v>2298</v>
      </c>
      <c r="J691" s="53" t="s">
        <v>2302</v>
      </c>
    </row>
    <row r="692" spans="1:10" x14ac:dyDescent="0.25">
      <c r="A692" s="51">
        <v>43327</v>
      </c>
      <c r="C692" s="49" t="s">
        <v>2048</v>
      </c>
      <c r="D692" s="49" t="s">
        <v>2273</v>
      </c>
      <c r="F692" s="49" t="str">
        <f>IFERROR(IF(Tabla1[[#This Row],[CONCEPTO mx]]="","",VLOOKUP(Tabla1[[#This Row],[CONCEPTO mx]],Tabla2[#All],2,0)),"")</f>
        <v/>
      </c>
      <c r="G692" s="49" t="str">
        <f>IFERROR(IF(Tabla1[[#This Row],[CONCEPTO mx]]="","",VLOOKUP(Tabla1[[#This Row],[CONCEPTO mx]],Tabla2[#All],3,0)),"")</f>
        <v/>
      </c>
      <c r="H692" s="49" t="s">
        <v>343</v>
      </c>
      <c r="I692" s="49" t="s">
        <v>2339</v>
      </c>
      <c r="J692" s="53"/>
    </row>
    <row r="693" spans="1:10" x14ac:dyDescent="0.25">
      <c r="A693" s="51">
        <v>43327</v>
      </c>
      <c r="C693" s="49" t="s">
        <v>2047</v>
      </c>
      <c r="D693" s="49" t="s">
        <v>51</v>
      </c>
      <c r="F693" s="49" t="str">
        <f>IFERROR(IF(Tabla1[[#This Row],[CONCEPTO mx]]="","",VLOOKUP(Tabla1[[#This Row],[CONCEPTO mx]],Tabla2[#All],2,0)),"")</f>
        <v/>
      </c>
      <c r="G693" s="49" t="str">
        <f>IFERROR(IF(Tabla1[[#This Row],[CONCEPTO mx]]="","",VLOOKUP(Tabla1[[#This Row],[CONCEPTO mx]],Tabla2[#All],3,0)),"")</f>
        <v/>
      </c>
      <c r="H693" s="49" t="s">
        <v>2391</v>
      </c>
      <c r="I693" s="49" t="s">
        <v>2298</v>
      </c>
      <c r="J693" s="53" t="s">
        <v>2368</v>
      </c>
    </row>
    <row r="694" spans="1:10" x14ac:dyDescent="0.25">
      <c r="A694" s="51">
        <v>43327</v>
      </c>
      <c r="C694" s="49" t="s">
        <v>2045</v>
      </c>
      <c r="D694" s="49" t="s">
        <v>51</v>
      </c>
      <c r="F694" s="49" t="str">
        <f>IFERROR(IF(Tabla1[[#This Row],[CONCEPTO mx]]="","",VLOOKUP(Tabla1[[#This Row],[CONCEPTO mx]],Tabla2[#All],2,0)),"")</f>
        <v/>
      </c>
      <c r="G694" s="49" t="str">
        <f>IFERROR(IF(Tabla1[[#This Row],[CONCEPTO mx]]="","",VLOOKUP(Tabla1[[#This Row],[CONCEPTO mx]],Tabla2[#All],3,0)),"")</f>
        <v/>
      </c>
      <c r="H694" s="49" t="s">
        <v>486</v>
      </c>
      <c r="J694" s="53"/>
    </row>
    <row r="695" spans="1:10" x14ac:dyDescent="0.25">
      <c r="A695" s="51">
        <v>43327</v>
      </c>
      <c r="C695" s="49" t="s">
        <v>2050</v>
      </c>
      <c r="D695" s="49" t="s">
        <v>51</v>
      </c>
      <c r="F695" s="49" t="str">
        <f>IFERROR(IF(Tabla1[[#This Row],[CONCEPTO mx]]="","",VLOOKUP(Tabla1[[#This Row],[CONCEPTO mx]],Tabla2[#All],2,0)),"")</f>
        <v/>
      </c>
      <c r="G695" s="49" t="str">
        <f>IFERROR(IF(Tabla1[[#This Row],[CONCEPTO mx]]="","",VLOOKUP(Tabla1[[#This Row],[CONCEPTO mx]],Tabla2[#All],3,0)),"")</f>
        <v/>
      </c>
      <c r="H695" s="49" t="s">
        <v>628</v>
      </c>
      <c r="I695" s="49" t="s">
        <v>2298</v>
      </c>
      <c r="J695" s="53" t="s">
        <v>2314</v>
      </c>
    </row>
    <row r="696" spans="1:10" x14ac:dyDescent="0.25">
      <c r="A696" s="51">
        <v>43327</v>
      </c>
      <c r="C696" s="49" t="s">
        <v>2044</v>
      </c>
      <c r="D696" s="49" t="s">
        <v>51</v>
      </c>
      <c r="F696" s="49" t="str">
        <f>IFERROR(IF(Tabla1[[#This Row],[CONCEPTO mx]]="","",VLOOKUP(Tabla1[[#This Row],[CONCEPTO mx]],Tabla2[#All],2,0)),"")</f>
        <v/>
      </c>
      <c r="G696" s="49" t="str">
        <f>IFERROR(IF(Tabla1[[#This Row],[CONCEPTO mx]]="","",VLOOKUP(Tabla1[[#This Row],[CONCEPTO mx]],Tabla2[#All],3,0)),"")</f>
        <v/>
      </c>
      <c r="H696" s="49" t="s">
        <v>441</v>
      </c>
      <c r="I696" s="49" t="s">
        <v>2298</v>
      </c>
      <c r="J696" s="53" t="s">
        <v>441</v>
      </c>
    </row>
    <row r="697" spans="1:10" x14ac:dyDescent="0.25">
      <c r="A697" s="51">
        <v>43327</v>
      </c>
      <c r="C697" s="49" t="s">
        <v>2046</v>
      </c>
      <c r="E697" s="49" t="s">
        <v>2355</v>
      </c>
      <c r="F697" s="49" t="str">
        <f>IFERROR(IF(Tabla1[[#This Row],[CONCEPTO mx]]="","",VLOOKUP(Tabla1[[#This Row],[CONCEPTO mx]],Tabla2[#All],2,0)),"")</f>
        <v>CM13</v>
      </c>
      <c r="G697" s="49" t="str">
        <f>IFERROR(IF(Tabla1[[#This Row],[CONCEPTO mx]]="","",VLOOKUP(Tabla1[[#This Row],[CONCEPTO mx]],Tabla2[#All],3,0)),"")</f>
        <v>Gestión Humana</v>
      </c>
      <c r="H697" s="49" t="s">
        <v>2393</v>
      </c>
      <c r="I697" s="49" t="s">
        <v>2298</v>
      </c>
      <c r="J697" s="53" t="s">
        <v>2829</v>
      </c>
    </row>
    <row r="698" spans="1:10" x14ac:dyDescent="0.25">
      <c r="A698" s="51">
        <v>43327</v>
      </c>
      <c r="C698" s="49" t="s">
        <v>2049</v>
      </c>
      <c r="D698" s="49" t="s">
        <v>51</v>
      </c>
      <c r="F698" s="49" t="str">
        <f>IFERROR(IF(Tabla1[[#This Row],[CONCEPTO mx]]="","",VLOOKUP(Tabla1[[#This Row],[CONCEPTO mx]],Tabla2[#All],2,0)),"")</f>
        <v/>
      </c>
      <c r="G698" s="49" t="str">
        <f>IFERROR(IF(Tabla1[[#This Row],[CONCEPTO mx]]="","",VLOOKUP(Tabla1[[#This Row],[CONCEPTO mx]],Tabla2[#All],3,0)),"")</f>
        <v/>
      </c>
      <c r="H698" s="49" t="s">
        <v>343</v>
      </c>
      <c r="I698" s="49" t="s">
        <v>2298</v>
      </c>
      <c r="J698" s="53" t="s">
        <v>2314</v>
      </c>
    </row>
    <row r="699" spans="1:10" x14ac:dyDescent="0.25">
      <c r="A699" s="51">
        <v>43328</v>
      </c>
      <c r="C699" s="49" t="s">
        <v>2052</v>
      </c>
      <c r="D699" s="49" t="s">
        <v>51</v>
      </c>
      <c r="E699" s="49" t="s">
        <v>3315</v>
      </c>
      <c r="F699" s="49" t="str">
        <f>IFERROR(IF(Tabla1[[#This Row],[CONCEPTO mx]]="","",VLOOKUP(Tabla1[[#This Row],[CONCEPTO mx]],Tabla2[#All],2,0)),"")</f>
        <v>CM40</v>
      </c>
      <c r="G699" s="49" t="str">
        <f>IFERROR(IF(Tabla1[[#This Row],[CONCEPTO mx]]="","",VLOOKUP(Tabla1[[#This Row],[CONCEPTO mx]],Tabla2[#All],3,0)),"")</f>
        <v>SST</v>
      </c>
      <c r="H699" s="49" t="s">
        <v>628</v>
      </c>
      <c r="I699" s="49" t="s">
        <v>2298</v>
      </c>
      <c r="J699" s="53" t="s">
        <v>2314</v>
      </c>
    </row>
    <row r="700" spans="1:10" x14ac:dyDescent="0.25">
      <c r="A700" s="51">
        <v>43328</v>
      </c>
      <c r="C700" s="49" t="s">
        <v>2053</v>
      </c>
      <c r="D700" s="49" t="s">
        <v>51</v>
      </c>
      <c r="F700" s="49" t="str">
        <f>IFERROR(IF(Tabla1[[#This Row],[CONCEPTO mx]]="","",VLOOKUP(Tabla1[[#This Row],[CONCEPTO mx]],Tabla2[#All],2,0)),"")</f>
        <v/>
      </c>
      <c r="G700" s="49" t="str">
        <f>IFERROR(IF(Tabla1[[#This Row],[CONCEPTO mx]]="","",VLOOKUP(Tabla1[[#This Row],[CONCEPTO mx]],Tabla2[#All],3,0)),"")</f>
        <v/>
      </c>
      <c r="H700" s="49" t="s">
        <v>357</v>
      </c>
      <c r="I700" s="49" t="s">
        <v>2339</v>
      </c>
      <c r="J700" s="53"/>
    </row>
    <row r="701" spans="1:10" x14ac:dyDescent="0.25">
      <c r="A701" s="51">
        <v>43328</v>
      </c>
      <c r="C701" s="49" t="s">
        <v>2054</v>
      </c>
      <c r="E701" s="49" t="s">
        <v>2355</v>
      </c>
      <c r="F701" s="49" t="str">
        <f>IFERROR(IF(Tabla1[[#This Row],[CONCEPTO mx]]="","",VLOOKUP(Tabla1[[#This Row],[CONCEPTO mx]],Tabla2[#All],2,0)),"")</f>
        <v>CM13</v>
      </c>
      <c r="G701" s="49" t="str">
        <f>IFERROR(IF(Tabla1[[#This Row],[CONCEPTO mx]]="","",VLOOKUP(Tabla1[[#This Row],[CONCEPTO mx]],Tabla2[#All],3,0)),"")</f>
        <v>Gestión Humana</v>
      </c>
      <c r="H701" s="49" t="s">
        <v>441</v>
      </c>
      <c r="I701" s="49" t="s">
        <v>2298</v>
      </c>
      <c r="J701" s="53" t="s">
        <v>2341</v>
      </c>
    </row>
    <row r="702" spans="1:10" x14ac:dyDescent="0.25">
      <c r="A702" s="51">
        <v>43328</v>
      </c>
      <c r="C702" s="49" t="s">
        <v>2055</v>
      </c>
      <c r="D702" s="49" t="s">
        <v>51</v>
      </c>
      <c r="E702" s="49" t="s">
        <v>3315</v>
      </c>
      <c r="F702" s="49" t="str">
        <f>IFERROR(IF(Tabla1[[#This Row],[CONCEPTO mx]]="","",VLOOKUP(Tabla1[[#This Row],[CONCEPTO mx]],Tabla2[#All],2,0)),"")</f>
        <v>CM40</v>
      </c>
      <c r="G702" s="49" t="str">
        <f>IFERROR(IF(Tabla1[[#This Row],[CONCEPTO mx]]="","",VLOOKUP(Tabla1[[#This Row],[CONCEPTO mx]],Tabla2[#All],3,0)),"")</f>
        <v>SST</v>
      </c>
      <c r="H702" s="49" t="s">
        <v>470</v>
      </c>
      <c r="I702" s="49" t="s">
        <v>2298</v>
      </c>
      <c r="J702" s="53" t="s">
        <v>2314</v>
      </c>
    </row>
    <row r="703" spans="1:10" x14ac:dyDescent="0.25">
      <c r="A703" s="51">
        <v>43328</v>
      </c>
      <c r="C703" s="49" t="s">
        <v>2051</v>
      </c>
      <c r="D703" s="49" t="s">
        <v>51</v>
      </c>
      <c r="F703" s="49" t="str">
        <f>IFERROR(IF(Tabla1[[#This Row],[CONCEPTO mx]]="","",VLOOKUP(Tabla1[[#This Row],[CONCEPTO mx]],Tabla2[#All],2,0)),"")</f>
        <v/>
      </c>
      <c r="G703" s="49" t="str">
        <f>IFERROR(IF(Tabla1[[#This Row],[CONCEPTO mx]]="","",VLOOKUP(Tabla1[[#This Row],[CONCEPTO mx]],Tabla2[#All],3,0)),"")</f>
        <v/>
      </c>
      <c r="H703" s="49" t="s">
        <v>352</v>
      </c>
      <c r="I703" s="49" t="s">
        <v>2298</v>
      </c>
      <c r="J703" s="53" t="s">
        <v>2314</v>
      </c>
    </row>
    <row r="704" spans="1:10" x14ac:dyDescent="0.25">
      <c r="A704" s="51">
        <v>43329</v>
      </c>
      <c r="C704" s="49" t="s">
        <v>2060</v>
      </c>
      <c r="D704" s="49" t="s">
        <v>2273</v>
      </c>
      <c r="F704" s="49" t="str">
        <f>IFERROR(IF(Tabla1[[#This Row],[CONCEPTO mx]]="","",VLOOKUP(Tabla1[[#This Row],[CONCEPTO mx]],Tabla2[#All],2,0)),"")</f>
        <v/>
      </c>
      <c r="G704" s="49" t="str">
        <f>IFERROR(IF(Tabla1[[#This Row],[CONCEPTO mx]]="","",VLOOKUP(Tabla1[[#This Row],[CONCEPTO mx]],Tabla2[#All],3,0)),"")</f>
        <v/>
      </c>
      <c r="H704" s="49" t="s">
        <v>343</v>
      </c>
      <c r="I704" s="49" t="s">
        <v>2298</v>
      </c>
      <c r="J704" s="53" t="s">
        <v>2851</v>
      </c>
    </row>
    <row r="705" spans="1:10" x14ac:dyDescent="0.25">
      <c r="A705" s="51">
        <v>43329</v>
      </c>
      <c r="C705" s="49" t="s">
        <v>2057</v>
      </c>
      <c r="D705" s="49" t="s">
        <v>51</v>
      </c>
      <c r="E705" s="49" t="s">
        <v>3315</v>
      </c>
      <c r="F705" s="49" t="str">
        <f>IFERROR(IF(Tabla1[[#This Row],[CONCEPTO mx]]="","",VLOOKUP(Tabla1[[#This Row],[CONCEPTO mx]],Tabla2[#All],2,0)),"")</f>
        <v>CM40</v>
      </c>
      <c r="G705" s="49" t="str">
        <f>IFERROR(IF(Tabla1[[#This Row],[CONCEPTO mx]]="","",VLOOKUP(Tabla1[[#This Row],[CONCEPTO mx]],Tabla2[#All],3,0)),"")</f>
        <v>SST</v>
      </c>
      <c r="H705" s="49" t="s">
        <v>470</v>
      </c>
      <c r="I705" s="49" t="s">
        <v>2298</v>
      </c>
      <c r="J705" s="53" t="s">
        <v>2353</v>
      </c>
    </row>
    <row r="706" spans="1:10" x14ac:dyDescent="0.25">
      <c r="A706" s="51">
        <v>43329</v>
      </c>
      <c r="C706" s="49" t="s">
        <v>2056</v>
      </c>
      <c r="D706" s="49" t="s">
        <v>51</v>
      </c>
      <c r="E706" s="49" t="s">
        <v>3315</v>
      </c>
      <c r="F706" s="49" t="str">
        <f>IFERROR(IF(Tabla1[[#This Row],[CONCEPTO mx]]="","",VLOOKUP(Tabla1[[#This Row],[CONCEPTO mx]],Tabla2[#All],2,0)),"")</f>
        <v>CM40</v>
      </c>
      <c r="G706" s="49" t="str">
        <f>IFERROR(IF(Tabla1[[#This Row],[CONCEPTO mx]]="","",VLOOKUP(Tabla1[[#This Row],[CONCEPTO mx]],Tabla2[#All],3,0)),"")</f>
        <v>SST</v>
      </c>
      <c r="H706" s="49" t="s">
        <v>542</v>
      </c>
      <c r="I706" s="49" t="s">
        <v>2298</v>
      </c>
      <c r="J706" s="53" t="s">
        <v>2302</v>
      </c>
    </row>
    <row r="707" spans="1:10" x14ac:dyDescent="0.25">
      <c r="A707" s="51">
        <v>43329</v>
      </c>
      <c r="C707" s="49" t="s">
        <v>2059</v>
      </c>
      <c r="D707" s="49" t="s">
        <v>2273</v>
      </c>
      <c r="F707" s="49" t="str">
        <f>IFERROR(IF(Tabla1[[#This Row],[CONCEPTO mx]]="","",VLOOKUP(Tabla1[[#This Row],[CONCEPTO mx]],Tabla2[#All],2,0)),"")</f>
        <v/>
      </c>
      <c r="G707" s="49" t="str">
        <f>IFERROR(IF(Tabla1[[#This Row],[CONCEPTO mx]]="","",VLOOKUP(Tabla1[[#This Row],[CONCEPTO mx]],Tabla2[#All],3,0)),"")</f>
        <v/>
      </c>
      <c r="H707" s="49" t="s">
        <v>550</v>
      </c>
      <c r="I707" s="49" t="s">
        <v>2298</v>
      </c>
      <c r="J707" s="53" t="s">
        <v>2402</v>
      </c>
    </row>
    <row r="708" spans="1:10" x14ac:dyDescent="0.25">
      <c r="A708" s="51">
        <v>43329</v>
      </c>
      <c r="C708" s="49" t="s">
        <v>2061</v>
      </c>
      <c r="D708" s="49" t="s">
        <v>51</v>
      </c>
      <c r="E708" s="49" t="s">
        <v>3315</v>
      </c>
      <c r="F708" s="49" t="str">
        <f>IFERROR(IF(Tabla1[[#This Row],[CONCEPTO mx]]="","",VLOOKUP(Tabla1[[#This Row],[CONCEPTO mx]],Tabla2[#All],2,0)),"")</f>
        <v>CM40</v>
      </c>
      <c r="G708" s="49" t="str">
        <f>IFERROR(IF(Tabla1[[#This Row],[CONCEPTO mx]]="","",VLOOKUP(Tabla1[[#This Row],[CONCEPTO mx]],Tabla2[#All],3,0)),"")</f>
        <v>SST</v>
      </c>
      <c r="H708" s="49" t="s">
        <v>406</v>
      </c>
      <c r="I708" s="49" t="s">
        <v>2298</v>
      </c>
      <c r="J708" s="53" t="s">
        <v>2852</v>
      </c>
    </row>
    <row r="709" spans="1:10" x14ac:dyDescent="0.25">
      <c r="A709" s="51">
        <v>43329</v>
      </c>
      <c r="C709" s="49" t="s">
        <v>2058</v>
      </c>
      <c r="D709" s="49" t="s">
        <v>51</v>
      </c>
      <c r="F709" s="49" t="str">
        <f>IFERROR(IF(Tabla1[[#This Row],[CONCEPTO mx]]="","",VLOOKUP(Tabla1[[#This Row],[CONCEPTO mx]],Tabla2[#All],2,0)),"")</f>
        <v/>
      </c>
      <c r="G709" s="49" t="str">
        <f>IFERROR(IF(Tabla1[[#This Row],[CONCEPTO mx]]="","",VLOOKUP(Tabla1[[#This Row],[CONCEPTO mx]],Tabla2[#All],3,0)),"")</f>
        <v/>
      </c>
      <c r="H709" s="49" t="s">
        <v>470</v>
      </c>
      <c r="I709" s="49" t="s">
        <v>2298</v>
      </c>
      <c r="J709" s="53" t="s">
        <v>2820</v>
      </c>
    </row>
    <row r="710" spans="1:10" x14ac:dyDescent="0.25">
      <c r="A710" s="51">
        <v>43333</v>
      </c>
      <c r="C710" s="49" t="s">
        <v>2064</v>
      </c>
      <c r="D710" s="49" t="s">
        <v>2273</v>
      </c>
      <c r="F710" s="49" t="str">
        <f>IFERROR(IF(Tabla1[[#This Row],[CONCEPTO mx]]="","",VLOOKUP(Tabla1[[#This Row],[CONCEPTO mx]],Tabla2[#All],2,0)),"")</f>
        <v/>
      </c>
      <c r="G710" s="49" t="str">
        <f>IFERROR(IF(Tabla1[[#This Row],[CONCEPTO mx]]="","",VLOOKUP(Tabla1[[#This Row],[CONCEPTO mx]],Tabla2[#All],3,0)),"")</f>
        <v/>
      </c>
      <c r="H710" s="49" t="s">
        <v>441</v>
      </c>
      <c r="I710" s="49" t="s">
        <v>2318</v>
      </c>
      <c r="J710" s="53"/>
    </row>
    <row r="711" spans="1:10" x14ac:dyDescent="0.25">
      <c r="A711" s="51">
        <v>43333</v>
      </c>
      <c r="C711" s="49" t="s">
        <v>2066</v>
      </c>
      <c r="D711" s="49" t="s">
        <v>51</v>
      </c>
      <c r="F711" s="49" t="str">
        <f>IFERROR(IF(Tabla1[[#This Row],[CONCEPTO mx]]="","",VLOOKUP(Tabla1[[#This Row],[CONCEPTO mx]],Tabla2[#All],2,0)),"")</f>
        <v/>
      </c>
      <c r="G711" s="49" t="str">
        <f>IFERROR(IF(Tabla1[[#This Row],[CONCEPTO mx]]="","",VLOOKUP(Tabla1[[#This Row],[CONCEPTO mx]],Tabla2[#All],3,0)),"")</f>
        <v/>
      </c>
      <c r="H711" s="49" t="s">
        <v>550</v>
      </c>
      <c r="I711" s="49" t="s">
        <v>2298</v>
      </c>
      <c r="J711" s="53" t="s">
        <v>2351</v>
      </c>
    </row>
    <row r="712" spans="1:10" x14ac:dyDescent="0.25">
      <c r="A712" s="51">
        <v>43333</v>
      </c>
      <c r="C712" s="49" t="s">
        <v>2065</v>
      </c>
      <c r="D712" s="49" t="s">
        <v>51</v>
      </c>
      <c r="F712" s="49" t="str">
        <f>IFERROR(IF(Tabla1[[#This Row],[CONCEPTO mx]]="","",VLOOKUP(Tabla1[[#This Row],[CONCEPTO mx]],Tabla2[#All],2,0)),"")</f>
        <v/>
      </c>
      <c r="G712" s="49" t="str">
        <f>IFERROR(IF(Tabla1[[#This Row],[CONCEPTO mx]]="","",VLOOKUP(Tabla1[[#This Row],[CONCEPTO mx]],Tabla2[#All],3,0)),"")</f>
        <v/>
      </c>
      <c r="H712" s="49" t="s">
        <v>470</v>
      </c>
      <c r="I712" s="49" t="s">
        <v>2298</v>
      </c>
      <c r="J712" s="53" t="s">
        <v>2351</v>
      </c>
    </row>
    <row r="713" spans="1:10" x14ac:dyDescent="0.25">
      <c r="A713" s="51">
        <v>43333</v>
      </c>
      <c r="C713" s="49" t="s">
        <v>2062</v>
      </c>
      <c r="E713" s="49" t="s">
        <v>2355</v>
      </c>
      <c r="F713" s="49" t="str">
        <f>IFERROR(IF(Tabla1[[#This Row],[CONCEPTO mx]]="","",VLOOKUP(Tabla1[[#This Row],[CONCEPTO mx]],Tabla2[#All],2,0)),"")</f>
        <v>CM13</v>
      </c>
      <c r="G713" s="49" t="str">
        <f>IFERROR(IF(Tabla1[[#This Row],[CONCEPTO mx]]="","",VLOOKUP(Tabla1[[#This Row],[CONCEPTO mx]],Tabla2[#All],3,0)),"")</f>
        <v>Gestión Humana</v>
      </c>
      <c r="H713" s="49" t="s">
        <v>516</v>
      </c>
      <c r="I713" s="49" t="s">
        <v>2339</v>
      </c>
      <c r="J713" s="53"/>
    </row>
    <row r="714" spans="1:10" x14ac:dyDescent="0.25">
      <c r="A714" s="51">
        <v>43333</v>
      </c>
      <c r="C714" s="49" t="s">
        <v>2067</v>
      </c>
      <c r="D714" s="49" t="s">
        <v>51</v>
      </c>
      <c r="F714" s="49" t="str">
        <f>IFERROR(IF(Tabla1[[#This Row],[CONCEPTO mx]]="","",VLOOKUP(Tabla1[[#This Row],[CONCEPTO mx]],Tabla2[#All],2,0)),"")</f>
        <v/>
      </c>
      <c r="G714" s="49" t="str">
        <f>IFERROR(IF(Tabla1[[#This Row],[CONCEPTO mx]]="","",VLOOKUP(Tabla1[[#This Row],[CONCEPTO mx]],Tabla2[#All],3,0)),"")</f>
        <v/>
      </c>
      <c r="H714" s="49" t="s">
        <v>406</v>
      </c>
      <c r="I714" s="49" t="s">
        <v>2298</v>
      </c>
      <c r="J714" s="53" t="s">
        <v>2539</v>
      </c>
    </row>
    <row r="715" spans="1:10" x14ac:dyDescent="0.25">
      <c r="A715" s="51">
        <v>43333</v>
      </c>
      <c r="C715" s="49" t="s">
        <v>2063</v>
      </c>
      <c r="D715" s="49" t="s">
        <v>2273</v>
      </c>
      <c r="F715" s="49" t="str">
        <f>IFERROR(IF(Tabla1[[#This Row],[CONCEPTO mx]]="","",VLOOKUP(Tabla1[[#This Row],[CONCEPTO mx]],Tabla2[#All],2,0)),"")</f>
        <v/>
      </c>
      <c r="G715" s="49" t="str">
        <f>IFERROR(IF(Tabla1[[#This Row],[CONCEPTO mx]]="","",VLOOKUP(Tabla1[[#This Row],[CONCEPTO mx]],Tabla2[#All],3,0)),"")</f>
        <v/>
      </c>
      <c r="H715" s="49" t="s">
        <v>438</v>
      </c>
      <c r="I715" s="49" t="s">
        <v>2339</v>
      </c>
      <c r="J715" s="53"/>
    </row>
    <row r="716" spans="1:10" x14ac:dyDescent="0.25">
      <c r="A716" s="51">
        <v>43334</v>
      </c>
      <c r="C716" s="49" t="s">
        <v>2068</v>
      </c>
      <c r="D716" s="49" t="s">
        <v>2273</v>
      </c>
      <c r="F716" s="49" t="str">
        <f>IFERROR(IF(Tabla1[[#This Row],[CONCEPTO mx]]="","",VLOOKUP(Tabla1[[#This Row],[CONCEPTO mx]],Tabla2[#All],2,0)),"")</f>
        <v/>
      </c>
      <c r="G716" s="49" t="str">
        <f>IFERROR(IF(Tabla1[[#This Row],[CONCEPTO mx]]="","",VLOOKUP(Tabla1[[#This Row],[CONCEPTO mx]],Tabla2[#All],3,0)),"")</f>
        <v/>
      </c>
      <c r="H716" s="49" t="s">
        <v>2394</v>
      </c>
      <c r="I716" s="49" t="s">
        <v>2298</v>
      </c>
      <c r="J716" s="53" t="s">
        <v>2302</v>
      </c>
    </row>
    <row r="717" spans="1:10" x14ac:dyDescent="0.25">
      <c r="A717" s="51">
        <v>43334</v>
      </c>
      <c r="C717" s="49" t="s">
        <v>2072</v>
      </c>
      <c r="D717" s="49" t="s">
        <v>51</v>
      </c>
      <c r="F717" s="49" t="str">
        <f>IFERROR(IF(Tabla1[[#This Row],[CONCEPTO mx]]="","",VLOOKUP(Tabla1[[#This Row],[CONCEPTO mx]],Tabla2[#All],2,0)),"")</f>
        <v/>
      </c>
      <c r="G717" s="49" t="str">
        <f>IFERROR(IF(Tabla1[[#This Row],[CONCEPTO mx]]="","",VLOOKUP(Tabla1[[#This Row],[CONCEPTO mx]],Tabla2[#All],3,0)),"")</f>
        <v/>
      </c>
      <c r="H717" s="49" t="s">
        <v>470</v>
      </c>
      <c r="I717" s="49" t="s">
        <v>2298</v>
      </c>
      <c r="J717" s="53" t="s">
        <v>2844</v>
      </c>
    </row>
    <row r="718" spans="1:10" x14ac:dyDescent="0.25">
      <c r="A718" s="51">
        <v>43334</v>
      </c>
      <c r="C718" s="49" t="s">
        <v>2071</v>
      </c>
      <c r="D718" s="49" t="s">
        <v>51</v>
      </c>
      <c r="F718" s="49" t="str">
        <f>IFERROR(IF(Tabla1[[#This Row],[CONCEPTO mx]]="","",VLOOKUP(Tabla1[[#This Row],[CONCEPTO mx]],Tabla2[#All],2,0)),"")</f>
        <v/>
      </c>
      <c r="G718" s="49" t="str">
        <f>IFERROR(IF(Tabla1[[#This Row],[CONCEPTO mx]]="","",VLOOKUP(Tabla1[[#This Row],[CONCEPTO mx]],Tabla2[#All],3,0)),"")</f>
        <v/>
      </c>
      <c r="H718" s="49" t="s">
        <v>2391</v>
      </c>
      <c r="I718" s="49" t="s">
        <v>2298</v>
      </c>
      <c r="J718" s="53" t="s">
        <v>2844</v>
      </c>
    </row>
    <row r="719" spans="1:10" x14ac:dyDescent="0.25">
      <c r="A719" s="51">
        <v>43334</v>
      </c>
      <c r="C719" s="49" t="s">
        <v>1065</v>
      </c>
      <c r="D719" s="49" t="s">
        <v>51</v>
      </c>
      <c r="F719" s="49" t="str">
        <f>IFERROR(IF(Tabla1[[#This Row],[CONCEPTO mx]]="","",VLOOKUP(Tabla1[[#This Row],[CONCEPTO mx]],Tabla2[#All],2,0)),"")</f>
        <v/>
      </c>
      <c r="G719" s="49" t="str">
        <f>IFERROR(IF(Tabla1[[#This Row],[CONCEPTO mx]]="","",VLOOKUP(Tabla1[[#This Row],[CONCEPTO mx]],Tabla2[#All],3,0)),"")</f>
        <v/>
      </c>
      <c r="H719" s="49" t="s">
        <v>387</v>
      </c>
      <c r="I719" s="49" t="s">
        <v>2298</v>
      </c>
      <c r="J719" s="53" t="s">
        <v>2302</v>
      </c>
    </row>
    <row r="720" spans="1:10" x14ac:dyDescent="0.25">
      <c r="A720" s="51">
        <v>43334</v>
      </c>
      <c r="C720" s="49" t="s">
        <v>2069</v>
      </c>
      <c r="D720" s="49" t="s">
        <v>51</v>
      </c>
      <c r="F720" s="49" t="str">
        <f>IFERROR(IF(Tabla1[[#This Row],[CONCEPTO mx]]="","",VLOOKUP(Tabla1[[#This Row],[CONCEPTO mx]],Tabla2[#All],2,0)),"")</f>
        <v/>
      </c>
      <c r="G720" s="49" t="str">
        <f>IFERROR(IF(Tabla1[[#This Row],[CONCEPTO mx]]="","",VLOOKUP(Tabla1[[#This Row],[CONCEPTO mx]],Tabla2[#All],3,0)),"")</f>
        <v/>
      </c>
      <c r="H720" s="49" t="s">
        <v>441</v>
      </c>
      <c r="I720" s="49" t="s">
        <v>2298</v>
      </c>
      <c r="J720" s="53" t="s">
        <v>2302</v>
      </c>
    </row>
    <row r="721" spans="1:10" x14ac:dyDescent="0.25">
      <c r="A721" s="51">
        <v>43334</v>
      </c>
      <c r="C721" s="49" t="s">
        <v>2010</v>
      </c>
      <c r="D721" s="49" t="s">
        <v>51</v>
      </c>
      <c r="F721" s="49" t="str">
        <f>IFERROR(IF(Tabla1[[#This Row],[CONCEPTO mx]]="","",VLOOKUP(Tabla1[[#This Row],[CONCEPTO mx]],Tabla2[#All],2,0)),"")</f>
        <v/>
      </c>
      <c r="G721" s="49" t="str">
        <f>IFERROR(IF(Tabla1[[#This Row],[CONCEPTO mx]]="","",VLOOKUP(Tabla1[[#This Row],[CONCEPTO mx]],Tabla2[#All],3,0)),"")</f>
        <v/>
      </c>
      <c r="H721" s="49" t="s">
        <v>2394</v>
      </c>
      <c r="I721" s="49" t="s">
        <v>2298</v>
      </c>
      <c r="J721" s="53" t="s">
        <v>2353</v>
      </c>
    </row>
    <row r="722" spans="1:10" x14ac:dyDescent="0.25">
      <c r="A722" s="51">
        <v>43334</v>
      </c>
      <c r="C722" s="49" t="s">
        <v>2070</v>
      </c>
      <c r="D722" s="49" t="s">
        <v>2001</v>
      </c>
      <c r="F722" s="49" t="str">
        <f>IFERROR(IF(Tabla1[[#This Row],[CONCEPTO mx]]="","",VLOOKUP(Tabla1[[#This Row],[CONCEPTO mx]],Tabla2[#All],2,0)),"")</f>
        <v/>
      </c>
      <c r="G722" s="49" t="str">
        <f>IFERROR(IF(Tabla1[[#This Row],[CONCEPTO mx]]="","",VLOOKUP(Tabla1[[#This Row],[CONCEPTO mx]],Tabla2[#All],3,0)),"")</f>
        <v/>
      </c>
      <c r="H722" s="49" t="s">
        <v>470</v>
      </c>
      <c r="I722" s="49" t="s">
        <v>2298</v>
      </c>
      <c r="J722" s="53" t="s">
        <v>2353</v>
      </c>
    </row>
    <row r="723" spans="1:10" x14ac:dyDescent="0.25">
      <c r="A723" s="51">
        <v>43334</v>
      </c>
      <c r="C723" s="49" t="s">
        <v>26</v>
      </c>
      <c r="D723" s="49" t="s">
        <v>2273</v>
      </c>
      <c r="F723" s="49" t="str">
        <f>IFERROR(IF(Tabla1[[#This Row],[CONCEPTO mx]]="","",VLOOKUP(Tabla1[[#This Row],[CONCEPTO mx]],Tabla2[#All],2,0)),"")</f>
        <v/>
      </c>
      <c r="G723" s="49" t="str">
        <f>IFERROR(IF(Tabla1[[#This Row],[CONCEPTO mx]]="","",VLOOKUP(Tabla1[[#This Row],[CONCEPTO mx]],Tabla2[#All],3,0)),"")</f>
        <v/>
      </c>
      <c r="H723" s="49" t="s">
        <v>628</v>
      </c>
      <c r="I723" s="49" t="s">
        <v>2298</v>
      </c>
      <c r="J723" s="53" t="s">
        <v>2353</v>
      </c>
    </row>
    <row r="724" spans="1:10" x14ac:dyDescent="0.25">
      <c r="A724" s="51">
        <v>43336</v>
      </c>
      <c r="C724" s="49" t="s">
        <v>24</v>
      </c>
      <c r="D724" s="49" t="s">
        <v>2001</v>
      </c>
      <c r="F724" s="49" t="str">
        <f>IFERROR(IF(Tabla1[[#This Row],[CONCEPTO mx]]="","",VLOOKUP(Tabla1[[#This Row],[CONCEPTO mx]],Tabla2[#All],2,0)),"")</f>
        <v/>
      </c>
      <c r="G724" s="49" t="str">
        <f>IFERROR(IF(Tabla1[[#This Row],[CONCEPTO mx]]="","",VLOOKUP(Tabla1[[#This Row],[CONCEPTO mx]],Tabla2[#All],3,0)),"")</f>
        <v/>
      </c>
      <c r="H724" s="49" t="s">
        <v>387</v>
      </c>
      <c r="I724" s="49" t="s">
        <v>2298</v>
      </c>
      <c r="J724" s="53" t="s">
        <v>2302</v>
      </c>
    </row>
    <row r="725" spans="1:10" x14ac:dyDescent="0.25">
      <c r="A725" s="51">
        <v>43336</v>
      </c>
      <c r="C725" s="49" t="s">
        <v>2084</v>
      </c>
      <c r="E725" s="49" t="s">
        <v>2355</v>
      </c>
      <c r="F725" s="49" t="str">
        <f>IFERROR(IF(Tabla1[[#This Row],[CONCEPTO mx]]="","",VLOOKUP(Tabla1[[#This Row],[CONCEPTO mx]],Tabla2[#All],2,0)),"")</f>
        <v>CM13</v>
      </c>
      <c r="G725" s="49" t="str">
        <f>IFERROR(IF(Tabla1[[#This Row],[CONCEPTO mx]]="","",VLOOKUP(Tabla1[[#This Row],[CONCEPTO mx]],Tabla2[#All],3,0)),"")</f>
        <v>Gestión Humana</v>
      </c>
      <c r="H725" s="49" t="s">
        <v>406</v>
      </c>
      <c r="I725" s="49" t="s">
        <v>2298</v>
      </c>
      <c r="J725" s="53" t="s">
        <v>2855</v>
      </c>
    </row>
    <row r="726" spans="1:10" x14ac:dyDescent="0.25">
      <c r="A726" s="51">
        <v>43336</v>
      </c>
      <c r="C726" s="49" t="s">
        <v>2082</v>
      </c>
      <c r="D726" s="49" t="s">
        <v>51</v>
      </c>
      <c r="F726" s="49" t="str">
        <f>IFERROR(IF(Tabla1[[#This Row],[CONCEPTO mx]]="","",VLOOKUP(Tabla1[[#This Row],[CONCEPTO mx]],Tabla2[#All],2,0)),"")</f>
        <v/>
      </c>
      <c r="G726" s="49" t="str">
        <f>IFERROR(IF(Tabla1[[#This Row],[CONCEPTO mx]]="","",VLOOKUP(Tabla1[[#This Row],[CONCEPTO mx]],Tabla2[#All],3,0)),"")</f>
        <v/>
      </c>
      <c r="H726" s="49" t="s">
        <v>352</v>
      </c>
      <c r="I726" s="49" t="s">
        <v>2298</v>
      </c>
      <c r="J726" s="53" t="s">
        <v>2351</v>
      </c>
    </row>
    <row r="727" spans="1:10" x14ac:dyDescent="0.25">
      <c r="A727" s="51">
        <v>43336</v>
      </c>
      <c r="C727" s="49" t="s">
        <v>2081</v>
      </c>
      <c r="D727" s="49" t="s">
        <v>2273</v>
      </c>
      <c r="F727" s="49" t="str">
        <f>IFERROR(IF(Tabla1[[#This Row],[CONCEPTO mx]]="","",VLOOKUP(Tabla1[[#This Row],[CONCEPTO mx]],Tabla2[#All],2,0)),"")</f>
        <v/>
      </c>
      <c r="G727" s="49" t="str">
        <f>IFERROR(IF(Tabla1[[#This Row],[CONCEPTO mx]]="","",VLOOKUP(Tabla1[[#This Row],[CONCEPTO mx]],Tabla2[#All],3,0)),"")</f>
        <v/>
      </c>
      <c r="H727" s="49" t="s">
        <v>486</v>
      </c>
      <c r="I727" s="53" t="s">
        <v>2328</v>
      </c>
      <c r="J727" s="53"/>
    </row>
    <row r="728" spans="1:10" x14ac:dyDescent="0.25">
      <c r="A728" s="51">
        <v>43336</v>
      </c>
      <c r="C728" s="49" t="s">
        <v>2073</v>
      </c>
      <c r="E728" s="49" t="s">
        <v>2355</v>
      </c>
      <c r="F728" s="49" t="str">
        <f>IFERROR(IF(Tabla1[[#This Row],[CONCEPTO mx]]="","",VLOOKUP(Tabla1[[#This Row],[CONCEPTO mx]],Tabla2[#All],2,0)),"")</f>
        <v>CM13</v>
      </c>
      <c r="G728" s="49" t="str">
        <f>IFERROR(IF(Tabla1[[#This Row],[CONCEPTO mx]]="","",VLOOKUP(Tabla1[[#This Row],[CONCEPTO mx]],Tabla2[#All],3,0)),"")</f>
        <v>Gestión Humana</v>
      </c>
      <c r="H728" s="49" t="s">
        <v>441</v>
      </c>
      <c r="I728" s="49" t="s">
        <v>2298</v>
      </c>
      <c r="J728" s="53" t="s">
        <v>2368</v>
      </c>
    </row>
    <row r="729" spans="1:10" x14ac:dyDescent="0.25">
      <c r="A729" s="51">
        <v>43336</v>
      </c>
      <c r="C729" s="49" t="s">
        <v>2046</v>
      </c>
      <c r="D729" s="49" t="s">
        <v>2273</v>
      </c>
      <c r="F729" s="49" t="str">
        <f>IFERROR(IF(Tabla1[[#This Row],[CONCEPTO mx]]="","",VLOOKUP(Tabla1[[#This Row],[CONCEPTO mx]],Tabla2[#All],2,0)),"")</f>
        <v/>
      </c>
      <c r="G729" s="49" t="str">
        <f>IFERROR(IF(Tabla1[[#This Row],[CONCEPTO mx]]="","",VLOOKUP(Tabla1[[#This Row],[CONCEPTO mx]],Tabla2[#All],3,0)),"")</f>
        <v/>
      </c>
      <c r="H729" s="49" t="s">
        <v>2393</v>
      </c>
      <c r="I729" s="49" t="s">
        <v>2298</v>
      </c>
      <c r="J729" s="53" t="s">
        <v>2314</v>
      </c>
    </row>
    <row r="730" spans="1:10" x14ac:dyDescent="0.25">
      <c r="A730" s="51">
        <v>43336</v>
      </c>
      <c r="C730" s="49" t="s">
        <v>2079</v>
      </c>
      <c r="D730" s="49" t="s">
        <v>51</v>
      </c>
      <c r="F730" s="49" t="str">
        <f>IFERROR(IF(Tabla1[[#This Row],[CONCEPTO mx]]="","",VLOOKUP(Tabla1[[#This Row],[CONCEPTO mx]],Tabla2[#All],2,0)),"")</f>
        <v/>
      </c>
      <c r="G730" s="49" t="str">
        <f>IFERROR(IF(Tabla1[[#This Row],[CONCEPTO mx]]="","",VLOOKUP(Tabla1[[#This Row],[CONCEPTO mx]],Tabla2[#All],3,0)),"")</f>
        <v/>
      </c>
      <c r="H730" s="49" t="s">
        <v>484</v>
      </c>
      <c r="I730" s="49" t="s">
        <v>2298</v>
      </c>
      <c r="J730" s="53" t="s">
        <v>2302</v>
      </c>
    </row>
    <row r="731" spans="1:10" x14ac:dyDescent="0.25">
      <c r="A731" s="51">
        <v>43336</v>
      </c>
      <c r="C731" s="49" t="s">
        <v>2075</v>
      </c>
      <c r="D731" s="49" t="s">
        <v>2273</v>
      </c>
      <c r="F731" s="49" t="str">
        <f>IFERROR(IF(Tabla1[[#This Row],[CONCEPTO mx]]="","",VLOOKUP(Tabla1[[#This Row],[CONCEPTO mx]],Tabla2[#All],2,0)),"")</f>
        <v/>
      </c>
      <c r="G731" s="49" t="str">
        <f>IFERROR(IF(Tabla1[[#This Row],[CONCEPTO mx]]="","",VLOOKUP(Tabla1[[#This Row],[CONCEPTO mx]],Tabla2[#All],3,0)),"")</f>
        <v/>
      </c>
      <c r="H731" s="49" t="s">
        <v>387</v>
      </c>
      <c r="I731" s="49" t="s">
        <v>2328</v>
      </c>
      <c r="J731" s="53"/>
    </row>
    <row r="732" spans="1:10" x14ac:dyDescent="0.25">
      <c r="A732" s="51">
        <v>43336</v>
      </c>
      <c r="C732" s="49" t="s">
        <v>2077</v>
      </c>
      <c r="D732" s="49" t="s">
        <v>51</v>
      </c>
      <c r="E732" s="49" t="s">
        <v>3315</v>
      </c>
      <c r="F732" s="49" t="str">
        <f>IFERROR(IF(Tabla1[[#This Row],[CONCEPTO mx]]="","",VLOOKUP(Tabla1[[#This Row],[CONCEPTO mx]],Tabla2[#All],2,0)),"")</f>
        <v>CM40</v>
      </c>
      <c r="G732" s="49" t="str">
        <f>IFERROR(IF(Tabla1[[#This Row],[CONCEPTO mx]]="","",VLOOKUP(Tabla1[[#This Row],[CONCEPTO mx]],Tabla2[#All],3,0)),"")</f>
        <v>SST</v>
      </c>
      <c r="H732" s="49" t="s">
        <v>352</v>
      </c>
      <c r="I732" s="49" t="s">
        <v>2298</v>
      </c>
      <c r="J732" s="53" t="s">
        <v>2853</v>
      </c>
    </row>
    <row r="733" spans="1:10" x14ac:dyDescent="0.25">
      <c r="A733" s="51">
        <v>43336</v>
      </c>
      <c r="C733" s="49" t="s">
        <v>2026</v>
      </c>
      <c r="D733" s="49" t="s">
        <v>2273</v>
      </c>
      <c r="F733" s="49" t="str">
        <f>IFERROR(IF(Tabla1[[#This Row],[CONCEPTO mx]]="","",VLOOKUP(Tabla1[[#This Row],[CONCEPTO mx]],Tabla2[#All],2,0)),"")</f>
        <v/>
      </c>
      <c r="G733" s="49" t="str">
        <f>IFERROR(IF(Tabla1[[#This Row],[CONCEPTO mx]]="","",VLOOKUP(Tabla1[[#This Row],[CONCEPTO mx]],Tabla2[#All],3,0)),"")</f>
        <v/>
      </c>
      <c r="H733" s="49" t="s">
        <v>438</v>
      </c>
      <c r="I733" s="49" t="s">
        <v>2298</v>
      </c>
      <c r="J733" s="53" t="s">
        <v>2351</v>
      </c>
    </row>
    <row r="734" spans="1:10" x14ac:dyDescent="0.25">
      <c r="A734" s="51">
        <v>43336</v>
      </c>
      <c r="C734" s="49" t="s">
        <v>2083</v>
      </c>
      <c r="D734" s="49" t="s">
        <v>2273</v>
      </c>
      <c r="F734" s="49" t="str">
        <f>IFERROR(IF(Tabla1[[#This Row],[CONCEPTO mx]]="","",VLOOKUP(Tabla1[[#This Row],[CONCEPTO mx]],Tabla2[#All],2,0)),"")</f>
        <v/>
      </c>
      <c r="G734" s="49" t="str">
        <f>IFERROR(IF(Tabla1[[#This Row],[CONCEPTO mx]]="","",VLOOKUP(Tabla1[[#This Row],[CONCEPTO mx]],Tabla2[#All],3,0)),"")</f>
        <v/>
      </c>
      <c r="H734" s="49" t="s">
        <v>2393</v>
      </c>
      <c r="I734" s="49" t="s">
        <v>2329</v>
      </c>
      <c r="J734" s="53" t="s">
        <v>2322</v>
      </c>
    </row>
    <row r="735" spans="1:10" x14ac:dyDescent="0.25">
      <c r="A735" s="51">
        <v>43336</v>
      </c>
      <c r="C735" s="49" t="s">
        <v>2078</v>
      </c>
      <c r="D735" s="49" t="s">
        <v>2273</v>
      </c>
      <c r="F735" s="49" t="str">
        <f>IFERROR(IF(Tabla1[[#This Row],[CONCEPTO mx]]="","",VLOOKUP(Tabla1[[#This Row],[CONCEPTO mx]],Tabla2[#All],2,0)),"")</f>
        <v/>
      </c>
      <c r="G735" s="49" t="str">
        <f>IFERROR(IF(Tabla1[[#This Row],[CONCEPTO mx]]="","",VLOOKUP(Tabla1[[#This Row],[CONCEPTO mx]],Tabla2[#All],3,0)),"")</f>
        <v/>
      </c>
      <c r="H735" s="49" t="s">
        <v>441</v>
      </c>
      <c r="I735" s="49" t="s">
        <v>2298</v>
      </c>
      <c r="J735" s="53" t="s">
        <v>2307</v>
      </c>
    </row>
    <row r="736" spans="1:10" x14ac:dyDescent="0.25">
      <c r="A736" s="51">
        <v>43336</v>
      </c>
      <c r="C736" s="49" t="s">
        <v>2076</v>
      </c>
      <c r="D736" s="49" t="s">
        <v>51</v>
      </c>
      <c r="F736" s="49" t="str">
        <f>IFERROR(IF(Tabla1[[#This Row],[CONCEPTO mx]]="","",VLOOKUP(Tabla1[[#This Row],[CONCEPTO mx]],Tabla2[#All],2,0)),"")</f>
        <v/>
      </c>
      <c r="G736" s="49" t="str">
        <f>IFERROR(IF(Tabla1[[#This Row],[CONCEPTO mx]]="","",VLOOKUP(Tabla1[[#This Row],[CONCEPTO mx]],Tabla2[#All],3,0)),"")</f>
        <v/>
      </c>
      <c r="H736" s="49" t="s">
        <v>343</v>
      </c>
      <c r="I736" s="49" t="s">
        <v>2298</v>
      </c>
      <c r="J736" s="53" t="s">
        <v>2302</v>
      </c>
    </row>
    <row r="737" spans="1:11" x14ac:dyDescent="0.25">
      <c r="A737" s="51">
        <v>43336</v>
      </c>
      <c r="C737" s="49" t="s">
        <v>2080</v>
      </c>
      <c r="D737" s="49" t="s">
        <v>51</v>
      </c>
      <c r="F737" s="49" t="str">
        <f>IFERROR(IF(Tabla1[[#This Row],[CONCEPTO mx]]="","",VLOOKUP(Tabla1[[#This Row],[CONCEPTO mx]],Tabla2[#All],2,0)),"")</f>
        <v/>
      </c>
      <c r="G737" s="49" t="str">
        <f>IFERROR(IF(Tabla1[[#This Row],[CONCEPTO mx]]="","",VLOOKUP(Tabla1[[#This Row],[CONCEPTO mx]],Tabla2[#All],3,0)),"")</f>
        <v/>
      </c>
      <c r="H737" s="49" t="s">
        <v>343</v>
      </c>
      <c r="I737" s="49" t="s">
        <v>2298</v>
      </c>
      <c r="J737" s="53" t="s">
        <v>2854</v>
      </c>
    </row>
    <row r="738" spans="1:11" x14ac:dyDescent="0.25">
      <c r="A738" s="51">
        <v>43336</v>
      </c>
      <c r="C738" s="49" t="s">
        <v>2074</v>
      </c>
      <c r="D738" s="49" t="s">
        <v>51</v>
      </c>
      <c r="F738" s="49" t="str">
        <f>IFERROR(IF(Tabla1[[#This Row],[CONCEPTO mx]]="","",VLOOKUP(Tabla1[[#This Row],[CONCEPTO mx]],Tabla2[#All],2,0)),"")</f>
        <v/>
      </c>
      <c r="G738" s="49" t="str">
        <f>IFERROR(IF(Tabla1[[#This Row],[CONCEPTO mx]]="","",VLOOKUP(Tabla1[[#This Row],[CONCEPTO mx]],Tabla2[#All],3,0)),"")</f>
        <v/>
      </c>
      <c r="H738" s="49" t="s">
        <v>406</v>
      </c>
      <c r="I738" s="49" t="s">
        <v>2419</v>
      </c>
      <c r="J738" s="53"/>
    </row>
    <row r="739" spans="1:11" x14ac:dyDescent="0.25">
      <c r="A739" s="51">
        <v>43339</v>
      </c>
      <c r="C739" s="49" t="s">
        <v>2042</v>
      </c>
      <c r="D739" s="49" t="s">
        <v>2273</v>
      </c>
      <c r="F739" s="49" t="str">
        <f>IFERROR(IF(Tabla1[[#This Row],[CONCEPTO mx]]="","",VLOOKUP(Tabla1[[#This Row],[CONCEPTO mx]],Tabla2[#All],2,0)),"")</f>
        <v/>
      </c>
      <c r="G739" s="49" t="str">
        <f>IFERROR(IF(Tabla1[[#This Row],[CONCEPTO mx]]="","",VLOOKUP(Tabla1[[#This Row],[CONCEPTO mx]],Tabla2[#All],3,0)),"")</f>
        <v/>
      </c>
      <c r="H739" s="49" t="s">
        <v>438</v>
      </c>
      <c r="I739" s="49" t="s">
        <v>2298</v>
      </c>
      <c r="J739" s="53"/>
      <c r="K739" s="51">
        <v>43326</v>
      </c>
    </row>
    <row r="740" spans="1:11" x14ac:dyDescent="0.25">
      <c r="A740" s="51">
        <v>43339</v>
      </c>
      <c r="C740" s="49" t="s">
        <v>2085</v>
      </c>
      <c r="D740" s="49" t="s">
        <v>2273</v>
      </c>
      <c r="F740" s="49" t="str">
        <f>IFERROR(IF(Tabla1[[#This Row],[CONCEPTO mx]]="","",VLOOKUP(Tabla1[[#This Row],[CONCEPTO mx]],Tabla2[#All],2,0)),"")</f>
        <v/>
      </c>
      <c r="G740" s="49" t="str">
        <f>IFERROR(IF(Tabla1[[#This Row],[CONCEPTO mx]]="","",VLOOKUP(Tabla1[[#This Row],[CONCEPTO mx]],Tabla2[#All],3,0)),"")</f>
        <v/>
      </c>
      <c r="H740" s="49" t="s">
        <v>441</v>
      </c>
      <c r="I740" s="49" t="s">
        <v>2298</v>
      </c>
      <c r="J740" s="53" t="s">
        <v>2341</v>
      </c>
    </row>
    <row r="741" spans="1:11" x14ac:dyDescent="0.25">
      <c r="A741" s="51">
        <v>43339</v>
      </c>
      <c r="C741" s="49" t="s">
        <v>2023</v>
      </c>
      <c r="D741" s="49" t="s">
        <v>2273</v>
      </c>
      <c r="F741" s="49" t="str">
        <f>IFERROR(IF(Tabla1[[#This Row],[CONCEPTO mx]]="","",VLOOKUP(Tabla1[[#This Row],[CONCEPTO mx]],Tabla2[#All],2,0)),"")</f>
        <v/>
      </c>
      <c r="G741" s="49" t="str">
        <f>IFERROR(IF(Tabla1[[#This Row],[CONCEPTO mx]]="","",VLOOKUP(Tabla1[[#This Row],[CONCEPTO mx]],Tabla2[#All],3,0)),"")</f>
        <v/>
      </c>
      <c r="H741" s="49" t="s">
        <v>388</v>
      </c>
      <c r="I741" s="49" t="s">
        <v>2298</v>
      </c>
      <c r="J741" s="53" t="s">
        <v>2353</v>
      </c>
    </row>
    <row r="742" spans="1:11" x14ac:dyDescent="0.25">
      <c r="A742" s="51">
        <v>43340</v>
      </c>
      <c r="C742" s="49" t="s">
        <v>2092</v>
      </c>
      <c r="E742" s="49" t="s">
        <v>2355</v>
      </c>
      <c r="F742" s="49" t="str">
        <f>IFERROR(IF(Tabla1[[#This Row],[CONCEPTO mx]]="","",VLOOKUP(Tabla1[[#This Row],[CONCEPTO mx]],Tabla2[#All],2,0)),"")</f>
        <v>CM13</v>
      </c>
      <c r="G742" s="49" t="str">
        <f>IFERROR(IF(Tabla1[[#This Row],[CONCEPTO mx]]="","",VLOOKUP(Tabla1[[#This Row],[CONCEPTO mx]],Tabla2[#All],3,0)),"")</f>
        <v>Gestión Humana</v>
      </c>
      <c r="H742" s="49" t="s">
        <v>343</v>
      </c>
      <c r="I742" s="49" t="s">
        <v>2339</v>
      </c>
      <c r="J742" s="53"/>
    </row>
    <row r="743" spans="1:11" x14ac:dyDescent="0.25">
      <c r="A743" s="51">
        <v>43340</v>
      </c>
      <c r="C743" s="49" t="s">
        <v>2093</v>
      </c>
      <c r="D743" s="49" t="s">
        <v>51</v>
      </c>
      <c r="E743" s="49" t="s">
        <v>3315</v>
      </c>
      <c r="F743" s="49" t="str">
        <f>IFERROR(IF(Tabla1[[#This Row],[CONCEPTO mx]]="","",VLOOKUP(Tabla1[[#This Row],[CONCEPTO mx]],Tabla2[#All],2,0)),"")</f>
        <v>CM40</v>
      </c>
      <c r="G743" s="49" t="str">
        <f>IFERROR(IF(Tabla1[[#This Row],[CONCEPTO mx]]="","",VLOOKUP(Tabla1[[#This Row],[CONCEPTO mx]],Tabla2[#All],3,0)),"")</f>
        <v>SST</v>
      </c>
      <c r="H743" s="49" t="s">
        <v>628</v>
      </c>
      <c r="I743" s="49" t="s">
        <v>2339</v>
      </c>
      <c r="J743" s="53"/>
    </row>
    <row r="744" spans="1:11" x14ac:dyDescent="0.25">
      <c r="A744" s="51">
        <v>43340</v>
      </c>
      <c r="C744" s="49" t="s">
        <v>2091</v>
      </c>
      <c r="D744" s="49" t="s">
        <v>51</v>
      </c>
      <c r="F744" s="49" t="str">
        <f>IFERROR(IF(Tabla1[[#This Row],[CONCEPTO mx]]="","",VLOOKUP(Tabla1[[#This Row],[CONCEPTO mx]],Tabla2[#All],2,0)),"")</f>
        <v/>
      </c>
      <c r="G744" s="49" t="str">
        <f>IFERROR(IF(Tabla1[[#This Row],[CONCEPTO mx]]="","",VLOOKUP(Tabla1[[#This Row],[CONCEPTO mx]],Tabla2[#All],3,0)),"")</f>
        <v/>
      </c>
      <c r="H744" s="49" t="s">
        <v>2394</v>
      </c>
      <c r="I744" s="49" t="s">
        <v>2298</v>
      </c>
      <c r="J744" s="53" t="s">
        <v>2402</v>
      </c>
    </row>
    <row r="745" spans="1:11" x14ac:dyDescent="0.25">
      <c r="A745" s="51">
        <v>43340</v>
      </c>
      <c r="C745" s="49" t="s">
        <v>2089</v>
      </c>
      <c r="D745" s="49" t="s">
        <v>51</v>
      </c>
      <c r="E745" s="49" t="s">
        <v>3315</v>
      </c>
      <c r="F745" s="49" t="str">
        <f>IFERROR(IF(Tabla1[[#This Row],[CONCEPTO mx]]="","",VLOOKUP(Tabla1[[#This Row],[CONCEPTO mx]],Tabla2[#All],2,0)),"")</f>
        <v>CM40</v>
      </c>
      <c r="G745" s="49" t="str">
        <f>IFERROR(IF(Tabla1[[#This Row],[CONCEPTO mx]]="","",VLOOKUP(Tabla1[[#This Row],[CONCEPTO mx]],Tabla2[#All],3,0)),"")</f>
        <v>SST</v>
      </c>
      <c r="H745" s="49" t="s">
        <v>2391</v>
      </c>
      <c r="I745" s="49" t="s">
        <v>2298</v>
      </c>
      <c r="J745" s="53" t="s">
        <v>2849</v>
      </c>
    </row>
    <row r="746" spans="1:11" x14ac:dyDescent="0.25">
      <c r="A746" s="51">
        <v>43340</v>
      </c>
      <c r="C746" s="49" t="s">
        <v>2088</v>
      </c>
      <c r="D746" s="49" t="s">
        <v>51</v>
      </c>
      <c r="F746" s="49" t="str">
        <f>IFERROR(IF(Tabla1[[#This Row],[CONCEPTO mx]]="","",VLOOKUP(Tabla1[[#This Row],[CONCEPTO mx]],Tabla2[#All],2,0)),"")</f>
        <v/>
      </c>
      <c r="G746" s="49" t="str">
        <f>IFERROR(IF(Tabla1[[#This Row],[CONCEPTO mx]]="","",VLOOKUP(Tabla1[[#This Row],[CONCEPTO mx]],Tabla2[#All],3,0)),"")</f>
        <v/>
      </c>
      <c r="H746" s="49" t="s">
        <v>357</v>
      </c>
      <c r="I746" s="49" t="s">
        <v>2298</v>
      </c>
      <c r="J746" s="53" t="s">
        <v>2341</v>
      </c>
    </row>
    <row r="747" spans="1:11" x14ac:dyDescent="0.25">
      <c r="A747" s="51">
        <v>43340</v>
      </c>
      <c r="C747" s="49" t="s">
        <v>2090</v>
      </c>
      <c r="D747" s="49" t="s">
        <v>51</v>
      </c>
      <c r="F747" s="49" t="str">
        <f>IFERROR(IF(Tabla1[[#This Row],[CONCEPTO mx]]="","",VLOOKUP(Tabla1[[#This Row],[CONCEPTO mx]],Tabla2[#All],2,0)),"")</f>
        <v/>
      </c>
      <c r="G747" s="49" t="str">
        <f>IFERROR(IF(Tabla1[[#This Row],[CONCEPTO mx]]="","",VLOOKUP(Tabla1[[#This Row],[CONCEPTO mx]],Tabla2[#All],3,0)),"")</f>
        <v/>
      </c>
      <c r="H747" s="49" t="s">
        <v>550</v>
      </c>
      <c r="I747" s="49" t="s">
        <v>2318</v>
      </c>
      <c r="J747" s="53"/>
    </row>
    <row r="748" spans="1:11" x14ac:dyDescent="0.25">
      <c r="A748" s="51">
        <v>43340</v>
      </c>
      <c r="C748" s="49" t="s">
        <v>2086</v>
      </c>
      <c r="D748" s="49" t="s">
        <v>2273</v>
      </c>
      <c r="F748" s="49" t="str">
        <f>IFERROR(IF(Tabla1[[#This Row],[CONCEPTO mx]]="","",VLOOKUP(Tabla1[[#This Row],[CONCEPTO mx]],Tabla2[#All],2,0)),"")</f>
        <v/>
      </c>
      <c r="G748" s="49" t="str">
        <f>IFERROR(IF(Tabla1[[#This Row],[CONCEPTO mx]]="","",VLOOKUP(Tabla1[[#This Row],[CONCEPTO mx]],Tabla2[#All],3,0)),"")</f>
        <v/>
      </c>
      <c r="H748" s="49" t="s">
        <v>550</v>
      </c>
      <c r="I748" s="49" t="s">
        <v>2298</v>
      </c>
      <c r="J748" s="53" t="s">
        <v>2353</v>
      </c>
    </row>
    <row r="749" spans="1:11" x14ac:dyDescent="0.25">
      <c r="A749" s="51">
        <v>43340</v>
      </c>
      <c r="C749" s="49" t="s">
        <v>2062</v>
      </c>
      <c r="D749" s="49" t="s">
        <v>2273</v>
      </c>
      <c r="F749" s="49" t="str">
        <f>IFERROR(IF(Tabla1[[#This Row],[CONCEPTO mx]]="","",VLOOKUP(Tabla1[[#This Row],[CONCEPTO mx]],Tabla2[#All],2,0)),"")</f>
        <v/>
      </c>
      <c r="G749" s="49" t="str">
        <f>IFERROR(IF(Tabla1[[#This Row],[CONCEPTO mx]]="","",VLOOKUP(Tabla1[[#This Row],[CONCEPTO mx]],Tabla2[#All],3,0)),"")</f>
        <v/>
      </c>
      <c r="H749" s="49" t="s">
        <v>516</v>
      </c>
      <c r="I749" s="49" t="s">
        <v>2339</v>
      </c>
      <c r="J749" s="53"/>
    </row>
    <row r="750" spans="1:11" x14ac:dyDescent="0.25">
      <c r="A750" s="51">
        <v>43340</v>
      </c>
      <c r="C750" s="49" t="s">
        <v>2087</v>
      </c>
      <c r="D750" s="49" t="s">
        <v>2273</v>
      </c>
      <c r="F750" s="49" t="str">
        <f>IFERROR(IF(Tabla1[[#This Row],[CONCEPTO mx]]="","",VLOOKUP(Tabla1[[#This Row],[CONCEPTO mx]],Tabla2[#All],2,0)),"")</f>
        <v/>
      </c>
      <c r="G750" s="49" t="str">
        <f>IFERROR(IF(Tabla1[[#This Row],[CONCEPTO mx]]="","",VLOOKUP(Tabla1[[#This Row],[CONCEPTO mx]],Tabla2[#All],3,0)),"")</f>
        <v/>
      </c>
      <c r="H750" s="49" t="s">
        <v>550</v>
      </c>
      <c r="I750" s="49" t="s">
        <v>2298</v>
      </c>
      <c r="J750" s="53" t="s">
        <v>2402</v>
      </c>
    </row>
    <row r="751" spans="1:11" x14ac:dyDescent="0.25">
      <c r="A751" s="51">
        <v>43341</v>
      </c>
      <c r="C751" s="49" t="s">
        <v>2096</v>
      </c>
      <c r="D751" s="49" t="s">
        <v>51</v>
      </c>
      <c r="F751" s="49" t="str">
        <f>IFERROR(IF(Tabla1[[#This Row],[CONCEPTO mx]]="","",VLOOKUP(Tabla1[[#This Row],[CONCEPTO mx]],Tabla2[#All],2,0)),"")</f>
        <v/>
      </c>
      <c r="G751" s="49" t="str">
        <f>IFERROR(IF(Tabla1[[#This Row],[CONCEPTO mx]]="","",VLOOKUP(Tabla1[[#This Row],[CONCEPTO mx]],Tabla2[#All],3,0)),"")</f>
        <v/>
      </c>
      <c r="H751" s="49" t="s">
        <v>628</v>
      </c>
      <c r="I751" s="49" t="s">
        <v>2339</v>
      </c>
      <c r="J751" s="53"/>
    </row>
    <row r="752" spans="1:11" x14ac:dyDescent="0.25">
      <c r="A752" s="51">
        <v>43341</v>
      </c>
      <c r="C752" s="49" t="s">
        <v>2091</v>
      </c>
      <c r="D752" s="49" t="s">
        <v>51</v>
      </c>
      <c r="F752" s="49" t="str">
        <f>IFERROR(IF(Tabla1[[#This Row],[CONCEPTO mx]]="","",VLOOKUP(Tabla1[[#This Row],[CONCEPTO mx]],Tabla2[#All],2,0)),"")</f>
        <v/>
      </c>
      <c r="G752" s="49" t="str">
        <f>IFERROR(IF(Tabla1[[#This Row],[CONCEPTO mx]]="","",VLOOKUP(Tabla1[[#This Row],[CONCEPTO mx]],Tabla2[#All],3,0)),"")</f>
        <v/>
      </c>
      <c r="H752" s="49" t="s">
        <v>2394</v>
      </c>
      <c r="I752" s="49" t="s">
        <v>1632</v>
      </c>
      <c r="J752" s="53"/>
    </row>
    <row r="753" spans="1:10" x14ac:dyDescent="0.25">
      <c r="A753" s="51">
        <v>43341</v>
      </c>
      <c r="C753" s="49" t="s">
        <v>2094</v>
      </c>
      <c r="D753" s="49" t="s">
        <v>51</v>
      </c>
      <c r="F753" s="49" t="str">
        <f>IFERROR(IF(Tabla1[[#This Row],[CONCEPTO mx]]="","",VLOOKUP(Tabla1[[#This Row],[CONCEPTO mx]],Tabla2[#All],2,0)),"")</f>
        <v/>
      </c>
      <c r="G753" s="49" t="str">
        <f>IFERROR(IF(Tabla1[[#This Row],[CONCEPTO mx]]="","",VLOOKUP(Tabla1[[#This Row],[CONCEPTO mx]],Tabla2[#All],3,0)),"")</f>
        <v/>
      </c>
      <c r="H753" s="49" t="s">
        <v>352</v>
      </c>
      <c r="I753" s="49" t="s">
        <v>2339</v>
      </c>
      <c r="J753" s="53"/>
    </row>
    <row r="754" spans="1:10" x14ac:dyDescent="0.25">
      <c r="A754" s="51">
        <v>43341</v>
      </c>
      <c r="C754" s="49" t="s">
        <v>2097</v>
      </c>
      <c r="D754" s="49" t="s">
        <v>51</v>
      </c>
      <c r="F754" s="49" t="str">
        <f>IFERROR(IF(Tabla1[[#This Row],[CONCEPTO mx]]="","",VLOOKUP(Tabla1[[#This Row],[CONCEPTO mx]],Tabla2[#All],2,0)),"")</f>
        <v/>
      </c>
      <c r="G754" s="49" t="str">
        <f>IFERROR(IF(Tabla1[[#This Row],[CONCEPTO mx]]="","",VLOOKUP(Tabla1[[#This Row],[CONCEPTO mx]],Tabla2[#All],3,0)),"")</f>
        <v/>
      </c>
      <c r="H754" s="49" t="s">
        <v>2392</v>
      </c>
      <c r="I754" s="49" t="s">
        <v>1988</v>
      </c>
      <c r="J754" s="53"/>
    </row>
    <row r="755" spans="1:10" x14ac:dyDescent="0.25">
      <c r="A755" s="51">
        <v>43341</v>
      </c>
      <c r="C755" s="49" t="s">
        <v>2095</v>
      </c>
      <c r="E755" s="49" t="s">
        <v>2355</v>
      </c>
      <c r="F755" s="49" t="str">
        <f>IFERROR(IF(Tabla1[[#This Row],[CONCEPTO mx]]="","",VLOOKUP(Tabla1[[#This Row],[CONCEPTO mx]],Tabla2[#All],2,0)),"")</f>
        <v>CM13</v>
      </c>
      <c r="G755" s="49" t="str">
        <f>IFERROR(IF(Tabla1[[#This Row],[CONCEPTO mx]]="","",VLOOKUP(Tabla1[[#This Row],[CONCEPTO mx]],Tabla2[#All],3,0)),"")</f>
        <v>Gestión Humana</v>
      </c>
      <c r="H755" s="49" t="s">
        <v>352</v>
      </c>
      <c r="I755" s="49" t="s">
        <v>2339</v>
      </c>
      <c r="J755" s="53"/>
    </row>
    <row r="756" spans="1:10" x14ac:dyDescent="0.25">
      <c r="A756" s="51">
        <v>43342</v>
      </c>
      <c r="C756" s="49" t="s">
        <v>2099</v>
      </c>
      <c r="D756" s="49" t="s">
        <v>51</v>
      </c>
      <c r="F756" s="49" t="str">
        <f>IFERROR(IF(Tabla1[[#This Row],[CONCEPTO mx]]="","",VLOOKUP(Tabla1[[#This Row],[CONCEPTO mx]],Tabla2[#All],2,0)),"")</f>
        <v/>
      </c>
      <c r="G756" s="49" t="str">
        <f>IFERROR(IF(Tabla1[[#This Row],[CONCEPTO mx]]="","",VLOOKUP(Tabla1[[#This Row],[CONCEPTO mx]],Tabla2[#All],3,0)),"")</f>
        <v/>
      </c>
      <c r="H756" s="49" t="s">
        <v>439</v>
      </c>
      <c r="I756" s="49" t="s">
        <v>2298</v>
      </c>
      <c r="J756" s="53" t="s">
        <v>2353</v>
      </c>
    </row>
    <row r="757" spans="1:10" x14ac:dyDescent="0.25">
      <c r="A757" s="51">
        <v>43342</v>
      </c>
      <c r="C757" s="49" t="s">
        <v>2098</v>
      </c>
      <c r="D757" s="49" t="s">
        <v>51</v>
      </c>
      <c r="F757" s="49" t="str">
        <f>IFERROR(IF(Tabla1[[#This Row],[CONCEPTO mx]]="","",VLOOKUP(Tabla1[[#This Row],[CONCEPTO mx]],Tabla2[#All],2,0)),"")</f>
        <v/>
      </c>
      <c r="G757" s="49" t="str">
        <f>IFERROR(IF(Tabla1[[#This Row],[CONCEPTO mx]]="","",VLOOKUP(Tabla1[[#This Row],[CONCEPTO mx]],Tabla2[#All],3,0)),"")</f>
        <v/>
      </c>
      <c r="H757" s="49" t="s">
        <v>438</v>
      </c>
      <c r="I757" s="49" t="s">
        <v>2298</v>
      </c>
      <c r="J757" s="53" t="s">
        <v>2341</v>
      </c>
    </row>
    <row r="758" spans="1:10" x14ac:dyDescent="0.25">
      <c r="A758" s="51">
        <v>43343</v>
      </c>
      <c r="C758" s="49" t="s">
        <v>2123</v>
      </c>
      <c r="D758" s="49" t="s">
        <v>51</v>
      </c>
      <c r="F758" s="49" t="str">
        <f>IFERROR(IF(Tabla1[[#This Row],[CONCEPTO mx]]="","",VLOOKUP(Tabla1[[#This Row],[CONCEPTO mx]],Tabla2[#All],2,0)),"")</f>
        <v/>
      </c>
      <c r="G758" s="49" t="str">
        <f>IFERROR(IF(Tabla1[[#This Row],[CONCEPTO mx]]="","",VLOOKUP(Tabla1[[#This Row],[CONCEPTO mx]],Tabla2[#All],3,0)),"")</f>
        <v/>
      </c>
      <c r="H758" s="49" t="s">
        <v>550</v>
      </c>
      <c r="I758" s="49" t="s">
        <v>2298</v>
      </c>
      <c r="J758" s="53" t="s">
        <v>2402</v>
      </c>
    </row>
    <row r="759" spans="1:10" x14ac:dyDescent="0.25">
      <c r="A759" s="51">
        <v>43343</v>
      </c>
      <c r="C759" s="49" t="s">
        <v>2107</v>
      </c>
      <c r="D759" s="49" t="s">
        <v>51</v>
      </c>
      <c r="F759" s="49" t="str">
        <f>IFERROR(IF(Tabla1[[#This Row],[CONCEPTO mx]]="","",VLOOKUP(Tabla1[[#This Row],[CONCEPTO mx]],Tabla2[#All],2,0)),"")</f>
        <v/>
      </c>
      <c r="G759" s="49" t="str">
        <f>IFERROR(IF(Tabla1[[#This Row],[CONCEPTO mx]]="","",VLOOKUP(Tabla1[[#This Row],[CONCEPTO mx]],Tabla2[#All],3,0)),"")</f>
        <v/>
      </c>
      <c r="H759" s="49" t="s">
        <v>542</v>
      </c>
      <c r="I759" s="49" t="s">
        <v>2298</v>
      </c>
      <c r="J759" s="53" t="s">
        <v>2302</v>
      </c>
    </row>
    <row r="760" spans="1:10" x14ac:dyDescent="0.25">
      <c r="A760" s="51">
        <v>43343</v>
      </c>
      <c r="C760" s="49" t="s">
        <v>2124</v>
      </c>
      <c r="D760" s="49" t="s">
        <v>2273</v>
      </c>
      <c r="F760" s="49" t="str">
        <f>IFERROR(IF(Tabla1[[#This Row],[CONCEPTO mx]]="","",VLOOKUP(Tabla1[[#This Row],[CONCEPTO mx]],Tabla2[#All],2,0)),"")</f>
        <v/>
      </c>
      <c r="G760" s="49" t="str">
        <f>IFERROR(IF(Tabla1[[#This Row],[CONCEPTO mx]]="","",VLOOKUP(Tabla1[[#This Row],[CONCEPTO mx]],Tabla2[#All],3,0)),"")</f>
        <v/>
      </c>
      <c r="H760" s="49" t="s">
        <v>438</v>
      </c>
      <c r="I760" s="49" t="s">
        <v>2298</v>
      </c>
      <c r="J760" s="53" t="s">
        <v>2314</v>
      </c>
    </row>
    <row r="761" spans="1:10" x14ac:dyDescent="0.25">
      <c r="A761" s="51">
        <v>43343</v>
      </c>
      <c r="C761" s="49" t="s">
        <v>2112</v>
      </c>
      <c r="D761" s="49" t="s">
        <v>51</v>
      </c>
      <c r="F761" s="49" t="str">
        <f>IFERROR(IF(Tabla1[[#This Row],[CONCEPTO mx]]="","",VLOOKUP(Tabla1[[#This Row],[CONCEPTO mx]],Tabla2[#All],2,0)),"")</f>
        <v/>
      </c>
      <c r="G761" s="49" t="str">
        <f>IFERROR(IF(Tabla1[[#This Row],[CONCEPTO mx]]="","",VLOOKUP(Tabla1[[#This Row],[CONCEPTO mx]],Tabla2[#All],3,0)),"")</f>
        <v/>
      </c>
      <c r="H761" s="49" t="s">
        <v>470</v>
      </c>
      <c r="I761" s="49" t="s">
        <v>2298</v>
      </c>
      <c r="J761" s="53" t="s">
        <v>2353</v>
      </c>
    </row>
    <row r="762" spans="1:10" x14ac:dyDescent="0.25">
      <c r="A762" s="51">
        <v>43343</v>
      </c>
      <c r="C762" s="49" t="s">
        <v>2105</v>
      </c>
      <c r="D762" s="49" t="s">
        <v>51</v>
      </c>
      <c r="F762" s="49" t="str">
        <f>IFERROR(IF(Tabla1[[#This Row],[CONCEPTO mx]]="","",VLOOKUP(Tabla1[[#This Row],[CONCEPTO mx]],Tabla2[#All],2,0)),"")</f>
        <v/>
      </c>
      <c r="G762" s="49" t="str">
        <f>IFERROR(IF(Tabla1[[#This Row],[CONCEPTO mx]]="","",VLOOKUP(Tabla1[[#This Row],[CONCEPTO mx]],Tabla2[#All],3,0)),"")</f>
        <v/>
      </c>
      <c r="H762" s="49" t="s">
        <v>542</v>
      </c>
      <c r="I762" s="49" t="s">
        <v>2298</v>
      </c>
      <c r="J762" s="53" t="s">
        <v>2351</v>
      </c>
    </row>
    <row r="763" spans="1:10" x14ac:dyDescent="0.25">
      <c r="A763" s="51">
        <v>43343</v>
      </c>
      <c r="C763" s="49" t="s">
        <v>2131</v>
      </c>
      <c r="D763" s="49" t="s">
        <v>51</v>
      </c>
      <c r="F763" s="49" t="str">
        <f>IFERROR(IF(Tabla1[[#This Row],[CONCEPTO mx]]="","",VLOOKUP(Tabla1[[#This Row],[CONCEPTO mx]],Tabla2[#All],2,0)),"")</f>
        <v/>
      </c>
      <c r="G763" s="49" t="str">
        <f>IFERROR(IF(Tabla1[[#This Row],[CONCEPTO mx]]="","",VLOOKUP(Tabla1[[#This Row],[CONCEPTO mx]],Tabla2[#All],3,0)),"")</f>
        <v/>
      </c>
      <c r="H763" s="49" t="s">
        <v>388</v>
      </c>
      <c r="I763" s="49" t="s">
        <v>2328</v>
      </c>
      <c r="J763" s="53"/>
    </row>
    <row r="764" spans="1:10" x14ac:dyDescent="0.25">
      <c r="A764" s="51">
        <v>43343</v>
      </c>
      <c r="C764" s="49" t="s">
        <v>2113</v>
      </c>
      <c r="E764" s="49" t="s">
        <v>2355</v>
      </c>
      <c r="F764" s="49" t="str">
        <f>IFERROR(IF(Tabla1[[#This Row],[CONCEPTO mx]]="","",VLOOKUP(Tabla1[[#This Row],[CONCEPTO mx]],Tabla2[#All],2,0)),"")</f>
        <v>CM13</v>
      </c>
      <c r="G764" s="49" t="str">
        <f>IFERROR(IF(Tabla1[[#This Row],[CONCEPTO mx]]="","",VLOOKUP(Tabla1[[#This Row],[CONCEPTO mx]],Tabla2[#All],3,0)),"")</f>
        <v>Gestión Humana</v>
      </c>
      <c r="H764" s="49" t="s">
        <v>486</v>
      </c>
      <c r="I764" s="49" t="s">
        <v>2114</v>
      </c>
      <c r="J764" s="53"/>
    </row>
    <row r="765" spans="1:10" x14ac:dyDescent="0.25">
      <c r="A765" s="51">
        <v>43343</v>
      </c>
      <c r="C765" s="49" t="s">
        <v>2127</v>
      </c>
      <c r="D765" s="49" t="s">
        <v>51</v>
      </c>
      <c r="F765" s="49" t="str">
        <f>IFERROR(IF(Tabla1[[#This Row],[CONCEPTO mx]]="","",VLOOKUP(Tabla1[[#This Row],[CONCEPTO mx]],Tabla2[#All],2,0)),"")</f>
        <v/>
      </c>
      <c r="G765" s="49" t="str">
        <f>IFERROR(IF(Tabla1[[#This Row],[CONCEPTO mx]]="","",VLOOKUP(Tabla1[[#This Row],[CONCEPTO mx]],Tabla2[#All],3,0)),"")</f>
        <v/>
      </c>
      <c r="H765" s="49" t="s">
        <v>542</v>
      </c>
      <c r="I765" s="49" t="s">
        <v>2298</v>
      </c>
      <c r="J765" s="53" t="s">
        <v>2314</v>
      </c>
    </row>
    <row r="766" spans="1:10" x14ac:dyDescent="0.25">
      <c r="A766" s="51">
        <v>43343</v>
      </c>
      <c r="C766" s="49" t="s">
        <v>2106</v>
      </c>
      <c r="D766" s="49" t="s">
        <v>2001</v>
      </c>
      <c r="F766" s="49" t="str">
        <f>IFERROR(IF(Tabla1[[#This Row],[CONCEPTO mx]]="","",VLOOKUP(Tabla1[[#This Row],[CONCEPTO mx]],Tabla2[#All],2,0)),"")</f>
        <v/>
      </c>
      <c r="G766" s="49" t="str">
        <f>IFERROR(IF(Tabla1[[#This Row],[CONCEPTO mx]]="","",VLOOKUP(Tabla1[[#This Row],[CONCEPTO mx]],Tabla2[#All],3,0)),"")</f>
        <v/>
      </c>
      <c r="H766" s="49" t="s">
        <v>439</v>
      </c>
      <c r="I766" s="49" t="s">
        <v>2298</v>
      </c>
      <c r="J766" s="53" t="s">
        <v>2402</v>
      </c>
    </row>
    <row r="767" spans="1:10" x14ac:dyDescent="0.25">
      <c r="A767" s="51">
        <v>43343</v>
      </c>
      <c r="C767" s="49" t="s">
        <v>2120</v>
      </c>
      <c r="D767" s="49" t="s">
        <v>51</v>
      </c>
      <c r="F767" s="49" t="str">
        <f>IFERROR(IF(Tabla1[[#This Row],[CONCEPTO mx]]="","",VLOOKUP(Tabla1[[#This Row],[CONCEPTO mx]],Tabla2[#All],2,0)),"")</f>
        <v/>
      </c>
      <c r="G767" s="49" t="str">
        <f>IFERROR(IF(Tabla1[[#This Row],[CONCEPTO mx]]="","",VLOOKUP(Tabla1[[#This Row],[CONCEPTO mx]],Tabla2[#All],3,0)),"")</f>
        <v/>
      </c>
      <c r="H767" s="49" t="s">
        <v>550</v>
      </c>
      <c r="I767" s="49" t="s">
        <v>2298</v>
      </c>
      <c r="J767" s="53" t="s">
        <v>2353</v>
      </c>
    </row>
    <row r="768" spans="1:10" x14ac:dyDescent="0.25">
      <c r="A768" s="51">
        <v>43343</v>
      </c>
      <c r="C768" s="49" t="s">
        <v>2103</v>
      </c>
      <c r="D768" s="49" t="s">
        <v>51</v>
      </c>
      <c r="F768" s="49" t="str">
        <f>IFERROR(IF(Tabla1[[#This Row],[CONCEPTO mx]]="","",VLOOKUP(Tabla1[[#This Row],[CONCEPTO mx]],Tabla2[#All],2,0)),"")</f>
        <v/>
      </c>
      <c r="G768" s="49" t="str">
        <f>IFERROR(IF(Tabla1[[#This Row],[CONCEPTO mx]]="","",VLOOKUP(Tabla1[[#This Row],[CONCEPTO mx]],Tabla2[#All],3,0)),"")</f>
        <v/>
      </c>
      <c r="H768" s="49" t="s">
        <v>550</v>
      </c>
      <c r="I768" s="49" t="s">
        <v>2298</v>
      </c>
      <c r="J768" s="53" t="s">
        <v>2402</v>
      </c>
    </row>
    <row r="769" spans="1:10" x14ac:dyDescent="0.25">
      <c r="A769" s="51">
        <v>43343</v>
      </c>
      <c r="C769" s="49" t="s">
        <v>2126</v>
      </c>
      <c r="D769" s="49" t="s">
        <v>2273</v>
      </c>
      <c r="F769" s="49" t="str">
        <f>IFERROR(IF(Tabla1[[#This Row],[CONCEPTO mx]]="","",VLOOKUP(Tabla1[[#This Row],[CONCEPTO mx]],Tabla2[#All],2,0)),"")</f>
        <v/>
      </c>
      <c r="G769" s="49" t="str">
        <f>IFERROR(IF(Tabla1[[#This Row],[CONCEPTO mx]]="","",VLOOKUP(Tabla1[[#This Row],[CONCEPTO mx]],Tabla2[#All],3,0)),"")</f>
        <v/>
      </c>
      <c r="H769" s="49" t="s">
        <v>2393</v>
      </c>
      <c r="I769" s="49" t="s">
        <v>2298</v>
      </c>
      <c r="J769" s="53" t="s">
        <v>2702</v>
      </c>
    </row>
    <row r="770" spans="1:10" x14ac:dyDescent="0.25">
      <c r="A770" s="51">
        <v>43343</v>
      </c>
      <c r="C770" s="49" t="s">
        <v>2125</v>
      </c>
      <c r="D770" s="49" t="s">
        <v>51</v>
      </c>
      <c r="F770" s="49" t="str">
        <f>IFERROR(IF(Tabla1[[#This Row],[CONCEPTO mx]]="","",VLOOKUP(Tabla1[[#This Row],[CONCEPTO mx]],Tabla2[#All],2,0)),"")</f>
        <v/>
      </c>
      <c r="G770" s="49" t="str">
        <f>IFERROR(IF(Tabla1[[#This Row],[CONCEPTO mx]]="","",VLOOKUP(Tabla1[[#This Row],[CONCEPTO mx]],Tabla2[#All],3,0)),"")</f>
        <v/>
      </c>
      <c r="H770" s="49" t="s">
        <v>406</v>
      </c>
      <c r="I770" s="49" t="s">
        <v>2298</v>
      </c>
      <c r="J770" s="53" t="s">
        <v>2314</v>
      </c>
    </row>
    <row r="771" spans="1:10" x14ac:dyDescent="0.25">
      <c r="A771" s="51">
        <v>43343</v>
      </c>
      <c r="C771" s="49" t="s">
        <v>2102</v>
      </c>
      <c r="D771" s="49" t="s">
        <v>51</v>
      </c>
      <c r="F771" s="49" t="str">
        <f>IFERROR(IF(Tabla1[[#This Row],[CONCEPTO mx]]="","",VLOOKUP(Tabla1[[#This Row],[CONCEPTO mx]],Tabla2[#All],2,0)),"")</f>
        <v/>
      </c>
      <c r="G771" s="49" t="str">
        <f>IFERROR(IF(Tabla1[[#This Row],[CONCEPTO mx]]="","",VLOOKUP(Tabla1[[#This Row],[CONCEPTO mx]],Tabla2[#All],3,0)),"")</f>
        <v/>
      </c>
      <c r="H771" s="49" t="s">
        <v>550</v>
      </c>
      <c r="I771" s="49" t="s">
        <v>2298</v>
      </c>
      <c r="J771" s="53" t="s">
        <v>2353</v>
      </c>
    </row>
    <row r="772" spans="1:10" x14ac:dyDescent="0.25">
      <c r="A772" s="51">
        <v>43343</v>
      </c>
      <c r="C772" s="49" t="s">
        <v>2130</v>
      </c>
      <c r="D772" s="49" t="s">
        <v>51</v>
      </c>
      <c r="F772" s="49" t="str">
        <f>IFERROR(IF(Tabla1[[#This Row],[CONCEPTO mx]]="","",VLOOKUP(Tabla1[[#This Row],[CONCEPTO mx]],Tabla2[#All],2,0)),"")</f>
        <v/>
      </c>
      <c r="G772" s="49" t="str">
        <f>IFERROR(IF(Tabla1[[#This Row],[CONCEPTO mx]]="","",VLOOKUP(Tabla1[[#This Row],[CONCEPTO mx]],Tabla2[#All],3,0)),"")</f>
        <v/>
      </c>
      <c r="H772" s="49" t="s">
        <v>438</v>
      </c>
      <c r="I772" s="49" t="s">
        <v>2298</v>
      </c>
      <c r="J772" s="53" t="s">
        <v>2314</v>
      </c>
    </row>
    <row r="773" spans="1:10" x14ac:dyDescent="0.25">
      <c r="A773" s="51">
        <v>43343</v>
      </c>
      <c r="C773" s="49" t="s">
        <v>2121</v>
      </c>
      <c r="D773" s="49" t="s">
        <v>51</v>
      </c>
      <c r="F773" s="49" t="str">
        <f>IFERROR(IF(Tabla1[[#This Row],[CONCEPTO mx]]="","",VLOOKUP(Tabla1[[#This Row],[CONCEPTO mx]],Tabla2[#All],2,0)),"")</f>
        <v/>
      </c>
      <c r="G773" s="49" t="str">
        <f>IFERROR(IF(Tabla1[[#This Row],[CONCEPTO mx]]="","",VLOOKUP(Tabla1[[#This Row],[CONCEPTO mx]],Tabla2[#All],3,0)),"")</f>
        <v/>
      </c>
      <c r="H773" s="49" t="s">
        <v>542</v>
      </c>
      <c r="I773" s="49" t="s">
        <v>2298</v>
      </c>
      <c r="J773" s="53" t="s">
        <v>2819</v>
      </c>
    </row>
    <row r="774" spans="1:10" x14ac:dyDescent="0.25">
      <c r="A774" s="51">
        <v>43343</v>
      </c>
      <c r="C774" s="49" t="s">
        <v>2118</v>
      </c>
      <c r="D774" s="49" t="s">
        <v>51</v>
      </c>
      <c r="E774" s="49" t="s">
        <v>3315</v>
      </c>
      <c r="F774" s="49" t="str">
        <f>IFERROR(IF(Tabla1[[#This Row],[CONCEPTO mx]]="","",VLOOKUP(Tabla1[[#This Row],[CONCEPTO mx]],Tabla2[#All],2,0)),"")</f>
        <v>CM40</v>
      </c>
      <c r="G774" s="49" t="str">
        <f>IFERROR(IF(Tabla1[[#This Row],[CONCEPTO mx]]="","",VLOOKUP(Tabla1[[#This Row],[CONCEPTO mx]],Tabla2[#All],3,0)),"")</f>
        <v>SST</v>
      </c>
      <c r="H774" s="49" t="s">
        <v>470</v>
      </c>
      <c r="I774" s="49" t="s">
        <v>2298</v>
      </c>
      <c r="J774" s="53" t="s">
        <v>2341</v>
      </c>
    </row>
    <row r="775" spans="1:10" x14ac:dyDescent="0.25">
      <c r="A775" s="51">
        <v>43343</v>
      </c>
      <c r="C775" s="49" t="s">
        <v>2132</v>
      </c>
      <c r="D775" s="49" t="s">
        <v>51</v>
      </c>
      <c r="F775" s="49" t="str">
        <f>IFERROR(IF(Tabla1[[#This Row],[CONCEPTO mx]]="","",VLOOKUP(Tabla1[[#This Row],[CONCEPTO mx]],Tabla2[#All],2,0)),"")</f>
        <v/>
      </c>
      <c r="G775" s="49" t="str">
        <f>IFERROR(IF(Tabla1[[#This Row],[CONCEPTO mx]]="","",VLOOKUP(Tabla1[[#This Row],[CONCEPTO mx]],Tabla2[#All],3,0)),"")</f>
        <v/>
      </c>
      <c r="H775" s="49" t="s">
        <v>550</v>
      </c>
      <c r="I775" s="49" t="s">
        <v>2298</v>
      </c>
      <c r="J775" s="53" t="s">
        <v>550</v>
      </c>
    </row>
    <row r="776" spans="1:10" x14ac:dyDescent="0.25">
      <c r="A776" s="51">
        <v>43343</v>
      </c>
      <c r="C776" s="49" t="s">
        <v>2110</v>
      </c>
      <c r="E776" s="49" t="s">
        <v>2355</v>
      </c>
      <c r="F776" s="49" t="str">
        <f>IFERROR(IF(Tabla1[[#This Row],[CONCEPTO mx]]="","",VLOOKUP(Tabla1[[#This Row],[CONCEPTO mx]],Tabla2[#All],2,0)),"")</f>
        <v>CM13</v>
      </c>
      <c r="G776" s="49" t="str">
        <f>IFERROR(IF(Tabla1[[#This Row],[CONCEPTO mx]]="","",VLOOKUP(Tabla1[[#This Row],[CONCEPTO mx]],Tabla2[#All],3,0)),"")</f>
        <v>Gestión Humana</v>
      </c>
      <c r="H776" s="49" t="s">
        <v>2111</v>
      </c>
      <c r="I776" s="49" t="s">
        <v>2298</v>
      </c>
      <c r="J776" s="53" t="s">
        <v>2353</v>
      </c>
    </row>
    <row r="777" spans="1:10" x14ac:dyDescent="0.25">
      <c r="A777" s="51">
        <v>43343</v>
      </c>
      <c r="C777" s="49" t="s">
        <v>2119</v>
      </c>
      <c r="D777" s="49" t="s">
        <v>2273</v>
      </c>
      <c r="F777" s="49" t="str">
        <f>IFERROR(IF(Tabla1[[#This Row],[CONCEPTO mx]]="","",VLOOKUP(Tabla1[[#This Row],[CONCEPTO mx]],Tabla2[#All],2,0)),"")</f>
        <v/>
      </c>
      <c r="G777" s="49" t="str">
        <f>IFERROR(IF(Tabla1[[#This Row],[CONCEPTO mx]]="","",VLOOKUP(Tabla1[[#This Row],[CONCEPTO mx]],Tabla2[#All],3,0)),"")</f>
        <v/>
      </c>
      <c r="H777" s="49" t="s">
        <v>406</v>
      </c>
      <c r="I777" s="49" t="s">
        <v>2298</v>
      </c>
      <c r="J777" s="53" t="s">
        <v>2302</v>
      </c>
    </row>
    <row r="778" spans="1:10" x14ac:dyDescent="0.25">
      <c r="A778" s="51">
        <v>43343</v>
      </c>
      <c r="C778" s="49" t="s">
        <v>2100</v>
      </c>
      <c r="D778" s="49" t="s">
        <v>51</v>
      </c>
      <c r="F778" s="49" t="str">
        <f>IFERROR(IF(Tabla1[[#This Row],[CONCEPTO mx]]="","",VLOOKUP(Tabla1[[#This Row],[CONCEPTO mx]],Tabla2[#All],2,0)),"")</f>
        <v/>
      </c>
      <c r="G778" s="49" t="str">
        <f>IFERROR(IF(Tabla1[[#This Row],[CONCEPTO mx]]="","",VLOOKUP(Tabla1[[#This Row],[CONCEPTO mx]],Tabla2[#All],3,0)),"")</f>
        <v/>
      </c>
      <c r="H778" s="49" t="s">
        <v>470</v>
      </c>
      <c r="I778" s="49" t="s">
        <v>2339</v>
      </c>
      <c r="J778" s="53"/>
    </row>
    <row r="779" spans="1:10" x14ac:dyDescent="0.25">
      <c r="A779" s="51">
        <v>43343</v>
      </c>
      <c r="C779" s="49" t="s">
        <v>2117</v>
      </c>
      <c r="D779" s="49" t="s">
        <v>51</v>
      </c>
      <c r="F779" s="49" t="str">
        <f>IFERROR(IF(Tabla1[[#This Row],[CONCEPTO mx]]="","",VLOOKUP(Tabla1[[#This Row],[CONCEPTO mx]],Tabla2[#All],2,0)),"")</f>
        <v/>
      </c>
      <c r="G779" s="49" t="str">
        <f>IFERROR(IF(Tabla1[[#This Row],[CONCEPTO mx]]="","",VLOOKUP(Tabla1[[#This Row],[CONCEPTO mx]],Tabla2[#All],3,0)),"")</f>
        <v/>
      </c>
      <c r="H779" s="49" t="s">
        <v>542</v>
      </c>
      <c r="I779" s="49" t="s">
        <v>2298</v>
      </c>
      <c r="J779" s="53" t="s">
        <v>2353</v>
      </c>
    </row>
    <row r="780" spans="1:10" x14ac:dyDescent="0.25">
      <c r="A780" s="51">
        <v>43343</v>
      </c>
      <c r="C780" s="49" t="s">
        <v>2115</v>
      </c>
      <c r="D780" s="49" t="s">
        <v>51</v>
      </c>
      <c r="F780" s="49" t="str">
        <f>IFERROR(IF(Tabla1[[#This Row],[CONCEPTO mx]]="","",VLOOKUP(Tabla1[[#This Row],[CONCEPTO mx]],Tabla2[#All],2,0)),"")</f>
        <v/>
      </c>
      <c r="G780" s="49" t="str">
        <f>IFERROR(IF(Tabla1[[#This Row],[CONCEPTO mx]]="","",VLOOKUP(Tabla1[[#This Row],[CONCEPTO mx]],Tabla2[#All],3,0)),"")</f>
        <v/>
      </c>
      <c r="H780" s="49" t="s">
        <v>550</v>
      </c>
      <c r="I780" s="49" t="s">
        <v>2298</v>
      </c>
      <c r="J780" s="53" t="s">
        <v>2302</v>
      </c>
    </row>
    <row r="781" spans="1:10" x14ac:dyDescent="0.25">
      <c r="A781" s="51">
        <v>43343</v>
      </c>
      <c r="C781" s="49" t="s">
        <v>2122</v>
      </c>
      <c r="D781" s="49" t="s">
        <v>51</v>
      </c>
      <c r="E781" s="49" t="s">
        <v>3315</v>
      </c>
      <c r="F781" s="49" t="str">
        <f>IFERROR(IF(Tabla1[[#This Row],[CONCEPTO mx]]="","",VLOOKUP(Tabla1[[#This Row],[CONCEPTO mx]],Tabla2[#All],2,0)),"")</f>
        <v>CM40</v>
      </c>
      <c r="G781" s="49" t="str">
        <f>IFERROR(IF(Tabla1[[#This Row],[CONCEPTO mx]]="","",VLOOKUP(Tabla1[[#This Row],[CONCEPTO mx]],Tabla2[#All],3,0)),"")</f>
        <v>SST</v>
      </c>
      <c r="H781" s="49" t="s">
        <v>439</v>
      </c>
      <c r="I781" s="49" t="s">
        <v>2298</v>
      </c>
      <c r="J781" s="53" t="s">
        <v>2314</v>
      </c>
    </row>
    <row r="782" spans="1:10" x14ac:dyDescent="0.25">
      <c r="A782" s="51">
        <v>43343</v>
      </c>
      <c r="C782" s="49" t="s">
        <v>2108</v>
      </c>
      <c r="D782" s="49" t="s">
        <v>51</v>
      </c>
      <c r="F782" s="49" t="str">
        <f>IFERROR(IF(Tabla1[[#This Row],[CONCEPTO mx]]="","",VLOOKUP(Tabla1[[#This Row],[CONCEPTO mx]],Tabla2[#All],2,0)),"")</f>
        <v/>
      </c>
      <c r="G782" s="49" t="str">
        <f>IFERROR(IF(Tabla1[[#This Row],[CONCEPTO mx]]="","",VLOOKUP(Tabla1[[#This Row],[CONCEPTO mx]],Tabla2[#All],3,0)),"")</f>
        <v/>
      </c>
      <c r="H782" s="49" t="s">
        <v>516</v>
      </c>
      <c r="I782" s="49" t="s">
        <v>2298</v>
      </c>
      <c r="J782" s="53" t="s">
        <v>2302</v>
      </c>
    </row>
    <row r="783" spans="1:10" x14ac:dyDescent="0.25">
      <c r="A783" s="51">
        <v>43343</v>
      </c>
      <c r="C783" s="49" t="s">
        <v>2129</v>
      </c>
      <c r="D783" s="49" t="s">
        <v>51</v>
      </c>
      <c r="F783" s="49" t="str">
        <f>IFERROR(IF(Tabla1[[#This Row],[CONCEPTO mx]]="","",VLOOKUP(Tabla1[[#This Row],[CONCEPTO mx]],Tabla2[#All],2,0)),"")</f>
        <v/>
      </c>
      <c r="G783" s="49" t="str">
        <f>IFERROR(IF(Tabla1[[#This Row],[CONCEPTO mx]]="","",VLOOKUP(Tabla1[[#This Row],[CONCEPTO mx]],Tabla2[#All],3,0)),"")</f>
        <v/>
      </c>
      <c r="H783" s="49" t="s">
        <v>438</v>
      </c>
      <c r="I783" s="49" t="s">
        <v>2298</v>
      </c>
      <c r="J783" s="53" t="s">
        <v>2341</v>
      </c>
    </row>
    <row r="784" spans="1:10" x14ac:dyDescent="0.25">
      <c r="A784" s="51">
        <v>43343</v>
      </c>
      <c r="C784" s="49" t="s">
        <v>2109</v>
      </c>
      <c r="D784" s="49" t="s">
        <v>51</v>
      </c>
      <c r="F784" s="49" t="str">
        <f>IFERROR(IF(Tabla1[[#This Row],[CONCEPTO mx]]="","",VLOOKUP(Tabla1[[#This Row],[CONCEPTO mx]],Tabla2[#All],2,0)),"")</f>
        <v/>
      </c>
      <c r="G784" s="49" t="str">
        <f>IFERROR(IF(Tabla1[[#This Row],[CONCEPTO mx]]="","",VLOOKUP(Tabla1[[#This Row],[CONCEPTO mx]],Tabla2[#All],3,0)),"")</f>
        <v/>
      </c>
      <c r="H784" s="49" t="s">
        <v>438</v>
      </c>
      <c r="I784" s="49" t="s">
        <v>2298</v>
      </c>
      <c r="J784" s="53" t="s">
        <v>2353</v>
      </c>
    </row>
    <row r="785" spans="1:10" x14ac:dyDescent="0.25">
      <c r="A785" s="51">
        <v>43343</v>
      </c>
      <c r="C785" s="49" t="s">
        <v>2116</v>
      </c>
      <c r="E785" s="49" t="s">
        <v>2355</v>
      </c>
      <c r="F785" s="49" t="str">
        <f>IFERROR(IF(Tabla1[[#This Row],[CONCEPTO mx]]="","",VLOOKUP(Tabla1[[#This Row],[CONCEPTO mx]],Tabla2[#All],2,0)),"")</f>
        <v>CM13</v>
      </c>
      <c r="G785" s="49" t="str">
        <f>IFERROR(IF(Tabla1[[#This Row],[CONCEPTO mx]]="","",VLOOKUP(Tabla1[[#This Row],[CONCEPTO mx]],Tabla2[#All],3,0)),"")</f>
        <v>Gestión Humana</v>
      </c>
      <c r="H785" s="49" t="s">
        <v>439</v>
      </c>
      <c r="I785" s="49" t="s">
        <v>2298</v>
      </c>
      <c r="J785" s="53" t="s">
        <v>2353</v>
      </c>
    </row>
    <row r="786" spans="1:10" x14ac:dyDescent="0.25">
      <c r="A786" s="51">
        <v>43343</v>
      </c>
      <c r="C786" s="49" t="s">
        <v>2128</v>
      </c>
      <c r="D786" s="49" t="s">
        <v>51</v>
      </c>
      <c r="F786" s="49" t="str">
        <f>IFERROR(IF(Tabla1[[#This Row],[CONCEPTO mx]]="","",VLOOKUP(Tabla1[[#This Row],[CONCEPTO mx]],Tabla2[#All],2,0)),"")</f>
        <v/>
      </c>
      <c r="G786" s="49" t="str">
        <f>IFERROR(IF(Tabla1[[#This Row],[CONCEPTO mx]]="","",VLOOKUP(Tabla1[[#This Row],[CONCEPTO mx]],Tabla2[#All],3,0)),"")</f>
        <v/>
      </c>
      <c r="H786" s="49" t="s">
        <v>542</v>
      </c>
      <c r="I786" s="49" t="s">
        <v>2330</v>
      </c>
      <c r="J786" s="53"/>
    </row>
    <row r="787" spans="1:10" x14ac:dyDescent="0.25">
      <c r="A787" s="51">
        <v>43343</v>
      </c>
      <c r="C787" s="49" t="s">
        <v>2133</v>
      </c>
      <c r="D787" s="49" t="s">
        <v>2273</v>
      </c>
      <c r="F787" s="49" t="str">
        <f>IFERROR(IF(Tabla1[[#This Row],[CONCEPTO mx]]="","",VLOOKUP(Tabla1[[#This Row],[CONCEPTO mx]],Tabla2[#All],2,0)),"")</f>
        <v/>
      </c>
      <c r="G787" s="49" t="str">
        <f>IFERROR(IF(Tabla1[[#This Row],[CONCEPTO mx]]="","",VLOOKUP(Tabla1[[#This Row],[CONCEPTO mx]],Tabla2[#All],3,0)),"")</f>
        <v/>
      </c>
      <c r="H787" s="49" t="s">
        <v>438</v>
      </c>
      <c r="I787" s="49" t="s">
        <v>2339</v>
      </c>
      <c r="J787" s="53"/>
    </row>
    <row r="788" spans="1:10" x14ac:dyDescent="0.25">
      <c r="A788" s="51">
        <v>43343</v>
      </c>
      <c r="C788" s="49" t="s">
        <v>2104</v>
      </c>
      <c r="D788" s="49" t="s">
        <v>51</v>
      </c>
      <c r="F788" s="49" t="str">
        <f>IFERROR(IF(Tabla1[[#This Row],[CONCEPTO mx]]="","",VLOOKUP(Tabla1[[#This Row],[CONCEPTO mx]],Tabla2[#All],2,0)),"")</f>
        <v/>
      </c>
      <c r="G788" s="49" t="str">
        <f>IFERROR(IF(Tabla1[[#This Row],[CONCEPTO mx]]="","",VLOOKUP(Tabla1[[#This Row],[CONCEPTO mx]],Tabla2[#All],3,0)),"")</f>
        <v/>
      </c>
      <c r="H788" s="49" t="s">
        <v>441</v>
      </c>
      <c r="I788" s="49" t="s">
        <v>2298</v>
      </c>
      <c r="J788" s="53" t="s">
        <v>2341</v>
      </c>
    </row>
    <row r="789" spans="1:10" x14ac:dyDescent="0.25">
      <c r="A789" s="51">
        <v>43343</v>
      </c>
      <c r="C789" s="49" t="s">
        <v>2101</v>
      </c>
      <c r="D789" s="49" t="s">
        <v>51</v>
      </c>
      <c r="F789" s="49" t="str">
        <f>IFERROR(IF(Tabla1[[#This Row],[CONCEPTO mx]]="","",VLOOKUP(Tabla1[[#This Row],[CONCEPTO mx]],Tabla2[#All],2,0)),"")</f>
        <v/>
      </c>
      <c r="G789" s="49" t="str">
        <f>IFERROR(IF(Tabla1[[#This Row],[CONCEPTO mx]]="","",VLOOKUP(Tabla1[[#This Row],[CONCEPTO mx]],Tabla2[#All],3,0)),"")</f>
        <v/>
      </c>
      <c r="H789" s="49" t="s">
        <v>388</v>
      </c>
      <c r="I789" s="49" t="s">
        <v>2339</v>
      </c>
      <c r="J789" s="53"/>
    </row>
    <row r="790" spans="1:10" x14ac:dyDescent="0.25">
      <c r="A790" s="51">
        <v>43343</v>
      </c>
      <c r="C790" s="49" t="s">
        <v>2134</v>
      </c>
      <c r="D790" s="49" t="s">
        <v>51</v>
      </c>
      <c r="E790" s="49" t="s">
        <v>3315</v>
      </c>
      <c r="F790" s="49" t="str">
        <f>IFERROR(IF(Tabla1[[#This Row],[CONCEPTO mx]]="","",VLOOKUP(Tabla1[[#This Row],[CONCEPTO mx]],Tabla2[#All],2,0)),"")</f>
        <v>CM40</v>
      </c>
      <c r="G790" s="49" t="str">
        <f>IFERROR(IF(Tabla1[[#This Row],[CONCEPTO mx]]="","",VLOOKUP(Tabla1[[#This Row],[CONCEPTO mx]],Tabla2[#All],3,0)),"")</f>
        <v>SST</v>
      </c>
      <c r="H790" s="49" t="s">
        <v>484</v>
      </c>
      <c r="I790" s="49" t="s">
        <v>2339</v>
      </c>
      <c r="J790" s="53"/>
    </row>
    <row r="791" spans="1:10" x14ac:dyDescent="0.25">
      <c r="A791" s="51">
        <v>43346</v>
      </c>
      <c r="C791" s="49" t="s">
        <v>2135</v>
      </c>
      <c r="D791" s="49" t="s">
        <v>51</v>
      </c>
      <c r="F791" s="49" t="str">
        <f>IFERROR(IF(Tabla1[[#This Row],[CONCEPTO mx]]="","",VLOOKUP(Tabla1[[#This Row],[CONCEPTO mx]],Tabla2[#All],2,0)),"")</f>
        <v/>
      </c>
      <c r="G791" s="49" t="str">
        <f>IFERROR(IF(Tabla1[[#This Row],[CONCEPTO mx]]="","",VLOOKUP(Tabla1[[#This Row],[CONCEPTO mx]],Tabla2[#All],3,0)),"")</f>
        <v/>
      </c>
      <c r="H791" s="49" t="s">
        <v>387</v>
      </c>
      <c r="I791" s="49" t="s">
        <v>2298</v>
      </c>
      <c r="J791" s="53" t="s">
        <v>2853</v>
      </c>
    </row>
    <row r="792" spans="1:10" x14ac:dyDescent="0.25">
      <c r="A792" s="51">
        <v>43346</v>
      </c>
      <c r="C792" s="49" t="s">
        <v>2136</v>
      </c>
      <c r="E792" s="49" t="s">
        <v>2355</v>
      </c>
      <c r="F792" s="49" t="str">
        <f>IFERROR(IF(Tabla1[[#This Row],[CONCEPTO mx]]="","",VLOOKUP(Tabla1[[#This Row],[CONCEPTO mx]],Tabla2[#All],2,0)),"")</f>
        <v>CM13</v>
      </c>
      <c r="G792" s="49" t="str">
        <f>IFERROR(IF(Tabla1[[#This Row],[CONCEPTO mx]]="","",VLOOKUP(Tabla1[[#This Row],[CONCEPTO mx]],Tabla2[#All],3,0)),"")</f>
        <v>Gestión Humana</v>
      </c>
      <c r="H792" s="49" t="s">
        <v>441</v>
      </c>
      <c r="I792" s="49" t="s">
        <v>2318</v>
      </c>
      <c r="J792" s="53"/>
    </row>
    <row r="793" spans="1:10" x14ac:dyDescent="0.25">
      <c r="A793" s="51">
        <v>43347</v>
      </c>
      <c r="C793" s="49" t="s">
        <v>2140</v>
      </c>
      <c r="D793" s="49" t="s">
        <v>51</v>
      </c>
      <c r="F793" s="49" t="str">
        <f>IFERROR(IF(Tabla1[[#This Row],[CONCEPTO mx]]="","",VLOOKUP(Tabla1[[#This Row],[CONCEPTO mx]],Tabla2[#All],2,0)),"")</f>
        <v/>
      </c>
      <c r="G793" s="49" t="str">
        <f>IFERROR(IF(Tabla1[[#This Row],[CONCEPTO mx]]="","",VLOOKUP(Tabla1[[#This Row],[CONCEPTO mx]],Tabla2[#All],3,0)),"")</f>
        <v/>
      </c>
      <c r="H793" s="49" t="s">
        <v>550</v>
      </c>
      <c r="I793" s="49" t="s">
        <v>2298</v>
      </c>
      <c r="J793" s="53" t="s">
        <v>2302</v>
      </c>
    </row>
    <row r="794" spans="1:10" x14ac:dyDescent="0.25">
      <c r="A794" s="51">
        <v>43347</v>
      </c>
      <c r="C794" s="49" t="s">
        <v>2139</v>
      </c>
      <c r="D794" s="49" t="s">
        <v>51</v>
      </c>
      <c r="F794" s="49" t="str">
        <f>IFERROR(IF(Tabla1[[#This Row],[CONCEPTO mx]]="","",VLOOKUP(Tabla1[[#This Row],[CONCEPTO mx]],Tabla2[#All],2,0)),"")</f>
        <v/>
      </c>
      <c r="G794" s="49" t="str">
        <f>IFERROR(IF(Tabla1[[#This Row],[CONCEPTO mx]]="","",VLOOKUP(Tabla1[[#This Row],[CONCEPTO mx]],Tabla2[#All],3,0)),"")</f>
        <v/>
      </c>
      <c r="H794" s="49" t="s">
        <v>388</v>
      </c>
      <c r="I794" s="49" t="s">
        <v>2298</v>
      </c>
      <c r="J794" s="53" t="s">
        <v>2302</v>
      </c>
    </row>
    <row r="795" spans="1:10" x14ac:dyDescent="0.25">
      <c r="A795" s="51">
        <v>43347</v>
      </c>
      <c r="C795" s="49" t="s">
        <v>2138</v>
      </c>
      <c r="D795" s="49" t="s">
        <v>51</v>
      </c>
      <c r="F795" s="49" t="str">
        <f>IFERROR(IF(Tabla1[[#This Row],[CONCEPTO mx]]="","",VLOOKUP(Tabla1[[#This Row],[CONCEPTO mx]],Tabla2[#All],2,0)),"")</f>
        <v/>
      </c>
      <c r="G795" s="49" t="str">
        <f>IFERROR(IF(Tabla1[[#This Row],[CONCEPTO mx]]="","",VLOOKUP(Tabla1[[#This Row],[CONCEPTO mx]],Tabla2[#All],3,0)),"")</f>
        <v/>
      </c>
      <c r="H795" s="49" t="s">
        <v>406</v>
      </c>
      <c r="I795" s="49" t="s">
        <v>2298</v>
      </c>
      <c r="J795" s="53" t="s">
        <v>2307</v>
      </c>
    </row>
    <row r="796" spans="1:10" x14ac:dyDescent="0.25">
      <c r="A796" s="51">
        <v>43347</v>
      </c>
      <c r="C796" s="49" t="s">
        <v>2145</v>
      </c>
      <c r="D796" s="49" t="s">
        <v>51</v>
      </c>
      <c r="E796" s="49" t="s">
        <v>3315</v>
      </c>
      <c r="F796" s="49" t="str">
        <f>IFERROR(IF(Tabla1[[#This Row],[CONCEPTO mx]]="","",VLOOKUP(Tabla1[[#This Row],[CONCEPTO mx]],Tabla2[#All],2,0)),"")</f>
        <v>CM40</v>
      </c>
      <c r="G796" s="49" t="str">
        <f>IFERROR(IF(Tabla1[[#This Row],[CONCEPTO mx]]="","",VLOOKUP(Tabla1[[#This Row],[CONCEPTO mx]],Tabla2[#All],3,0)),"")</f>
        <v>SST</v>
      </c>
      <c r="H796" s="49" t="s">
        <v>388</v>
      </c>
      <c r="I796" s="49" t="s">
        <v>2298</v>
      </c>
      <c r="J796" s="53" t="s">
        <v>2829</v>
      </c>
    </row>
    <row r="797" spans="1:10" x14ac:dyDescent="0.25">
      <c r="A797" s="51">
        <v>43347</v>
      </c>
      <c r="C797" s="49" t="s">
        <v>1807</v>
      </c>
      <c r="D797" s="49" t="s">
        <v>51</v>
      </c>
      <c r="E797" s="49" t="s">
        <v>3315</v>
      </c>
      <c r="F797" s="49" t="str">
        <f>IFERROR(IF(Tabla1[[#This Row],[CONCEPTO mx]]="","",VLOOKUP(Tabla1[[#This Row],[CONCEPTO mx]],Tabla2[#All],2,0)),"")</f>
        <v>CM40</v>
      </c>
      <c r="G797" s="49" t="str">
        <f>IFERROR(IF(Tabla1[[#This Row],[CONCEPTO mx]]="","",VLOOKUP(Tabla1[[#This Row],[CONCEPTO mx]],Tabla2[#All],3,0)),"")</f>
        <v>SST</v>
      </c>
      <c r="H797" s="49" t="s">
        <v>406</v>
      </c>
      <c r="I797" s="49" t="s">
        <v>2298</v>
      </c>
      <c r="J797" s="53" t="s">
        <v>2302</v>
      </c>
    </row>
    <row r="798" spans="1:10" x14ac:dyDescent="0.25">
      <c r="A798" s="51">
        <v>43347</v>
      </c>
      <c r="C798" s="49" t="s">
        <v>2144</v>
      </c>
      <c r="D798" s="49" t="s">
        <v>51</v>
      </c>
      <c r="F798" s="49" t="str">
        <f>IFERROR(IF(Tabla1[[#This Row],[CONCEPTO mx]]="","",VLOOKUP(Tabla1[[#This Row],[CONCEPTO mx]],Tabla2[#All],2,0)),"")</f>
        <v/>
      </c>
      <c r="G798" s="49" t="str">
        <f>IFERROR(IF(Tabla1[[#This Row],[CONCEPTO mx]]="","",VLOOKUP(Tabla1[[#This Row],[CONCEPTO mx]],Tabla2[#All],3,0)),"")</f>
        <v/>
      </c>
      <c r="H798" s="49" t="s">
        <v>388</v>
      </c>
      <c r="I798" s="49" t="s">
        <v>2298</v>
      </c>
      <c r="J798" s="53" t="s">
        <v>2351</v>
      </c>
    </row>
    <row r="799" spans="1:10" x14ac:dyDescent="0.25">
      <c r="A799" s="51">
        <v>43347</v>
      </c>
      <c r="C799" s="49" t="s">
        <v>2142</v>
      </c>
      <c r="D799" s="49" t="s">
        <v>51</v>
      </c>
      <c r="F799" s="49" t="str">
        <f>IFERROR(IF(Tabla1[[#This Row],[CONCEPTO mx]]="","",VLOOKUP(Tabla1[[#This Row],[CONCEPTO mx]],Tabla2[#All],2,0)),"")</f>
        <v/>
      </c>
      <c r="G799" s="49" t="str">
        <f>IFERROR(IF(Tabla1[[#This Row],[CONCEPTO mx]]="","",VLOOKUP(Tabla1[[#This Row],[CONCEPTO mx]],Tabla2[#All],3,0)),"")</f>
        <v/>
      </c>
      <c r="H799" s="49" t="s">
        <v>2391</v>
      </c>
      <c r="I799" s="49" t="s">
        <v>2298</v>
      </c>
      <c r="J799" s="53" t="s">
        <v>2856</v>
      </c>
    </row>
    <row r="800" spans="1:10" x14ac:dyDescent="0.25">
      <c r="A800" s="51">
        <v>43347</v>
      </c>
      <c r="C800" s="49" t="s">
        <v>2141</v>
      </c>
      <c r="E800" s="49" t="s">
        <v>2355</v>
      </c>
      <c r="F800" s="49" t="str">
        <f>IFERROR(IF(Tabla1[[#This Row],[CONCEPTO mx]]="","",VLOOKUP(Tabla1[[#This Row],[CONCEPTO mx]],Tabla2[#All],2,0)),"")</f>
        <v>CM13</v>
      </c>
      <c r="G800" s="49" t="str">
        <f>IFERROR(IF(Tabla1[[#This Row],[CONCEPTO mx]]="","",VLOOKUP(Tabla1[[#This Row],[CONCEPTO mx]],Tabla2[#All],3,0)),"")</f>
        <v>Gestión Humana</v>
      </c>
      <c r="H800" s="49" t="s">
        <v>516</v>
      </c>
      <c r="I800" s="49" t="s">
        <v>2298</v>
      </c>
      <c r="J800" s="53" t="s">
        <v>2353</v>
      </c>
    </row>
    <row r="801" spans="1:10" x14ac:dyDescent="0.25">
      <c r="A801" s="51">
        <v>43347</v>
      </c>
      <c r="C801" s="49" t="s">
        <v>2137</v>
      </c>
      <c r="D801" s="49" t="s">
        <v>51</v>
      </c>
      <c r="F801" s="49" t="str">
        <f>IFERROR(IF(Tabla1[[#This Row],[CONCEPTO mx]]="","",VLOOKUP(Tabla1[[#This Row],[CONCEPTO mx]],Tabla2[#All],2,0)),"")</f>
        <v/>
      </c>
      <c r="G801" s="49" t="str">
        <f>IFERROR(IF(Tabla1[[#This Row],[CONCEPTO mx]]="","",VLOOKUP(Tabla1[[#This Row],[CONCEPTO mx]],Tabla2[#All],3,0)),"")</f>
        <v/>
      </c>
      <c r="H801" s="49" t="s">
        <v>470</v>
      </c>
      <c r="I801" s="49" t="s">
        <v>2298</v>
      </c>
      <c r="J801" s="53" t="s">
        <v>2302</v>
      </c>
    </row>
    <row r="802" spans="1:10" x14ac:dyDescent="0.25">
      <c r="A802" s="51">
        <v>43347</v>
      </c>
      <c r="C802" s="49" t="s">
        <v>1240</v>
      </c>
      <c r="D802" s="49" t="s">
        <v>51</v>
      </c>
      <c r="F802" s="49" t="str">
        <f>IFERROR(IF(Tabla1[[#This Row],[CONCEPTO mx]]="","",VLOOKUP(Tabla1[[#This Row],[CONCEPTO mx]],Tabla2[#All],2,0)),"")</f>
        <v/>
      </c>
      <c r="G802" s="49" t="str">
        <f>IFERROR(IF(Tabla1[[#This Row],[CONCEPTO mx]]="","",VLOOKUP(Tabla1[[#This Row],[CONCEPTO mx]],Tabla2[#All],3,0)),"")</f>
        <v/>
      </c>
      <c r="H802" s="49" t="s">
        <v>388</v>
      </c>
      <c r="I802" s="49" t="s">
        <v>2298</v>
      </c>
      <c r="J802" s="53" t="s">
        <v>2805</v>
      </c>
    </row>
    <row r="803" spans="1:10" x14ac:dyDescent="0.25">
      <c r="A803" s="51">
        <v>43347</v>
      </c>
      <c r="C803" s="49" t="s">
        <v>1305</v>
      </c>
      <c r="E803" s="49" t="s">
        <v>2355</v>
      </c>
      <c r="F803" s="49" t="str">
        <f>IFERROR(IF(Tabla1[[#This Row],[CONCEPTO mx]]="","",VLOOKUP(Tabla1[[#This Row],[CONCEPTO mx]],Tabla2[#All],2,0)),"")</f>
        <v>CM13</v>
      </c>
      <c r="G803" s="49" t="str">
        <f>IFERROR(IF(Tabla1[[#This Row],[CONCEPTO mx]]="","",VLOOKUP(Tabla1[[#This Row],[CONCEPTO mx]],Tabla2[#All],3,0)),"")</f>
        <v>Gestión Humana</v>
      </c>
      <c r="H803" s="49" t="s">
        <v>542</v>
      </c>
      <c r="I803" s="49" t="s">
        <v>2298</v>
      </c>
      <c r="J803" s="53" t="s">
        <v>2853</v>
      </c>
    </row>
    <row r="804" spans="1:10" x14ac:dyDescent="0.25">
      <c r="A804" s="51">
        <v>43347</v>
      </c>
      <c r="C804" s="49" t="s">
        <v>2143</v>
      </c>
      <c r="D804" s="49" t="s">
        <v>2273</v>
      </c>
      <c r="F804" s="49" t="str">
        <f>IFERROR(IF(Tabla1[[#This Row],[CONCEPTO mx]]="","",VLOOKUP(Tabla1[[#This Row],[CONCEPTO mx]],Tabla2[#All],2,0)),"")</f>
        <v/>
      </c>
      <c r="G804" s="49" t="str">
        <f>IFERROR(IF(Tabla1[[#This Row],[CONCEPTO mx]]="","",VLOOKUP(Tabla1[[#This Row],[CONCEPTO mx]],Tabla2[#All],3,0)),"")</f>
        <v/>
      </c>
      <c r="H804" s="49" t="s">
        <v>528</v>
      </c>
      <c r="I804" s="49" t="s">
        <v>2339</v>
      </c>
      <c r="J804" s="53"/>
    </row>
    <row r="805" spans="1:10" x14ac:dyDescent="0.25">
      <c r="A805" s="51">
        <v>43348</v>
      </c>
      <c r="C805" s="49" t="s">
        <v>2095</v>
      </c>
      <c r="D805" s="49" t="s">
        <v>2273</v>
      </c>
      <c r="F805" s="49" t="str">
        <f>IFERROR(IF(Tabla1[[#This Row],[CONCEPTO mx]]="","",VLOOKUP(Tabla1[[#This Row],[CONCEPTO mx]],Tabla2[#All],2,0)),"")</f>
        <v/>
      </c>
      <c r="G805" s="49" t="str">
        <f>IFERROR(IF(Tabla1[[#This Row],[CONCEPTO mx]]="","",VLOOKUP(Tabla1[[#This Row],[CONCEPTO mx]],Tabla2[#All],3,0)),"")</f>
        <v/>
      </c>
      <c r="H805" s="49" t="s">
        <v>352</v>
      </c>
      <c r="I805" s="49" t="s">
        <v>2339</v>
      </c>
      <c r="J805" s="53"/>
    </row>
    <row r="806" spans="1:10" x14ac:dyDescent="0.25">
      <c r="A806" s="51">
        <v>43348</v>
      </c>
      <c r="C806" s="49" t="s">
        <v>2146</v>
      </c>
      <c r="D806" s="49" t="s">
        <v>51</v>
      </c>
      <c r="F806" s="49" t="str">
        <f>IFERROR(IF(Tabla1[[#This Row],[CONCEPTO mx]]="","",VLOOKUP(Tabla1[[#This Row],[CONCEPTO mx]],Tabla2[#All],2,0)),"")</f>
        <v/>
      </c>
      <c r="G806" s="49" t="str">
        <f>IFERROR(IF(Tabla1[[#This Row],[CONCEPTO mx]]="","",VLOOKUP(Tabla1[[#This Row],[CONCEPTO mx]],Tabla2[#All],3,0)),"")</f>
        <v/>
      </c>
      <c r="H806" s="49" t="s">
        <v>2393</v>
      </c>
      <c r="I806" s="49" t="s">
        <v>2318</v>
      </c>
      <c r="J806" s="53"/>
    </row>
    <row r="807" spans="1:10" x14ac:dyDescent="0.25">
      <c r="A807" s="51">
        <v>43348</v>
      </c>
      <c r="C807" s="49" t="s">
        <v>365</v>
      </c>
      <c r="D807" s="49" t="s">
        <v>51</v>
      </c>
      <c r="F807" s="49" t="str">
        <f>IFERROR(IF(Tabla1[[#This Row],[CONCEPTO mx]]="","",VLOOKUP(Tabla1[[#This Row],[CONCEPTO mx]],Tabla2[#All],2,0)),"")</f>
        <v/>
      </c>
      <c r="G807" s="49" t="str">
        <f>IFERROR(IF(Tabla1[[#This Row],[CONCEPTO mx]]="","",VLOOKUP(Tabla1[[#This Row],[CONCEPTO mx]],Tabla2[#All],3,0)),"")</f>
        <v/>
      </c>
      <c r="H807" s="49" t="s">
        <v>2393</v>
      </c>
      <c r="I807" s="49" t="s">
        <v>2298</v>
      </c>
      <c r="J807" s="53" t="s">
        <v>2314</v>
      </c>
    </row>
    <row r="808" spans="1:10" x14ac:dyDescent="0.25">
      <c r="A808" s="51">
        <v>43348</v>
      </c>
      <c r="C808" s="49" t="s">
        <v>2147</v>
      </c>
      <c r="D808" s="49" t="s">
        <v>2273</v>
      </c>
      <c r="F808" s="49" t="str">
        <f>IFERROR(IF(Tabla1[[#This Row],[CONCEPTO mx]]="","",VLOOKUP(Tabla1[[#This Row],[CONCEPTO mx]],Tabla2[#All],2,0)),"")</f>
        <v/>
      </c>
      <c r="G808" s="49" t="str">
        <f>IFERROR(IF(Tabla1[[#This Row],[CONCEPTO mx]]="","",VLOOKUP(Tabla1[[#This Row],[CONCEPTO mx]],Tabla2[#All],3,0)),"")</f>
        <v/>
      </c>
      <c r="H808" s="49" t="s">
        <v>438</v>
      </c>
      <c r="I808" s="49" t="s">
        <v>2298</v>
      </c>
      <c r="J808" s="53" t="s">
        <v>2857</v>
      </c>
    </row>
    <row r="809" spans="1:10" x14ac:dyDescent="0.25">
      <c r="A809" s="51">
        <v>43348</v>
      </c>
      <c r="C809" s="49" t="s">
        <v>2148</v>
      </c>
      <c r="D809" s="49" t="s">
        <v>51</v>
      </c>
      <c r="E809" s="49" t="s">
        <v>3315</v>
      </c>
      <c r="F809" s="49" t="str">
        <f>IFERROR(IF(Tabla1[[#This Row],[CONCEPTO mx]]="","",VLOOKUP(Tabla1[[#This Row],[CONCEPTO mx]],Tabla2[#All],2,0)),"")</f>
        <v>CM40</v>
      </c>
      <c r="G809" s="49" t="str">
        <f>IFERROR(IF(Tabla1[[#This Row],[CONCEPTO mx]]="","",VLOOKUP(Tabla1[[#This Row],[CONCEPTO mx]],Tabla2[#All],3,0)),"")</f>
        <v>SST</v>
      </c>
      <c r="H809" s="49" t="s">
        <v>2393</v>
      </c>
      <c r="I809" s="49" t="s">
        <v>2318</v>
      </c>
      <c r="J809" s="53"/>
    </row>
    <row r="810" spans="1:10" x14ac:dyDescent="0.25">
      <c r="A810" s="51">
        <v>43349</v>
      </c>
      <c r="C810" s="49" t="s">
        <v>2150</v>
      </c>
      <c r="D810" s="49" t="s">
        <v>51</v>
      </c>
      <c r="E810" s="49" t="s">
        <v>3315</v>
      </c>
      <c r="F810" s="49" t="str">
        <f>IFERROR(IF(Tabla1[[#This Row],[CONCEPTO mx]]="","",VLOOKUP(Tabla1[[#This Row],[CONCEPTO mx]],Tabla2[#All],2,0)),"")</f>
        <v>CM40</v>
      </c>
      <c r="G810" s="49" t="str">
        <f>IFERROR(IF(Tabla1[[#This Row],[CONCEPTO mx]]="","",VLOOKUP(Tabla1[[#This Row],[CONCEPTO mx]],Tabla2[#All],3,0)),"")</f>
        <v>SST</v>
      </c>
      <c r="I810" s="49" t="s">
        <v>2328</v>
      </c>
      <c r="J810" s="53"/>
    </row>
    <row r="811" spans="1:10" x14ac:dyDescent="0.25">
      <c r="A811" s="51">
        <v>43349</v>
      </c>
      <c r="C811" s="49" t="s">
        <v>2155</v>
      </c>
      <c r="D811" s="49" t="s">
        <v>51</v>
      </c>
      <c r="E811" s="49" t="s">
        <v>3315</v>
      </c>
      <c r="F811" s="49" t="str">
        <f>IFERROR(IF(Tabla1[[#This Row],[CONCEPTO mx]]="","",VLOOKUP(Tabla1[[#This Row],[CONCEPTO mx]],Tabla2[#All],2,0)),"")</f>
        <v>CM40</v>
      </c>
      <c r="G811" s="49" t="str">
        <f>IFERROR(IF(Tabla1[[#This Row],[CONCEPTO mx]]="","",VLOOKUP(Tabla1[[#This Row],[CONCEPTO mx]],Tabla2[#All],3,0)),"")</f>
        <v>SST</v>
      </c>
      <c r="H811" s="49" t="s">
        <v>484</v>
      </c>
      <c r="I811" s="49" t="s">
        <v>2156</v>
      </c>
      <c r="J811" s="53"/>
    </row>
    <row r="812" spans="1:10" x14ac:dyDescent="0.25">
      <c r="A812" s="51">
        <v>43349</v>
      </c>
      <c r="C812" s="49" t="s">
        <v>2151</v>
      </c>
      <c r="D812" s="49" t="s">
        <v>2273</v>
      </c>
      <c r="F812" s="49" t="str">
        <f>IFERROR(IF(Tabla1[[#This Row],[CONCEPTO mx]]="","",VLOOKUP(Tabla1[[#This Row],[CONCEPTO mx]],Tabla2[#All],2,0)),"")</f>
        <v/>
      </c>
      <c r="G812" s="49" t="str">
        <f>IFERROR(IF(Tabla1[[#This Row],[CONCEPTO mx]]="","",VLOOKUP(Tabla1[[#This Row],[CONCEPTO mx]],Tabla2[#All],3,0)),"")</f>
        <v/>
      </c>
      <c r="H812" s="49" t="s">
        <v>388</v>
      </c>
      <c r="I812" s="49" t="s">
        <v>2318</v>
      </c>
      <c r="J812" s="53"/>
    </row>
    <row r="813" spans="1:10" x14ac:dyDescent="0.25">
      <c r="A813" s="51">
        <v>43349</v>
      </c>
      <c r="C813" s="49" t="s">
        <v>2154</v>
      </c>
      <c r="D813" s="49" t="s">
        <v>51</v>
      </c>
      <c r="F813" s="49" t="str">
        <f>IFERROR(IF(Tabla1[[#This Row],[CONCEPTO mx]]="","",VLOOKUP(Tabla1[[#This Row],[CONCEPTO mx]],Tabla2[#All],2,0)),"")</f>
        <v/>
      </c>
      <c r="G813" s="49" t="str">
        <f>IFERROR(IF(Tabla1[[#This Row],[CONCEPTO mx]]="","",VLOOKUP(Tabla1[[#This Row],[CONCEPTO mx]],Tabla2[#All],3,0)),"")</f>
        <v/>
      </c>
      <c r="H813" s="49" t="s">
        <v>2393</v>
      </c>
      <c r="I813" s="49" t="s">
        <v>2298</v>
      </c>
      <c r="J813" s="53" t="s">
        <v>2858</v>
      </c>
    </row>
    <row r="814" spans="1:10" x14ac:dyDescent="0.25">
      <c r="A814" s="51">
        <v>43349</v>
      </c>
      <c r="C814" s="49" t="s">
        <v>2153</v>
      </c>
      <c r="D814" s="49" t="s">
        <v>2001</v>
      </c>
      <c r="F814" s="49" t="str">
        <f>IFERROR(IF(Tabla1[[#This Row],[CONCEPTO mx]]="","",VLOOKUP(Tabla1[[#This Row],[CONCEPTO mx]],Tabla2[#All],2,0)),"")</f>
        <v/>
      </c>
      <c r="G814" s="49" t="str">
        <f>IFERROR(IF(Tabla1[[#This Row],[CONCEPTO mx]]="","",VLOOKUP(Tabla1[[#This Row],[CONCEPTO mx]],Tabla2[#All],3,0)),"")</f>
        <v/>
      </c>
      <c r="H814" s="49" t="s">
        <v>441</v>
      </c>
      <c r="I814" s="49" t="s">
        <v>2298</v>
      </c>
      <c r="J814" s="53" t="s">
        <v>2314</v>
      </c>
    </row>
    <row r="815" spans="1:10" x14ac:dyDescent="0.25">
      <c r="A815" s="51">
        <v>43349</v>
      </c>
      <c r="C815" s="49" t="s">
        <v>2152</v>
      </c>
      <c r="D815" s="49" t="s">
        <v>2273</v>
      </c>
      <c r="F815" s="49" t="str">
        <f>IFERROR(IF(Tabla1[[#This Row],[CONCEPTO mx]]="","",VLOOKUP(Tabla1[[#This Row],[CONCEPTO mx]],Tabla2[#All],2,0)),"")</f>
        <v/>
      </c>
      <c r="G815" s="49" t="str">
        <f>IFERROR(IF(Tabla1[[#This Row],[CONCEPTO mx]]="","",VLOOKUP(Tabla1[[#This Row],[CONCEPTO mx]],Tabla2[#All],3,0)),"")</f>
        <v/>
      </c>
      <c r="H815" s="49" t="s">
        <v>441</v>
      </c>
      <c r="I815" s="49" t="s">
        <v>2298</v>
      </c>
      <c r="J815" s="53" t="s">
        <v>2314</v>
      </c>
    </row>
    <row r="816" spans="1:10" x14ac:dyDescent="0.25">
      <c r="A816" s="51">
        <v>43349</v>
      </c>
      <c r="C816" s="49" t="s">
        <v>2149</v>
      </c>
      <c r="D816" s="49" t="s">
        <v>51</v>
      </c>
      <c r="F816" s="49" t="str">
        <f>IFERROR(IF(Tabla1[[#This Row],[CONCEPTO mx]]="","",VLOOKUP(Tabla1[[#This Row],[CONCEPTO mx]],Tabla2[#All],2,0)),"")</f>
        <v/>
      </c>
      <c r="G816" s="49" t="str">
        <f>IFERROR(IF(Tabla1[[#This Row],[CONCEPTO mx]]="","",VLOOKUP(Tabla1[[#This Row],[CONCEPTO mx]],Tabla2[#All],3,0)),"")</f>
        <v/>
      </c>
      <c r="H816" s="49" t="s">
        <v>542</v>
      </c>
      <c r="I816" s="49" t="s">
        <v>2298</v>
      </c>
      <c r="J816" s="53" t="s">
        <v>2811</v>
      </c>
    </row>
    <row r="817" spans="1:10" x14ac:dyDescent="0.25">
      <c r="A817" s="51">
        <v>43350</v>
      </c>
      <c r="C817" s="49" t="s">
        <v>2157</v>
      </c>
      <c r="D817" s="49" t="s">
        <v>51</v>
      </c>
      <c r="F817" s="49" t="str">
        <f>IFERROR(IF(Tabla1[[#This Row],[CONCEPTO mx]]="","",VLOOKUP(Tabla1[[#This Row],[CONCEPTO mx]],Tabla2[#All],2,0)),"")</f>
        <v/>
      </c>
      <c r="G817" s="49" t="str">
        <f>IFERROR(IF(Tabla1[[#This Row],[CONCEPTO mx]]="","",VLOOKUP(Tabla1[[#This Row],[CONCEPTO mx]],Tabla2[#All],3,0)),"")</f>
        <v/>
      </c>
      <c r="H817" s="49" t="s">
        <v>2393</v>
      </c>
      <c r="I817" s="49" t="s">
        <v>2298</v>
      </c>
      <c r="J817" s="53" t="s">
        <v>2820</v>
      </c>
    </row>
    <row r="818" spans="1:10" x14ac:dyDescent="0.25">
      <c r="A818" s="51">
        <v>43350</v>
      </c>
      <c r="C818" s="49" t="s">
        <v>2110</v>
      </c>
      <c r="D818" s="49" t="s">
        <v>51</v>
      </c>
      <c r="F818" s="49" t="str">
        <f>IFERROR(IF(Tabla1[[#This Row],[CONCEPTO mx]]="","",VLOOKUP(Tabla1[[#This Row],[CONCEPTO mx]],Tabla2[#All],2,0)),"")</f>
        <v/>
      </c>
      <c r="G818" s="49" t="str">
        <f>IFERROR(IF(Tabla1[[#This Row],[CONCEPTO mx]]="","",VLOOKUP(Tabla1[[#This Row],[CONCEPTO mx]],Tabla2[#All],3,0)),"")</f>
        <v/>
      </c>
      <c r="H818" s="49" t="s">
        <v>357</v>
      </c>
      <c r="I818" s="49" t="s">
        <v>2298</v>
      </c>
      <c r="J818" s="53" t="s">
        <v>2353</v>
      </c>
    </row>
    <row r="819" spans="1:10" x14ac:dyDescent="0.25">
      <c r="A819" s="51">
        <v>43350</v>
      </c>
      <c r="C819" s="49" t="s">
        <v>2159</v>
      </c>
      <c r="D819" s="49" t="s">
        <v>51</v>
      </c>
      <c r="F819" s="49" t="str">
        <f>IFERROR(IF(Tabla1[[#This Row],[CONCEPTO mx]]="","",VLOOKUP(Tabla1[[#This Row],[CONCEPTO mx]],Tabla2[#All],2,0)),"")</f>
        <v/>
      </c>
      <c r="G819" s="49" t="str">
        <f>IFERROR(IF(Tabla1[[#This Row],[CONCEPTO mx]]="","",VLOOKUP(Tabla1[[#This Row],[CONCEPTO mx]],Tabla2[#All],3,0)),"")</f>
        <v/>
      </c>
      <c r="H819" s="49" t="s">
        <v>439</v>
      </c>
      <c r="I819" s="49" t="s">
        <v>2298</v>
      </c>
      <c r="J819" s="53" t="s">
        <v>2353</v>
      </c>
    </row>
    <row r="820" spans="1:10" x14ac:dyDescent="0.25">
      <c r="A820" s="51">
        <v>43350</v>
      </c>
      <c r="C820" s="49" t="s">
        <v>2158</v>
      </c>
      <c r="D820" s="49" t="s">
        <v>51</v>
      </c>
      <c r="F820" s="49" t="str">
        <f>IFERROR(IF(Tabla1[[#This Row],[CONCEPTO mx]]="","",VLOOKUP(Tabla1[[#This Row],[CONCEPTO mx]],Tabla2[#All],2,0)),"")</f>
        <v/>
      </c>
      <c r="G820" s="49" t="str">
        <f>IFERROR(IF(Tabla1[[#This Row],[CONCEPTO mx]]="","",VLOOKUP(Tabla1[[#This Row],[CONCEPTO mx]],Tabla2[#All],3,0)),"")</f>
        <v/>
      </c>
      <c r="H820" s="49" t="s">
        <v>438</v>
      </c>
      <c r="I820" s="49" t="s">
        <v>2298</v>
      </c>
      <c r="J820" s="53" t="s">
        <v>2792</v>
      </c>
    </row>
    <row r="821" spans="1:10" x14ac:dyDescent="0.25">
      <c r="A821" s="51">
        <v>43353</v>
      </c>
      <c r="C821" s="49" t="s">
        <v>2113</v>
      </c>
      <c r="D821" s="49" t="s">
        <v>51</v>
      </c>
      <c r="F821" s="49" t="str">
        <f>IFERROR(IF(Tabla1[[#This Row],[CONCEPTO mx]]="","",VLOOKUP(Tabla1[[#This Row],[CONCEPTO mx]],Tabla2[#All],2,0)),"")</f>
        <v/>
      </c>
      <c r="G821" s="49" t="str">
        <f>IFERROR(IF(Tabla1[[#This Row],[CONCEPTO mx]]="","",VLOOKUP(Tabla1[[#This Row],[CONCEPTO mx]],Tabla2[#All],3,0)),"")</f>
        <v/>
      </c>
      <c r="H821" s="49" t="s">
        <v>486</v>
      </c>
      <c r="I821" s="49" t="s">
        <v>2298</v>
      </c>
      <c r="J821" s="53" t="s">
        <v>2860</v>
      </c>
    </row>
    <row r="822" spans="1:10" x14ac:dyDescent="0.25">
      <c r="A822" s="51">
        <v>43353</v>
      </c>
      <c r="C822" s="49" t="s">
        <v>2161</v>
      </c>
      <c r="D822" s="49" t="s">
        <v>51</v>
      </c>
      <c r="F822" s="49" t="str">
        <f>IFERROR(IF(Tabla1[[#This Row],[CONCEPTO mx]]="","",VLOOKUP(Tabla1[[#This Row],[CONCEPTO mx]],Tabla2[#All],2,0)),"")</f>
        <v/>
      </c>
      <c r="G822" s="49" t="str">
        <f>IFERROR(IF(Tabla1[[#This Row],[CONCEPTO mx]]="","",VLOOKUP(Tabla1[[#This Row],[CONCEPTO mx]],Tabla2[#All],3,0)),"")</f>
        <v/>
      </c>
      <c r="H822" s="49" t="s">
        <v>542</v>
      </c>
      <c r="I822" s="49" t="s">
        <v>2298</v>
      </c>
      <c r="J822" s="53" t="s">
        <v>2302</v>
      </c>
    </row>
    <row r="823" spans="1:10" x14ac:dyDescent="0.25">
      <c r="A823" s="51">
        <v>43353</v>
      </c>
      <c r="C823" s="49" t="s">
        <v>2160</v>
      </c>
      <c r="D823" s="49" t="s">
        <v>51</v>
      </c>
      <c r="F823" s="49" t="str">
        <f>IFERROR(IF(Tabla1[[#This Row],[CONCEPTO mx]]="","",VLOOKUP(Tabla1[[#This Row],[CONCEPTO mx]],Tabla2[#All],2,0)),"")</f>
        <v/>
      </c>
      <c r="G823" s="49" t="str">
        <f>IFERROR(IF(Tabla1[[#This Row],[CONCEPTO mx]]="","",VLOOKUP(Tabla1[[#This Row],[CONCEPTO mx]],Tabla2[#All],3,0)),"")</f>
        <v/>
      </c>
      <c r="H823" s="49" t="s">
        <v>388</v>
      </c>
      <c r="I823" s="49" t="s">
        <v>2298</v>
      </c>
      <c r="J823" s="53" t="s">
        <v>2819</v>
      </c>
    </row>
    <row r="824" spans="1:10" x14ac:dyDescent="0.25">
      <c r="A824" s="51">
        <v>43353</v>
      </c>
      <c r="C824" s="49" t="s">
        <v>2162</v>
      </c>
      <c r="D824" s="49" t="s">
        <v>51</v>
      </c>
      <c r="F824" s="49" t="str">
        <f>IFERROR(IF(Tabla1[[#This Row],[CONCEPTO mx]]="","",VLOOKUP(Tabla1[[#This Row],[CONCEPTO mx]],Tabla2[#All],2,0)),"")</f>
        <v/>
      </c>
      <c r="G824" s="49" t="str">
        <f>IFERROR(IF(Tabla1[[#This Row],[CONCEPTO mx]]="","",VLOOKUP(Tabla1[[#This Row],[CONCEPTO mx]],Tabla2[#All],3,0)),"")</f>
        <v/>
      </c>
      <c r="H824" s="49" t="s">
        <v>550</v>
      </c>
      <c r="I824" s="49" t="s">
        <v>2298</v>
      </c>
      <c r="J824" s="53" t="s">
        <v>2859</v>
      </c>
    </row>
    <row r="825" spans="1:10" x14ac:dyDescent="0.25">
      <c r="A825" s="51">
        <v>43354</v>
      </c>
      <c r="C825" s="49" t="s">
        <v>2165</v>
      </c>
      <c r="D825" s="49" t="s">
        <v>51</v>
      </c>
      <c r="E825" s="49" t="s">
        <v>3315</v>
      </c>
      <c r="F825" s="49" t="str">
        <f>IFERROR(IF(Tabla1[[#This Row],[CONCEPTO mx]]="","",VLOOKUP(Tabla1[[#This Row],[CONCEPTO mx]],Tabla2[#All],2,0)),"")</f>
        <v>CM40</v>
      </c>
      <c r="G825" s="49" t="str">
        <f>IFERROR(IF(Tabla1[[#This Row],[CONCEPTO mx]]="","",VLOOKUP(Tabla1[[#This Row],[CONCEPTO mx]],Tabla2[#All],3,0)),"")</f>
        <v>SST</v>
      </c>
      <c r="H825" s="49" t="s">
        <v>343</v>
      </c>
      <c r="I825" s="49" t="s">
        <v>2298</v>
      </c>
      <c r="J825" s="53" t="s">
        <v>2861</v>
      </c>
    </row>
    <row r="826" spans="1:10" x14ac:dyDescent="0.25">
      <c r="A826" s="51">
        <v>43354</v>
      </c>
      <c r="C826" s="49" t="s">
        <v>2169</v>
      </c>
      <c r="E826" s="49" t="s">
        <v>2355</v>
      </c>
      <c r="F826" s="49" t="str">
        <f>IFERROR(IF(Tabla1[[#This Row],[CONCEPTO mx]]="","",VLOOKUP(Tabla1[[#This Row],[CONCEPTO mx]],Tabla2[#All],2,0)),"")</f>
        <v>CM13</v>
      </c>
      <c r="G826" s="49" t="str">
        <f>IFERROR(IF(Tabla1[[#This Row],[CONCEPTO mx]]="","",VLOOKUP(Tabla1[[#This Row],[CONCEPTO mx]],Tabla2[#All],3,0)),"")</f>
        <v>Gestión Humana</v>
      </c>
      <c r="H826" s="49" t="s">
        <v>438</v>
      </c>
      <c r="I826" s="49" t="s">
        <v>2298</v>
      </c>
      <c r="J826" s="53" t="s">
        <v>2820</v>
      </c>
    </row>
    <row r="827" spans="1:10" x14ac:dyDescent="0.25">
      <c r="A827" s="51">
        <v>43354</v>
      </c>
      <c r="C827" s="49" t="s">
        <v>1225</v>
      </c>
      <c r="D827" s="49" t="s">
        <v>51</v>
      </c>
      <c r="F827" s="49" t="str">
        <f>IFERROR(IF(Tabla1[[#This Row],[CONCEPTO mx]]="","",VLOOKUP(Tabla1[[#This Row],[CONCEPTO mx]],Tabla2[#All],2,0)),"")</f>
        <v/>
      </c>
      <c r="G827" s="49" t="str">
        <f>IFERROR(IF(Tabla1[[#This Row],[CONCEPTO mx]]="","",VLOOKUP(Tabla1[[#This Row],[CONCEPTO mx]],Tabla2[#All],3,0)),"")</f>
        <v/>
      </c>
      <c r="H827" s="49" t="s">
        <v>406</v>
      </c>
      <c r="I827" s="49" t="s">
        <v>2323</v>
      </c>
      <c r="J827" s="53"/>
    </row>
    <row r="828" spans="1:10" x14ac:dyDescent="0.25">
      <c r="A828" s="51">
        <v>43354</v>
      </c>
      <c r="C828" s="49" t="s">
        <v>2170</v>
      </c>
      <c r="D828" s="49" t="s">
        <v>51</v>
      </c>
      <c r="F828" s="49" t="str">
        <f>IFERROR(IF(Tabla1[[#This Row],[CONCEPTO mx]]="","",VLOOKUP(Tabla1[[#This Row],[CONCEPTO mx]],Tabla2[#All],2,0)),"")</f>
        <v/>
      </c>
      <c r="G828" s="49" t="str">
        <f>IFERROR(IF(Tabla1[[#This Row],[CONCEPTO mx]]="","",VLOOKUP(Tabla1[[#This Row],[CONCEPTO mx]],Tabla2[#All],3,0)),"")</f>
        <v/>
      </c>
      <c r="H828" s="49" t="s">
        <v>352</v>
      </c>
      <c r="I828" s="49" t="s">
        <v>2298</v>
      </c>
      <c r="J828" s="53" t="s">
        <v>2820</v>
      </c>
    </row>
    <row r="829" spans="1:10" x14ac:dyDescent="0.25">
      <c r="A829" s="51">
        <v>43354</v>
      </c>
      <c r="C829" s="49" t="s">
        <v>2141</v>
      </c>
      <c r="D829" s="49" t="s">
        <v>2273</v>
      </c>
      <c r="F829" s="49" t="str">
        <f>IFERROR(IF(Tabla1[[#This Row],[CONCEPTO mx]]="","",VLOOKUP(Tabla1[[#This Row],[CONCEPTO mx]],Tabla2[#All],2,0)),"")</f>
        <v/>
      </c>
      <c r="G829" s="49" t="str">
        <f>IFERROR(IF(Tabla1[[#This Row],[CONCEPTO mx]]="","",VLOOKUP(Tabla1[[#This Row],[CONCEPTO mx]],Tabla2[#All],3,0)),"")</f>
        <v/>
      </c>
      <c r="H829" s="49" t="s">
        <v>516</v>
      </c>
      <c r="I829" s="49" t="s">
        <v>2298</v>
      </c>
      <c r="J829" s="53" t="s">
        <v>2353</v>
      </c>
    </row>
    <row r="830" spans="1:10" x14ac:dyDescent="0.25">
      <c r="A830" s="51">
        <v>43354</v>
      </c>
      <c r="C830" s="49" t="s">
        <v>2167</v>
      </c>
      <c r="D830" s="49" t="s">
        <v>51</v>
      </c>
      <c r="E830" s="49" t="s">
        <v>3315</v>
      </c>
      <c r="F830" s="49" t="str">
        <f>IFERROR(IF(Tabla1[[#This Row],[CONCEPTO mx]]="","",VLOOKUP(Tabla1[[#This Row],[CONCEPTO mx]],Tabla2[#All],2,0)),"")</f>
        <v>CM40</v>
      </c>
      <c r="G830" s="49" t="str">
        <f>IFERROR(IF(Tabla1[[#This Row],[CONCEPTO mx]]="","",VLOOKUP(Tabla1[[#This Row],[CONCEPTO mx]],Tabla2[#All],3,0)),"")</f>
        <v>SST</v>
      </c>
      <c r="H830" s="49" t="s">
        <v>2393</v>
      </c>
      <c r="I830" s="49" t="s">
        <v>2298</v>
      </c>
      <c r="J830" s="53" t="s">
        <v>2853</v>
      </c>
    </row>
    <row r="831" spans="1:10" x14ac:dyDescent="0.25">
      <c r="A831" s="51">
        <v>43354</v>
      </c>
      <c r="C831" s="49" t="s">
        <v>2166</v>
      </c>
      <c r="D831" s="49" t="s">
        <v>51</v>
      </c>
      <c r="E831" s="49" t="s">
        <v>3315</v>
      </c>
      <c r="F831" s="49" t="str">
        <f>IFERROR(IF(Tabla1[[#This Row],[CONCEPTO mx]]="","",VLOOKUP(Tabla1[[#This Row],[CONCEPTO mx]],Tabla2[#All],2,0)),"")</f>
        <v>CM40</v>
      </c>
      <c r="G831" s="49" t="str">
        <f>IFERROR(IF(Tabla1[[#This Row],[CONCEPTO mx]]="","",VLOOKUP(Tabla1[[#This Row],[CONCEPTO mx]],Tabla2[#All],3,0)),"")</f>
        <v>SST</v>
      </c>
      <c r="H831" s="49" t="s">
        <v>406</v>
      </c>
      <c r="I831" s="49" t="s">
        <v>2326</v>
      </c>
      <c r="J831" s="53"/>
    </row>
    <row r="832" spans="1:10" x14ac:dyDescent="0.25">
      <c r="A832" s="51">
        <v>43354</v>
      </c>
      <c r="C832" s="49" t="s">
        <v>1305</v>
      </c>
      <c r="D832" s="49" t="s">
        <v>2273</v>
      </c>
      <c r="F832" s="49" t="str">
        <f>IFERROR(IF(Tabla1[[#This Row],[CONCEPTO mx]]="","",VLOOKUP(Tabla1[[#This Row],[CONCEPTO mx]],Tabla2[#All],2,0)),"")</f>
        <v/>
      </c>
      <c r="G832" s="49" t="str">
        <f>IFERROR(IF(Tabla1[[#This Row],[CONCEPTO mx]]="","",VLOOKUP(Tabla1[[#This Row],[CONCEPTO mx]],Tabla2[#All],3,0)),"")</f>
        <v/>
      </c>
      <c r="H832" s="49" t="s">
        <v>542</v>
      </c>
      <c r="I832" s="49" t="s">
        <v>2298</v>
      </c>
      <c r="J832" s="53" t="s">
        <v>2853</v>
      </c>
    </row>
    <row r="833" spans="1:10" x14ac:dyDescent="0.25">
      <c r="A833" s="51">
        <v>43354</v>
      </c>
      <c r="C833" s="49" t="s">
        <v>2164</v>
      </c>
      <c r="D833" s="49" t="s">
        <v>51</v>
      </c>
      <c r="F833" s="49" t="str">
        <f>IFERROR(IF(Tabla1[[#This Row],[CONCEPTO mx]]="","",VLOOKUP(Tabla1[[#This Row],[CONCEPTO mx]],Tabla2[#All],2,0)),"")</f>
        <v/>
      </c>
      <c r="G833" s="49" t="str">
        <f>IFERROR(IF(Tabla1[[#This Row],[CONCEPTO mx]]="","",VLOOKUP(Tabla1[[#This Row],[CONCEPTO mx]],Tabla2[#All],3,0)),"")</f>
        <v/>
      </c>
      <c r="H833" s="49" t="s">
        <v>439</v>
      </c>
      <c r="I833" s="49" t="s">
        <v>2298</v>
      </c>
      <c r="J833" s="53" t="s">
        <v>2353</v>
      </c>
    </row>
    <row r="834" spans="1:10" x14ac:dyDescent="0.25">
      <c r="A834" s="51">
        <v>43354</v>
      </c>
      <c r="C834" s="49" t="s">
        <v>2163</v>
      </c>
      <c r="D834" s="49" t="s">
        <v>51</v>
      </c>
      <c r="F834" s="49" t="str">
        <f>IFERROR(IF(Tabla1[[#This Row],[CONCEPTO mx]]="","",VLOOKUP(Tabla1[[#This Row],[CONCEPTO mx]],Tabla2[#All],2,0)),"")</f>
        <v/>
      </c>
      <c r="G834" s="49" t="str">
        <f>IFERROR(IF(Tabla1[[#This Row],[CONCEPTO mx]]="","",VLOOKUP(Tabla1[[#This Row],[CONCEPTO mx]],Tabla2[#All],3,0)),"")</f>
        <v/>
      </c>
      <c r="H834" s="49" t="s">
        <v>438</v>
      </c>
      <c r="I834" s="49" t="s">
        <v>2298</v>
      </c>
      <c r="J834" s="53" t="s">
        <v>2817</v>
      </c>
    </row>
    <row r="835" spans="1:10" x14ac:dyDescent="0.25">
      <c r="A835" s="51">
        <v>43354</v>
      </c>
      <c r="C835" s="49" t="s">
        <v>2168</v>
      </c>
      <c r="D835" s="49" t="s">
        <v>51</v>
      </c>
      <c r="E835" s="49" t="s">
        <v>3315</v>
      </c>
      <c r="F835" s="49" t="str">
        <f>IFERROR(IF(Tabla1[[#This Row],[CONCEPTO mx]]="","",VLOOKUP(Tabla1[[#This Row],[CONCEPTO mx]],Tabla2[#All],2,0)),"")</f>
        <v>CM40</v>
      </c>
      <c r="G835" s="49" t="str">
        <f>IFERROR(IF(Tabla1[[#This Row],[CONCEPTO mx]]="","",VLOOKUP(Tabla1[[#This Row],[CONCEPTO mx]],Tabla2[#All],3,0)),"")</f>
        <v>SST</v>
      </c>
      <c r="H835" s="49" t="s">
        <v>438</v>
      </c>
      <c r="I835" s="49" t="s">
        <v>2298</v>
      </c>
      <c r="J835" s="53" t="s">
        <v>2314</v>
      </c>
    </row>
    <row r="836" spans="1:10" x14ac:dyDescent="0.25">
      <c r="A836" s="51">
        <v>43355</v>
      </c>
      <c r="C836" s="49" t="s">
        <v>2171</v>
      </c>
      <c r="D836" s="49" t="s">
        <v>51</v>
      </c>
      <c r="F836" s="49" t="str">
        <f>IFERROR(IF(Tabla1[[#This Row],[CONCEPTO mx]]="","",VLOOKUP(Tabla1[[#This Row],[CONCEPTO mx]],Tabla2[#All],2,0)),"")</f>
        <v/>
      </c>
      <c r="G836" s="49" t="str">
        <f>IFERROR(IF(Tabla1[[#This Row],[CONCEPTO mx]]="","",VLOOKUP(Tabla1[[#This Row],[CONCEPTO mx]],Tabla2[#All],3,0)),"")</f>
        <v/>
      </c>
      <c r="H836" s="49" t="s">
        <v>2391</v>
      </c>
      <c r="I836" s="49" t="s">
        <v>2298</v>
      </c>
      <c r="J836" s="53" t="s">
        <v>2341</v>
      </c>
    </row>
    <row r="837" spans="1:10" x14ac:dyDescent="0.25">
      <c r="A837" s="51">
        <v>43355</v>
      </c>
      <c r="C837" s="49" t="s">
        <v>2174</v>
      </c>
      <c r="D837" s="49" t="s">
        <v>51</v>
      </c>
      <c r="F837" s="49" t="str">
        <f>IFERROR(IF(Tabla1[[#This Row],[CONCEPTO mx]]="","",VLOOKUP(Tabla1[[#This Row],[CONCEPTO mx]],Tabla2[#All],2,0)),"")</f>
        <v/>
      </c>
      <c r="G837" s="49" t="str">
        <f>IFERROR(IF(Tabla1[[#This Row],[CONCEPTO mx]]="","",VLOOKUP(Tabla1[[#This Row],[CONCEPTO mx]],Tabla2[#All],3,0)),"")</f>
        <v/>
      </c>
      <c r="H837" s="49" t="s">
        <v>343</v>
      </c>
      <c r="I837" s="49" t="s">
        <v>2298</v>
      </c>
      <c r="J837" s="53" t="s">
        <v>2341</v>
      </c>
    </row>
    <row r="838" spans="1:10" x14ac:dyDescent="0.25">
      <c r="A838" s="51">
        <v>43355</v>
      </c>
      <c r="C838" s="49" t="s">
        <v>2172</v>
      </c>
      <c r="D838" s="49" t="s">
        <v>51</v>
      </c>
      <c r="F838" s="49" t="str">
        <f>IFERROR(IF(Tabla1[[#This Row],[CONCEPTO mx]]="","",VLOOKUP(Tabla1[[#This Row],[CONCEPTO mx]],Tabla2[#All],2,0)),"")</f>
        <v/>
      </c>
      <c r="G838" s="49" t="str">
        <f>IFERROR(IF(Tabla1[[#This Row],[CONCEPTO mx]]="","",VLOOKUP(Tabla1[[#This Row],[CONCEPTO mx]],Tabla2[#All],3,0)),"")</f>
        <v/>
      </c>
      <c r="H838" s="49" t="s">
        <v>550</v>
      </c>
      <c r="I838" s="49" t="s">
        <v>2319</v>
      </c>
      <c r="J838" s="53"/>
    </row>
    <row r="839" spans="1:10" x14ac:dyDescent="0.25">
      <c r="A839" s="51">
        <v>43355</v>
      </c>
      <c r="C839" s="49" t="s">
        <v>7</v>
      </c>
      <c r="D839" s="49" t="s">
        <v>51</v>
      </c>
      <c r="F839" s="49" t="str">
        <f>IFERROR(IF(Tabla1[[#This Row],[CONCEPTO mx]]="","",VLOOKUP(Tabla1[[#This Row],[CONCEPTO mx]],Tabla2[#All],2,0)),"")</f>
        <v/>
      </c>
      <c r="G839" s="49" t="str">
        <f>IFERROR(IF(Tabla1[[#This Row],[CONCEPTO mx]]="","",VLOOKUP(Tabla1[[#This Row],[CONCEPTO mx]],Tabla2[#All],3,0)),"")</f>
        <v/>
      </c>
      <c r="H839" s="49" t="s">
        <v>343</v>
      </c>
      <c r="I839" s="49" t="s">
        <v>2298</v>
      </c>
      <c r="J839" s="53" t="s">
        <v>2341</v>
      </c>
    </row>
    <row r="840" spans="1:10" x14ac:dyDescent="0.25">
      <c r="A840" s="51">
        <v>43355</v>
      </c>
      <c r="C840" s="49" t="s">
        <v>2173</v>
      </c>
      <c r="D840" s="49" t="s">
        <v>2273</v>
      </c>
      <c r="F840" s="49" t="str">
        <f>IFERROR(IF(Tabla1[[#This Row],[CONCEPTO mx]]="","",VLOOKUP(Tabla1[[#This Row],[CONCEPTO mx]],Tabla2[#All],2,0)),"")</f>
        <v/>
      </c>
      <c r="G840" s="49" t="str">
        <f>IFERROR(IF(Tabla1[[#This Row],[CONCEPTO mx]]="","",VLOOKUP(Tabla1[[#This Row],[CONCEPTO mx]],Tabla2[#All],3,0)),"")</f>
        <v/>
      </c>
      <c r="H840" s="49" t="s">
        <v>438</v>
      </c>
      <c r="I840" s="49" t="s">
        <v>2339</v>
      </c>
      <c r="J840" s="53"/>
    </row>
    <row r="841" spans="1:10" x14ac:dyDescent="0.25">
      <c r="A841" s="51">
        <v>43355</v>
      </c>
      <c r="C841" s="49" t="s">
        <v>2175</v>
      </c>
      <c r="D841" s="49" t="s">
        <v>2273</v>
      </c>
      <c r="F841" s="49" t="str">
        <f>IFERROR(IF(Tabla1[[#This Row],[CONCEPTO mx]]="","",VLOOKUP(Tabla1[[#This Row],[CONCEPTO mx]],Tabla2[#All],2,0)),"")</f>
        <v/>
      </c>
      <c r="G841" s="49" t="str">
        <f>IFERROR(IF(Tabla1[[#This Row],[CONCEPTO mx]]="","",VLOOKUP(Tabla1[[#This Row],[CONCEPTO mx]],Tabla2[#All],3,0)),"")</f>
        <v/>
      </c>
      <c r="H841" s="49" t="s">
        <v>441</v>
      </c>
      <c r="I841" s="49" t="s">
        <v>2298</v>
      </c>
      <c r="J841" s="53" t="s">
        <v>2862</v>
      </c>
    </row>
    <row r="842" spans="1:10" x14ac:dyDescent="0.25">
      <c r="A842" s="51">
        <v>43355</v>
      </c>
      <c r="C842" s="49" t="s">
        <v>1144</v>
      </c>
      <c r="D842" s="49" t="s">
        <v>51</v>
      </c>
      <c r="F842" s="49" t="str">
        <f>IFERROR(IF(Tabla1[[#This Row],[CONCEPTO mx]]="","",VLOOKUP(Tabla1[[#This Row],[CONCEPTO mx]],Tabla2[#All],2,0)),"")</f>
        <v/>
      </c>
      <c r="G842" s="49" t="str">
        <f>IFERROR(IF(Tabla1[[#This Row],[CONCEPTO mx]]="","",VLOOKUP(Tabla1[[#This Row],[CONCEPTO mx]],Tabla2[#All],3,0)),"")</f>
        <v/>
      </c>
      <c r="H842" s="49" t="s">
        <v>542</v>
      </c>
      <c r="I842" s="49" t="s">
        <v>2298</v>
      </c>
      <c r="J842" s="53" t="s">
        <v>2794</v>
      </c>
    </row>
    <row r="843" spans="1:10" x14ac:dyDescent="0.25">
      <c r="A843" s="51">
        <v>43356</v>
      </c>
      <c r="C843" s="49" t="s">
        <v>2176</v>
      </c>
      <c r="D843" s="49" t="s">
        <v>51</v>
      </c>
      <c r="E843" s="49" t="s">
        <v>3315</v>
      </c>
      <c r="F843" s="49" t="str">
        <f>IFERROR(IF(Tabla1[[#This Row],[CONCEPTO mx]]="","",VLOOKUP(Tabla1[[#This Row],[CONCEPTO mx]],Tabla2[#All],2,0)),"")</f>
        <v>CM40</v>
      </c>
      <c r="G843" s="49" t="str">
        <f>IFERROR(IF(Tabla1[[#This Row],[CONCEPTO mx]]="","",VLOOKUP(Tabla1[[#This Row],[CONCEPTO mx]],Tabla2[#All],3,0)),"")</f>
        <v>SST</v>
      </c>
      <c r="H843" s="49" t="s">
        <v>441</v>
      </c>
      <c r="I843" s="49" t="s">
        <v>2318</v>
      </c>
      <c r="J843" s="53"/>
    </row>
    <row r="844" spans="1:10" x14ac:dyDescent="0.25">
      <c r="A844" s="51">
        <v>43356</v>
      </c>
      <c r="C844" s="49" t="s">
        <v>1574</v>
      </c>
      <c r="D844" s="49" t="s">
        <v>2273</v>
      </c>
      <c r="F844" s="49" t="str">
        <f>IFERROR(IF(Tabla1[[#This Row],[CONCEPTO mx]]="","",VLOOKUP(Tabla1[[#This Row],[CONCEPTO mx]],Tabla2[#All],2,0)),"")</f>
        <v/>
      </c>
      <c r="G844" s="49" t="str">
        <f>IFERROR(IF(Tabla1[[#This Row],[CONCEPTO mx]]="","",VLOOKUP(Tabla1[[#This Row],[CONCEPTO mx]],Tabla2[#All],3,0)),"")</f>
        <v/>
      </c>
      <c r="H844" s="49" t="s">
        <v>628</v>
      </c>
      <c r="I844" s="49" t="s">
        <v>2298</v>
      </c>
      <c r="J844" s="53" t="s">
        <v>2863</v>
      </c>
    </row>
    <row r="845" spans="1:10" x14ac:dyDescent="0.25">
      <c r="A845" s="51">
        <v>43357</v>
      </c>
      <c r="C845" s="49" t="s">
        <v>2177</v>
      </c>
      <c r="D845" s="49" t="s">
        <v>51</v>
      </c>
      <c r="F845" s="49" t="str">
        <f>IFERROR(IF(Tabla1[[#This Row],[CONCEPTO mx]]="","",VLOOKUP(Tabla1[[#This Row],[CONCEPTO mx]],Tabla2[#All],2,0)),"")</f>
        <v/>
      </c>
      <c r="G845" s="49" t="str">
        <f>IFERROR(IF(Tabla1[[#This Row],[CONCEPTO mx]]="","",VLOOKUP(Tabla1[[#This Row],[CONCEPTO mx]],Tabla2[#All],3,0)),"")</f>
        <v/>
      </c>
      <c r="H845" s="49" t="s">
        <v>439</v>
      </c>
      <c r="I845" s="49" t="s">
        <v>2298</v>
      </c>
      <c r="J845" s="53" t="s">
        <v>2302</v>
      </c>
    </row>
    <row r="846" spans="1:10" x14ac:dyDescent="0.25">
      <c r="A846" s="51">
        <v>43357</v>
      </c>
      <c r="C846" s="49" t="s">
        <v>2184</v>
      </c>
      <c r="D846" s="49" t="s">
        <v>51</v>
      </c>
      <c r="F846" s="49" t="str">
        <f>IFERROR(IF(Tabla1[[#This Row],[CONCEPTO mx]]="","",VLOOKUP(Tabla1[[#This Row],[CONCEPTO mx]],Tabla2[#All],2,0)),"")</f>
        <v/>
      </c>
      <c r="G846" s="49" t="str">
        <f>IFERROR(IF(Tabla1[[#This Row],[CONCEPTO mx]]="","",VLOOKUP(Tabla1[[#This Row],[CONCEPTO mx]],Tabla2[#All],3,0)),"")</f>
        <v/>
      </c>
      <c r="H846" s="49" t="s">
        <v>550</v>
      </c>
      <c r="I846" s="49" t="s">
        <v>2298</v>
      </c>
      <c r="J846" s="53" t="s">
        <v>2353</v>
      </c>
    </row>
    <row r="847" spans="1:10" x14ac:dyDescent="0.25">
      <c r="A847" s="51">
        <v>43357</v>
      </c>
      <c r="C847" s="49" t="s">
        <v>2181</v>
      </c>
      <c r="D847" s="49" t="s">
        <v>2273</v>
      </c>
      <c r="F847" s="49" t="str">
        <f>IFERROR(IF(Tabla1[[#This Row],[CONCEPTO mx]]="","",VLOOKUP(Tabla1[[#This Row],[CONCEPTO mx]],Tabla2[#All],2,0)),"")</f>
        <v/>
      </c>
      <c r="G847" s="49" t="str">
        <f>IFERROR(IF(Tabla1[[#This Row],[CONCEPTO mx]]="","",VLOOKUP(Tabla1[[#This Row],[CONCEPTO mx]],Tabla2[#All],3,0)),"")</f>
        <v/>
      </c>
      <c r="H847" s="49" t="s">
        <v>406</v>
      </c>
      <c r="I847" s="49" t="s">
        <v>2298</v>
      </c>
      <c r="J847" s="53" t="s">
        <v>2864</v>
      </c>
    </row>
    <row r="848" spans="1:10" x14ac:dyDescent="0.25">
      <c r="A848" s="51">
        <v>43357</v>
      </c>
      <c r="C848" s="49" t="s">
        <v>2183</v>
      </c>
      <c r="D848" s="49" t="s">
        <v>51</v>
      </c>
      <c r="F848" s="49" t="str">
        <f>IFERROR(IF(Tabla1[[#This Row],[CONCEPTO mx]]="","",VLOOKUP(Tabla1[[#This Row],[CONCEPTO mx]],Tabla2[#All],2,0)),"")</f>
        <v/>
      </c>
      <c r="G848" s="49" t="str">
        <f>IFERROR(IF(Tabla1[[#This Row],[CONCEPTO mx]]="","",VLOOKUP(Tabla1[[#This Row],[CONCEPTO mx]],Tabla2[#All],3,0)),"")</f>
        <v/>
      </c>
      <c r="H848" s="49" t="s">
        <v>343</v>
      </c>
      <c r="I848" s="49" t="s">
        <v>2298</v>
      </c>
      <c r="J848" s="53" t="s">
        <v>2865</v>
      </c>
    </row>
    <row r="849" spans="1:10" x14ac:dyDescent="0.25">
      <c r="A849" s="51">
        <v>43357</v>
      </c>
      <c r="C849" s="49" t="s">
        <v>2182</v>
      </c>
      <c r="D849" s="49" t="s">
        <v>51</v>
      </c>
      <c r="F849" s="49" t="str">
        <f>IFERROR(IF(Tabla1[[#This Row],[CONCEPTO mx]]="","",VLOOKUP(Tabla1[[#This Row],[CONCEPTO mx]],Tabla2[#All],2,0)),"")</f>
        <v/>
      </c>
      <c r="G849" s="49" t="str">
        <f>IFERROR(IF(Tabla1[[#This Row],[CONCEPTO mx]]="","",VLOOKUP(Tabla1[[#This Row],[CONCEPTO mx]],Tabla2[#All],3,0)),"")</f>
        <v/>
      </c>
      <c r="H849" s="49" t="s">
        <v>352</v>
      </c>
      <c r="I849" s="49" t="s">
        <v>2339</v>
      </c>
      <c r="J849" s="53"/>
    </row>
    <row r="850" spans="1:10" x14ac:dyDescent="0.25">
      <c r="A850" s="51">
        <v>43357</v>
      </c>
      <c r="C850" s="49" t="s">
        <v>2179</v>
      </c>
      <c r="D850" s="49" t="s">
        <v>2001</v>
      </c>
      <c r="F850" s="49" t="str">
        <f>IFERROR(IF(Tabla1[[#This Row],[CONCEPTO mx]]="","",VLOOKUP(Tabla1[[#This Row],[CONCEPTO mx]],Tabla2[#All],2,0)),"")</f>
        <v/>
      </c>
      <c r="G850" s="49" t="str">
        <f>IFERROR(IF(Tabla1[[#This Row],[CONCEPTO mx]]="","",VLOOKUP(Tabla1[[#This Row],[CONCEPTO mx]],Tabla2[#All],3,0)),"")</f>
        <v/>
      </c>
      <c r="H850" s="49" t="s">
        <v>357</v>
      </c>
      <c r="I850" s="49" t="s">
        <v>2339</v>
      </c>
      <c r="J850" s="53"/>
    </row>
    <row r="851" spans="1:10" x14ac:dyDescent="0.25">
      <c r="A851" s="51">
        <v>43357</v>
      </c>
      <c r="C851" s="49" t="s">
        <v>2178</v>
      </c>
      <c r="D851" s="49" t="s">
        <v>51</v>
      </c>
      <c r="F851" s="49" t="str">
        <f>IFERROR(IF(Tabla1[[#This Row],[CONCEPTO mx]]="","",VLOOKUP(Tabla1[[#This Row],[CONCEPTO mx]],Tabla2[#All],2,0)),"")</f>
        <v/>
      </c>
      <c r="G851" s="49" t="str">
        <f>IFERROR(IF(Tabla1[[#This Row],[CONCEPTO mx]]="","",VLOOKUP(Tabla1[[#This Row],[CONCEPTO mx]],Tabla2[#All],3,0)),"")</f>
        <v/>
      </c>
      <c r="H851" s="49" t="s">
        <v>343</v>
      </c>
      <c r="I851" s="49" t="s">
        <v>2298</v>
      </c>
      <c r="J851" s="53"/>
    </row>
    <row r="852" spans="1:10" x14ac:dyDescent="0.25">
      <c r="A852" s="51">
        <v>43357</v>
      </c>
      <c r="C852" s="49" t="s">
        <v>2180</v>
      </c>
      <c r="D852" s="49" t="s">
        <v>51</v>
      </c>
      <c r="E852" s="49" t="s">
        <v>3315</v>
      </c>
      <c r="F852" s="49" t="str">
        <f>IFERROR(IF(Tabla1[[#This Row],[CONCEPTO mx]]="","",VLOOKUP(Tabla1[[#This Row],[CONCEPTO mx]],Tabla2[#All],2,0)),"")</f>
        <v>CM40</v>
      </c>
      <c r="G852" s="49" t="str">
        <f>IFERROR(IF(Tabla1[[#This Row],[CONCEPTO mx]]="","",VLOOKUP(Tabla1[[#This Row],[CONCEPTO mx]],Tabla2[#All],3,0)),"")</f>
        <v>SST</v>
      </c>
      <c r="H852" s="49" t="s">
        <v>486</v>
      </c>
      <c r="I852" s="49" t="s">
        <v>2298</v>
      </c>
      <c r="J852" s="53" t="s">
        <v>2409</v>
      </c>
    </row>
    <row r="853" spans="1:10" x14ac:dyDescent="0.25">
      <c r="A853" s="51">
        <v>43360</v>
      </c>
      <c r="C853" s="49" t="s">
        <v>2187</v>
      </c>
      <c r="D853" s="49" t="s">
        <v>2273</v>
      </c>
      <c r="F853" s="49" t="str">
        <f>IFERROR(IF(Tabla1[[#This Row],[CONCEPTO mx]]="","",VLOOKUP(Tabla1[[#This Row],[CONCEPTO mx]],Tabla2[#All],2,0)),"")</f>
        <v/>
      </c>
      <c r="G853" s="49" t="str">
        <f>IFERROR(IF(Tabla1[[#This Row],[CONCEPTO mx]]="","",VLOOKUP(Tabla1[[#This Row],[CONCEPTO mx]],Tabla2[#All],3,0)),"")</f>
        <v/>
      </c>
      <c r="H853" s="49" t="s">
        <v>343</v>
      </c>
      <c r="I853" s="49" t="s">
        <v>2339</v>
      </c>
      <c r="J853" s="53"/>
    </row>
    <row r="854" spans="1:10" x14ac:dyDescent="0.25">
      <c r="A854" s="51">
        <v>43360</v>
      </c>
      <c r="C854" s="49" t="s">
        <v>2186</v>
      </c>
      <c r="D854" s="49" t="s">
        <v>2001</v>
      </c>
      <c r="F854" s="49" t="str">
        <f>IFERROR(IF(Tabla1[[#This Row],[CONCEPTO mx]]="","",VLOOKUP(Tabla1[[#This Row],[CONCEPTO mx]],Tabla2[#All],2,0)),"")</f>
        <v/>
      </c>
      <c r="G854" s="49" t="str">
        <f>IFERROR(IF(Tabla1[[#This Row],[CONCEPTO mx]]="","",VLOOKUP(Tabla1[[#This Row],[CONCEPTO mx]],Tabla2[#All],3,0)),"")</f>
        <v/>
      </c>
      <c r="H854" s="49" t="s">
        <v>628</v>
      </c>
      <c r="I854" s="49" t="s">
        <v>2339</v>
      </c>
      <c r="J854" s="53"/>
    </row>
    <row r="855" spans="1:10" x14ac:dyDescent="0.25">
      <c r="A855" s="51">
        <v>43360</v>
      </c>
      <c r="C855" s="49" t="s">
        <v>2185</v>
      </c>
      <c r="D855" s="49" t="s">
        <v>2273</v>
      </c>
      <c r="F855" s="49" t="str">
        <f>IFERROR(IF(Tabla1[[#This Row],[CONCEPTO mx]]="","",VLOOKUP(Tabla1[[#This Row],[CONCEPTO mx]],Tabla2[#All],2,0)),"")</f>
        <v/>
      </c>
      <c r="G855" s="49" t="str">
        <f>IFERROR(IF(Tabla1[[#This Row],[CONCEPTO mx]]="","",VLOOKUP(Tabla1[[#This Row],[CONCEPTO mx]],Tabla2[#All],3,0)),"")</f>
        <v/>
      </c>
      <c r="H855" s="49" t="s">
        <v>2391</v>
      </c>
      <c r="I855" s="49" t="s">
        <v>2298</v>
      </c>
      <c r="J855" s="53" t="s">
        <v>2837</v>
      </c>
    </row>
    <row r="856" spans="1:10" x14ac:dyDescent="0.25">
      <c r="A856" s="51">
        <v>43360</v>
      </c>
      <c r="C856" s="49" t="s">
        <v>2108</v>
      </c>
      <c r="D856" s="49" t="s">
        <v>51</v>
      </c>
      <c r="E856" s="49" t="s">
        <v>3315</v>
      </c>
      <c r="F856" s="49" t="str">
        <f>IFERROR(IF(Tabla1[[#This Row],[CONCEPTO mx]]="","",VLOOKUP(Tabla1[[#This Row],[CONCEPTO mx]],Tabla2[#All],2,0)),"")</f>
        <v>CM40</v>
      </c>
      <c r="G856" s="49" t="str">
        <f>IFERROR(IF(Tabla1[[#This Row],[CONCEPTO mx]]="","",VLOOKUP(Tabla1[[#This Row],[CONCEPTO mx]],Tabla2[#All],3,0)),"")</f>
        <v>SST</v>
      </c>
      <c r="H856" s="49" t="s">
        <v>343</v>
      </c>
      <c r="I856" s="49" t="s">
        <v>2298</v>
      </c>
      <c r="J856" s="53" t="s">
        <v>2341</v>
      </c>
    </row>
    <row r="857" spans="1:10" x14ac:dyDescent="0.25">
      <c r="A857" s="51">
        <v>43361</v>
      </c>
      <c r="C857" s="49" t="s">
        <v>2169</v>
      </c>
      <c r="D857" s="49" t="s">
        <v>2273</v>
      </c>
      <c r="F857" s="49" t="str">
        <f>IFERROR(IF(Tabla1[[#This Row],[CONCEPTO mx]]="","",VLOOKUP(Tabla1[[#This Row],[CONCEPTO mx]],Tabla2[#All],2,0)),"")</f>
        <v/>
      </c>
      <c r="G857" s="49" t="str">
        <f>IFERROR(IF(Tabla1[[#This Row],[CONCEPTO mx]]="","",VLOOKUP(Tabla1[[#This Row],[CONCEPTO mx]],Tabla2[#All],3,0)),"")</f>
        <v/>
      </c>
      <c r="H857" s="49" t="s">
        <v>438</v>
      </c>
      <c r="I857" s="49" t="s">
        <v>2298</v>
      </c>
      <c r="J857" s="53" t="s">
        <v>2820</v>
      </c>
    </row>
    <row r="858" spans="1:10" x14ac:dyDescent="0.25">
      <c r="A858" s="51">
        <v>43361</v>
      </c>
      <c r="C858" s="49" t="s">
        <v>2189</v>
      </c>
      <c r="D858" s="49" t="s">
        <v>51</v>
      </c>
      <c r="F858" s="49" t="str">
        <f>IFERROR(IF(Tabla1[[#This Row],[CONCEPTO mx]]="","",VLOOKUP(Tabla1[[#This Row],[CONCEPTO mx]],Tabla2[#All],2,0)),"")</f>
        <v/>
      </c>
      <c r="G858" s="49" t="str">
        <f>IFERROR(IF(Tabla1[[#This Row],[CONCEPTO mx]]="","",VLOOKUP(Tabla1[[#This Row],[CONCEPTO mx]],Tabla2[#All],3,0)),"")</f>
        <v/>
      </c>
      <c r="H858" s="49" t="s">
        <v>486</v>
      </c>
      <c r="I858" s="49" t="s">
        <v>2298</v>
      </c>
      <c r="J858" s="53" t="s">
        <v>2820</v>
      </c>
    </row>
    <row r="859" spans="1:10" x14ac:dyDescent="0.25">
      <c r="A859" s="51">
        <v>43361</v>
      </c>
      <c r="C859" s="49" t="s">
        <v>2188</v>
      </c>
      <c r="D859" s="49" t="s">
        <v>51</v>
      </c>
      <c r="E859" s="49" t="s">
        <v>3315</v>
      </c>
      <c r="F859" s="49" t="str">
        <f>IFERROR(IF(Tabla1[[#This Row],[CONCEPTO mx]]="","",VLOOKUP(Tabla1[[#This Row],[CONCEPTO mx]],Tabla2[#All],2,0)),"")</f>
        <v>CM40</v>
      </c>
      <c r="G859" s="49" t="str">
        <f>IFERROR(IF(Tabla1[[#This Row],[CONCEPTO mx]]="","",VLOOKUP(Tabla1[[#This Row],[CONCEPTO mx]],Tabla2[#All],3,0)),"")</f>
        <v>SST</v>
      </c>
      <c r="H859" s="49" t="s">
        <v>413</v>
      </c>
      <c r="I859" s="49" t="s">
        <v>2298</v>
      </c>
      <c r="J859" s="53" t="s">
        <v>2820</v>
      </c>
    </row>
    <row r="860" spans="1:10" x14ac:dyDescent="0.25">
      <c r="A860" s="51">
        <v>43362</v>
      </c>
      <c r="C860" s="49" t="s">
        <v>2191</v>
      </c>
      <c r="D860" s="49" t="s">
        <v>51</v>
      </c>
      <c r="F860" s="49" t="str">
        <f>IFERROR(IF(Tabla1[[#This Row],[CONCEPTO mx]]="","",VLOOKUP(Tabla1[[#This Row],[CONCEPTO mx]],Tabla2[#All],2,0)),"")</f>
        <v/>
      </c>
      <c r="G860" s="49" t="str">
        <f>IFERROR(IF(Tabla1[[#This Row],[CONCEPTO mx]]="","",VLOOKUP(Tabla1[[#This Row],[CONCEPTO mx]],Tabla2[#All],3,0)),"")</f>
        <v/>
      </c>
      <c r="H860" s="49" t="s">
        <v>413</v>
      </c>
      <c r="I860" s="49" t="s">
        <v>2298</v>
      </c>
      <c r="J860" s="53" t="s">
        <v>2318</v>
      </c>
    </row>
    <row r="861" spans="1:10" x14ac:dyDescent="0.25">
      <c r="A861" s="51">
        <v>43362</v>
      </c>
      <c r="C861" s="49" t="s">
        <v>488</v>
      </c>
      <c r="D861" s="49" t="s">
        <v>51</v>
      </c>
      <c r="E861" s="49" t="s">
        <v>3315</v>
      </c>
      <c r="F861" s="49" t="str">
        <f>IFERROR(IF(Tabla1[[#This Row],[CONCEPTO mx]]="","",VLOOKUP(Tabla1[[#This Row],[CONCEPTO mx]],Tabla2[#All],2,0)),"")</f>
        <v>CM40</v>
      </c>
      <c r="G861" s="49" t="str">
        <f>IFERROR(IF(Tabla1[[#This Row],[CONCEPTO mx]]="","",VLOOKUP(Tabla1[[#This Row],[CONCEPTO mx]],Tabla2[#All],3,0)),"")</f>
        <v>SST</v>
      </c>
      <c r="H861" s="49" t="s">
        <v>628</v>
      </c>
      <c r="I861" s="49" t="s">
        <v>2339</v>
      </c>
      <c r="J861" s="53"/>
    </row>
    <row r="862" spans="1:10" x14ac:dyDescent="0.25">
      <c r="A862" s="51">
        <v>43362</v>
      </c>
      <c r="C862" s="49" t="s">
        <v>2190</v>
      </c>
      <c r="D862" s="49" t="s">
        <v>2273</v>
      </c>
      <c r="F862" s="49" t="str">
        <f>IFERROR(IF(Tabla1[[#This Row],[CONCEPTO mx]]="","",VLOOKUP(Tabla1[[#This Row],[CONCEPTO mx]],Tabla2[#All],2,0)),"")</f>
        <v/>
      </c>
      <c r="G862" s="49" t="str">
        <f>IFERROR(IF(Tabla1[[#This Row],[CONCEPTO mx]]="","",VLOOKUP(Tabla1[[#This Row],[CONCEPTO mx]],Tabla2[#All],3,0)),"")</f>
        <v/>
      </c>
      <c r="H862" s="49" t="s">
        <v>542</v>
      </c>
      <c r="I862" s="49" t="s">
        <v>2298</v>
      </c>
      <c r="J862" s="53" t="s">
        <v>2794</v>
      </c>
    </row>
    <row r="863" spans="1:10" x14ac:dyDescent="0.25">
      <c r="A863" s="51">
        <v>43363</v>
      </c>
      <c r="C863" s="49" t="s">
        <v>2193</v>
      </c>
      <c r="D863" s="49" t="s">
        <v>51</v>
      </c>
      <c r="E863" s="49" t="s">
        <v>3315</v>
      </c>
      <c r="F863" s="49" t="str">
        <f>IFERROR(IF(Tabla1[[#This Row],[CONCEPTO mx]]="","",VLOOKUP(Tabla1[[#This Row],[CONCEPTO mx]],Tabla2[#All],2,0)),"")</f>
        <v>CM40</v>
      </c>
      <c r="G863" s="49" t="str">
        <f>IFERROR(IF(Tabla1[[#This Row],[CONCEPTO mx]]="","",VLOOKUP(Tabla1[[#This Row],[CONCEPTO mx]],Tabla2[#All],3,0)),"")</f>
        <v>SST</v>
      </c>
      <c r="H863" s="49" t="s">
        <v>438</v>
      </c>
      <c r="I863" s="49" t="s">
        <v>2298</v>
      </c>
      <c r="J863" s="53" t="s">
        <v>2319</v>
      </c>
    </row>
    <row r="864" spans="1:10" x14ac:dyDescent="0.25">
      <c r="A864" s="51">
        <v>43363</v>
      </c>
      <c r="C864" s="49" t="s">
        <v>2192</v>
      </c>
      <c r="D864" s="49" t="s">
        <v>2273</v>
      </c>
      <c r="F864" s="49" t="str">
        <f>IFERROR(IF(Tabla1[[#This Row],[CONCEPTO mx]]="","",VLOOKUP(Tabla1[[#This Row],[CONCEPTO mx]],Tabla2[#All],2,0)),"")</f>
        <v/>
      </c>
      <c r="G864" s="49" t="str">
        <f>IFERROR(IF(Tabla1[[#This Row],[CONCEPTO mx]]="","",VLOOKUP(Tabla1[[#This Row],[CONCEPTO mx]],Tabla2[#All],3,0)),"")</f>
        <v/>
      </c>
      <c r="H864" s="49" t="s">
        <v>439</v>
      </c>
      <c r="I864" s="49" t="s">
        <v>2298</v>
      </c>
      <c r="J864" s="53" t="s">
        <v>2849</v>
      </c>
    </row>
    <row r="865" spans="1:10" x14ac:dyDescent="0.25">
      <c r="A865" s="51">
        <v>43363</v>
      </c>
      <c r="C865" s="49" t="s">
        <v>2195</v>
      </c>
      <c r="D865" s="49" t="s">
        <v>51</v>
      </c>
      <c r="E865" s="49" t="s">
        <v>3315</v>
      </c>
      <c r="F865" s="49" t="str">
        <f>IFERROR(IF(Tabla1[[#This Row],[CONCEPTO mx]]="","",VLOOKUP(Tabla1[[#This Row],[CONCEPTO mx]],Tabla2[#All],2,0)),"")</f>
        <v>CM40</v>
      </c>
      <c r="G865" s="49" t="str">
        <f>IFERROR(IF(Tabla1[[#This Row],[CONCEPTO mx]]="","",VLOOKUP(Tabla1[[#This Row],[CONCEPTO mx]],Tabla2[#All],3,0)),"")</f>
        <v>SST</v>
      </c>
      <c r="H865" s="49" t="s">
        <v>438</v>
      </c>
      <c r="I865" s="49" t="s">
        <v>2298</v>
      </c>
      <c r="J865" s="53" t="s">
        <v>2353</v>
      </c>
    </row>
    <row r="866" spans="1:10" x14ac:dyDescent="0.25">
      <c r="A866" s="51">
        <v>43363</v>
      </c>
      <c r="C866" s="49" t="s">
        <v>2194</v>
      </c>
      <c r="D866" s="49" t="s">
        <v>51</v>
      </c>
      <c r="F866" s="49" t="str">
        <f>IFERROR(IF(Tabla1[[#This Row],[CONCEPTO mx]]="","",VLOOKUP(Tabla1[[#This Row],[CONCEPTO mx]],Tabla2[#All],2,0)),"")</f>
        <v/>
      </c>
      <c r="G866" s="49" t="str">
        <f>IFERROR(IF(Tabla1[[#This Row],[CONCEPTO mx]]="","",VLOOKUP(Tabla1[[#This Row],[CONCEPTO mx]],Tabla2[#All],3,0)),"")</f>
        <v/>
      </c>
      <c r="H866" s="49" t="s">
        <v>542</v>
      </c>
      <c r="I866" s="49" t="s">
        <v>2298</v>
      </c>
      <c r="J866" s="53" t="s">
        <v>2794</v>
      </c>
    </row>
    <row r="867" spans="1:10" x14ac:dyDescent="0.25">
      <c r="A867" s="51">
        <v>43363</v>
      </c>
      <c r="C867" s="49" t="s">
        <v>2180</v>
      </c>
      <c r="D867" s="49" t="s">
        <v>51</v>
      </c>
      <c r="F867" s="49" t="str">
        <f>IFERROR(IF(Tabla1[[#This Row],[CONCEPTO mx]]="","",VLOOKUP(Tabla1[[#This Row],[CONCEPTO mx]],Tabla2[#All],2,0)),"")</f>
        <v/>
      </c>
      <c r="G867" s="49" t="str">
        <f>IFERROR(IF(Tabla1[[#This Row],[CONCEPTO mx]]="","",VLOOKUP(Tabla1[[#This Row],[CONCEPTO mx]],Tabla2[#All],3,0)),"")</f>
        <v/>
      </c>
      <c r="H867" s="49" t="s">
        <v>486</v>
      </c>
      <c r="I867" s="49" t="s">
        <v>2298</v>
      </c>
      <c r="J867" s="53" t="s">
        <v>2409</v>
      </c>
    </row>
    <row r="868" spans="1:10" x14ac:dyDescent="0.25">
      <c r="A868" s="51">
        <v>43364</v>
      </c>
      <c r="C868" s="49" t="s">
        <v>2208</v>
      </c>
      <c r="D868" s="49" t="s">
        <v>2196</v>
      </c>
      <c r="F868" s="49" t="str">
        <f>IFERROR(IF(Tabla1[[#This Row],[CONCEPTO mx]]="","",VLOOKUP(Tabla1[[#This Row],[CONCEPTO mx]],Tabla2[#All],2,0)),"")</f>
        <v/>
      </c>
      <c r="G868" s="49" t="str">
        <f>IFERROR(IF(Tabla1[[#This Row],[CONCEPTO mx]]="","",VLOOKUP(Tabla1[[#This Row],[CONCEPTO mx]],Tabla2[#All],3,0)),"")</f>
        <v/>
      </c>
      <c r="H868" s="49" t="s">
        <v>406</v>
      </c>
      <c r="I868" s="49" t="s">
        <v>2298</v>
      </c>
      <c r="J868" s="53" t="s">
        <v>2314</v>
      </c>
    </row>
    <row r="869" spans="1:10" x14ac:dyDescent="0.25">
      <c r="A869" s="51">
        <v>43364</v>
      </c>
      <c r="C869" s="49" t="s">
        <v>2197</v>
      </c>
      <c r="D869" s="49" t="s">
        <v>51</v>
      </c>
      <c r="F869" s="49" t="str">
        <f>IFERROR(IF(Tabla1[[#This Row],[CONCEPTO mx]]="","",VLOOKUP(Tabla1[[#This Row],[CONCEPTO mx]],Tabla2[#All],2,0)),"")</f>
        <v/>
      </c>
      <c r="G869" s="49" t="str">
        <f>IFERROR(IF(Tabla1[[#This Row],[CONCEPTO mx]]="","",VLOOKUP(Tabla1[[#This Row],[CONCEPTO mx]],Tabla2[#All],3,0)),"")</f>
        <v/>
      </c>
      <c r="H869" s="49" t="s">
        <v>2391</v>
      </c>
      <c r="I869" s="49" t="s">
        <v>2298</v>
      </c>
      <c r="J869" s="53" t="s">
        <v>2866</v>
      </c>
    </row>
    <row r="870" spans="1:10" x14ac:dyDescent="0.25">
      <c r="A870" s="51">
        <v>43364</v>
      </c>
      <c r="C870" s="49" t="s">
        <v>2205</v>
      </c>
      <c r="D870" s="49" t="s">
        <v>51</v>
      </c>
      <c r="F870" s="49" t="str">
        <f>IFERROR(IF(Tabla1[[#This Row],[CONCEPTO mx]]="","",VLOOKUP(Tabla1[[#This Row],[CONCEPTO mx]],Tabla2[#All],2,0)),"")</f>
        <v/>
      </c>
      <c r="G870" s="49" t="str">
        <f>IFERROR(IF(Tabla1[[#This Row],[CONCEPTO mx]]="","",VLOOKUP(Tabla1[[#This Row],[CONCEPTO mx]],Tabla2[#All],3,0)),"")</f>
        <v/>
      </c>
      <c r="H870" s="49" t="s">
        <v>388</v>
      </c>
      <c r="I870" s="49" t="s">
        <v>2298</v>
      </c>
      <c r="J870" s="53" t="s">
        <v>2402</v>
      </c>
    </row>
    <row r="871" spans="1:10" x14ac:dyDescent="0.25">
      <c r="A871" s="51">
        <v>43364</v>
      </c>
      <c r="C871" s="49" t="s">
        <v>2206</v>
      </c>
      <c r="D871" s="49" t="s">
        <v>51</v>
      </c>
      <c r="F871" s="49" t="str">
        <f>IFERROR(IF(Tabla1[[#This Row],[CONCEPTO mx]]="","",VLOOKUP(Tabla1[[#This Row],[CONCEPTO mx]],Tabla2[#All],2,0)),"")</f>
        <v/>
      </c>
      <c r="G871" s="49" t="str">
        <f>IFERROR(IF(Tabla1[[#This Row],[CONCEPTO mx]]="","",VLOOKUP(Tabla1[[#This Row],[CONCEPTO mx]],Tabla2[#All],3,0)),"")</f>
        <v/>
      </c>
      <c r="H871" s="49" t="s">
        <v>343</v>
      </c>
      <c r="I871" s="49" t="s">
        <v>2298</v>
      </c>
      <c r="J871" s="53" t="s">
        <v>2868</v>
      </c>
    </row>
    <row r="872" spans="1:10" x14ac:dyDescent="0.25">
      <c r="A872" s="51">
        <v>43364</v>
      </c>
      <c r="C872" s="49" t="s">
        <v>2202</v>
      </c>
      <c r="D872" s="49" t="s">
        <v>51</v>
      </c>
      <c r="E872" s="49" t="s">
        <v>3315</v>
      </c>
      <c r="F872" s="49" t="str">
        <f>IFERROR(IF(Tabla1[[#This Row],[CONCEPTO mx]]="","",VLOOKUP(Tabla1[[#This Row],[CONCEPTO mx]],Tabla2[#All],2,0)),"")</f>
        <v>CM40</v>
      </c>
      <c r="G872" s="49" t="str">
        <f>IFERROR(IF(Tabla1[[#This Row],[CONCEPTO mx]]="","",VLOOKUP(Tabla1[[#This Row],[CONCEPTO mx]],Tabla2[#All],3,0)),"")</f>
        <v>SST</v>
      </c>
      <c r="H872" s="49" t="s">
        <v>486</v>
      </c>
      <c r="I872" s="49" t="s">
        <v>2298</v>
      </c>
      <c r="J872" s="53" t="s">
        <v>2412</v>
      </c>
    </row>
    <row r="873" spans="1:10" x14ac:dyDescent="0.25">
      <c r="A873" s="51">
        <v>43364</v>
      </c>
      <c r="C873" s="49" t="s">
        <v>2204</v>
      </c>
      <c r="D873" s="49" t="s">
        <v>51</v>
      </c>
      <c r="E873" s="49" t="s">
        <v>3315</v>
      </c>
      <c r="F873" s="49" t="str">
        <f>IFERROR(IF(Tabla1[[#This Row],[CONCEPTO mx]]="","",VLOOKUP(Tabla1[[#This Row],[CONCEPTO mx]],Tabla2[#All],2,0)),"")</f>
        <v>CM40</v>
      </c>
      <c r="G873" s="49" t="str">
        <f>IFERROR(IF(Tabla1[[#This Row],[CONCEPTO mx]]="","",VLOOKUP(Tabla1[[#This Row],[CONCEPTO mx]],Tabla2[#All],3,0)),"")</f>
        <v>SST</v>
      </c>
      <c r="H873" s="49" t="s">
        <v>439</v>
      </c>
      <c r="I873" s="49" t="s">
        <v>2298</v>
      </c>
      <c r="J873" s="53" t="s">
        <v>2353</v>
      </c>
    </row>
    <row r="874" spans="1:10" x14ac:dyDescent="0.25">
      <c r="A874" s="51">
        <v>43364</v>
      </c>
      <c r="C874" s="49" t="s">
        <v>2203</v>
      </c>
      <c r="D874" s="49" t="s">
        <v>51</v>
      </c>
      <c r="E874" s="49" t="s">
        <v>3315</v>
      </c>
      <c r="F874" s="49" t="str">
        <f>IFERROR(IF(Tabla1[[#This Row],[CONCEPTO mx]]="","",VLOOKUP(Tabla1[[#This Row],[CONCEPTO mx]],Tabla2[#All],2,0)),"")</f>
        <v>CM40</v>
      </c>
      <c r="G874" s="49" t="str">
        <f>IFERROR(IF(Tabla1[[#This Row],[CONCEPTO mx]]="","",VLOOKUP(Tabla1[[#This Row],[CONCEPTO mx]],Tabla2[#All],3,0)),"")</f>
        <v>SST</v>
      </c>
      <c r="H874" s="49" t="s">
        <v>550</v>
      </c>
      <c r="I874" s="49" t="s">
        <v>2298</v>
      </c>
      <c r="J874" s="53" t="s">
        <v>2353</v>
      </c>
    </row>
    <row r="875" spans="1:10" x14ac:dyDescent="0.25">
      <c r="A875" s="51">
        <v>43364</v>
      </c>
      <c r="C875" s="49" t="s">
        <v>2207</v>
      </c>
      <c r="D875" s="49" t="s">
        <v>2196</v>
      </c>
      <c r="F875" s="49" t="str">
        <f>IFERROR(IF(Tabla1[[#This Row],[CONCEPTO mx]]="","",VLOOKUP(Tabla1[[#This Row],[CONCEPTO mx]],Tabla2[#All],2,0)),"")</f>
        <v/>
      </c>
      <c r="G875" s="49" t="str">
        <f>IFERROR(IF(Tabla1[[#This Row],[CONCEPTO mx]]="","",VLOOKUP(Tabla1[[#This Row],[CONCEPTO mx]],Tabla2[#All],3,0)),"")</f>
        <v/>
      </c>
      <c r="H875" s="49" t="s">
        <v>413</v>
      </c>
      <c r="I875" s="49" t="s">
        <v>2298</v>
      </c>
      <c r="J875" s="53" t="s">
        <v>2353</v>
      </c>
    </row>
    <row r="876" spans="1:10" x14ac:dyDescent="0.25">
      <c r="A876" s="51">
        <v>43364</v>
      </c>
      <c r="C876" s="49" t="s">
        <v>2198</v>
      </c>
      <c r="D876" s="49" t="s">
        <v>51</v>
      </c>
      <c r="F876" s="49" t="str">
        <f>IFERROR(IF(Tabla1[[#This Row],[CONCEPTO mx]]="","",VLOOKUP(Tabla1[[#This Row],[CONCEPTO mx]],Tabla2[#All],2,0)),"")</f>
        <v/>
      </c>
      <c r="G876" s="49" t="str">
        <f>IFERROR(IF(Tabla1[[#This Row],[CONCEPTO mx]]="","",VLOOKUP(Tabla1[[#This Row],[CONCEPTO mx]],Tabla2[#All],3,0)),"")</f>
        <v/>
      </c>
      <c r="H876" s="49" t="s">
        <v>438</v>
      </c>
      <c r="I876" s="49" t="s">
        <v>2298</v>
      </c>
      <c r="J876" s="53" t="s">
        <v>2412</v>
      </c>
    </row>
    <row r="877" spans="1:10" x14ac:dyDescent="0.25">
      <c r="A877" s="51">
        <v>43364</v>
      </c>
      <c r="C877" s="49" t="s">
        <v>2200</v>
      </c>
      <c r="D877" s="49" t="s">
        <v>51</v>
      </c>
      <c r="E877" s="49" t="s">
        <v>3315</v>
      </c>
      <c r="F877" s="49" t="str">
        <f>IFERROR(IF(Tabla1[[#This Row],[CONCEPTO mx]]="","",VLOOKUP(Tabla1[[#This Row],[CONCEPTO mx]],Tabla2[#All],2,0)),"")</f>
        <v>CM40</v>
      </c>
      <c r="G877" s="49" t="str">
        <f>IFERROR(IF(Tabla1[[#This Row],[CONCEPTO mx]]="","",VLOOKUP(Tabla1[[#This Row],[CONCEPTO mx]],Tabla2[#All],3,0)),"")</f>
        <v>SST</v>
      </c>
      <c r="H877" s="49" t="s">
        <v>387</v>
      </c>
      <c r="I877" s="49" t="s">
        <v>1561</v>
      </c>
      <c r="J877" s="53" t="s">
        <v>2867</v>
      </c>
    </row>
    <row r="878" spans="1:10" x14ac:dyDescent="0.25">
      <c r="A878" s="51">
        <v>43364</v>
      </c>
      <c r="C878" s="49" t="s">
        <v>2199</v>
      </c>
      <c r="D878" s="49" t="s">
        <v>51</v>
      </c>
      <c r="F878" s="49" t="str">
        <f>IFERROR(IF(Tabla1[[#This Row],[CONCEPTO mx]]="","",VLOOKUP(Tabla1[[#This Row],[CONCEPTO mx]],Tabla2[#All],2,0)),"")</f>
        <v/>
      </c>
      <c r="G878" s="49" t="str">
        <f>IFERROR(IF(Tabla1[[#This Row],[CONCEPTO mx]]="","",VLOOKUP(Tabla1[[#This Row],[CONCEPTO mx]],Tabla2[#All],3,0)),"")</f>
        <v/>
      </c>
      <c r="H878" s="49" t="s">
        <v>406</v>
      </c>
      <c r="I878" s="49" t="s">
        <v>2339</v>
      </c>
      <c r="J878" s="53" t="s">
        <v>2512</v>
      </c>
    </row>
    <row r="879" spans="1:10" x14ac:dyDescent="0.25">
      <c r="A879" s="51">
        <v>43364</v>
      </c>
      <c r="C879" s="49" t="s">
        <v>2201</v>
      </c>
      <c r="D879" s="49" t="s">
        <v>51</v>
      </c>
      <c r="E879" s="49" t="s">
        <v>3315</v>
      </c>
      <c r="F879" s="49" t="str">
        <f>IFERROR(IF(Tabla1[[#This Row],[CONCEPTO mx]]="","",VLOOKUP(Tabla1[[#This Row],[CONCEPTO mx]],Tabla2[#All],2,0)),"")</f>
        <v>CM40</v>
      </c>
      <c r="G879" s="49" t="str">
        <f>IFERROR(IF(Tabla1[[#This Row],[CONCEPTO mx]]="","",VLOOKUP(Tabla1[[#This Row],[CONCEPTO mx]],Tabla2[#All],3,0)),"")</f>
        <v>SST</v>
      </c>
      <c r="H879" s="49" t="s">
        <v>438</v>
      </c>
      <c r="I879" s="49" t="s">
        <v>2339</v>
      </c>
      <c r="J879" s="53" t="s">
        <v>2512</v>
      </c>
    </row>
    <row r="880" spans="1:10" x14ac:dyDescent="0.25">
      <c r="A880" s="51">
        <v>43367</v>
      </c>
      <c r="C880" s="49" t="s">
        <v>2214</v>
      </c>
      <c r="D880" s="49" t="s">
        <v>51</v>
      </c>
      <c r="E880" s="49" t="s">
        <v>3315</v>
      </c>
      <c r="F880" s="49" t="str">
        <f>IFERROR(IF(Tabla1[[#This Row],[CONCEPTO mx]]="","",VLOOKUP(Tabla1[[#This Row],[CONCEPTO mx]],Tabla2[#All],2,0)),"")</f>
        <v>CM40</v>
      </c>
      <c r="G880" s="49" t="str">
        <f>IFERROR(IF(Tabla1[[#This Row],[CONCEPTO mx]]="","",VLOOKUP(Tabla1[[#This Row],[CONCEPTO mx]],Tabla2[#All],3,0)),"")</f>
        <v>SST</v>
      </c>
      <c r="H880" s="49" t="s">
        <v>352</v>
      </c>
      <c r="I880" s="49" t="s">
        <v>2298</v>
      </c>
      <c r="J880" s="53" t="s">
        <v>2318</v>
      </c>
    </row>
    <row r="881" spans="1:12" x14ac:dyDescent="0.25">
      <c r="A881" s="51">
        <v>43367</v>
      </c>
      <c r="C881" s="49" t="s">
        <v>2209</v>
      </c>
      <c r="D881" s="49" t="s">
        <v>51</v>
      </c>
      <c r="F881" s="49" t="str">
        <f>IFERROR(IF(Tabla1[[#This Row],[CONCEPTO mx]]="","",VLOOKUP(Tabla1[[#This Row],[CONCEPTO mx]],Tabla2[#All],2,0)),"")</f>
        <v/>
      </c>
      <c r="G881" s="49" t="str">
        <f>IFERROR(IF(Tabla1[[#This Row],[CONCEPTO mx]]="","",VLOOKUP(Tabla1[[#This Row],[CONCEPTO mx]],Tabla2[#All],3,0)),"")</f>
        <v/>
      </c>
      <c r="H881" s="49" t="s">
        <v>388</v>
      </c>
      <c r="I881" s="49" t="s">
        <v>2298</v>
      </c>
      <c r="J881" s="53" t="s">
        <v>2402</v>
      </c>
    </row>
    <row r="882" spans="1:12" x14ac:dyDescent="0.25">
      <c r="A882" s="51">
        <v>43367</v>
      </c>
      <c r="C882" s="49" t="s">
        <v>2213</v>
      </c>
      <c r="E882" s="49" t="s">
        <v>2355</v>
      </c>
      <c r="F882" s="49" t="str">
        <f>IFERROR(IF(Tabla1[[#This Row],[CONCEPTO mx]]="","",VLOOKUP(Tabla1[[#This Row],[CONCEPTO mx]],Tabla2[#All],2,0)),"")</f>
        <v>CM13</v>
      </c>
      <c r="G882" s="49" t="str">
        <f>IFERROR(IF(Tabla1[[#This Row],[CONCEPTO mx]]="","",VLOOKUP(Tabla1[[#This Row],[CONCEPTO mx]],Tabla2[#All],3,0)),"")</f>
        <v>Gestión Humana</v>
      </c>
      <c r="H882" s="49" t="s">
        <v>387</v>
      </c>
      <c r="I882" s="57" t="s">
        <v>2298</v>
      </c>
      <c r="J882" s="53" t="s">
        <v>2341</v>
      </c>
      <c r="K882" s="51">
        <v>43391</v>
      </c>
      <c r="L882" s="49" t="s">
        <v>2286</v>
      </c>
    </row>
    <row r="883" spans="1:12" x14ac:dyDescent="0.25">
      <c r="A883" s="51">
        <v>43367</v>
      </c>
      <c r="C883" s="49" t="s">
        <v>1846</v>
      </c>
      <c r="D883" s="49" t="s">
        <v>51</v>
      </c>
      <c r="F883" s="49" t="str">
        <f>IFERROR(IF(Tabla1[[#This Row],[CONCEPTO mx]]="","",VLOOKUP(Tabla1[[#This Row],[CONCEPTO mx]],Tabla2[#All],2,0)),"")</f>
        <v/>
      </c>
      <c r="G883" s="49" t="str">
        <f>IFERROR(IF(Tabla1[[#This Row],[CONCEPTO mx]]="","",VLOOKUP(Tabla1[[#This Row],[CONCEPTO mx]],Tabla2[#All],3,0)),"")</f>
        <v/>
      </c>
      <c r="H883" s="49" t="s">
        <v>343</v>
      </c>
      <c r="I883" s="49" t="s">
        <v>2298</v>
      </c>
      <c r="J883" s="53" t="s">
        <v>2869</v>
      </c>
    </row>
    <row r="884" spans="1:12" x14ac:dyDescent="0.25">
      <c r="A884" s="51">
        <v>43367</v>
      </c>
      <c r="C884" s="49" t="s">
        <v>2215</v>
      </c>
      <c r="D884" s="49" t="s">
        <v>2273</v>
      </c>
      <c r="F884" s="49" t="str">
        <f>IFERROR(IF(Tabla1[[#This Row],[CONCEPTO mx]]="","",VLOOKUP(Tabla1[[#This Row],[CONCEPTO mx]],Tabla2[#All],2,0)),"")</f>
        <v/>
      </c>
      <c r="G884" s="49" t="str">
        <f>IFERROR(IF(Tabla1[[#This Row],[CONCEPTO mx]]="","",VLOOKUP(Tabla1[[#This Row],[CONCEPTO mx]],Tabla2[#All],3,0)),"")</f>
        <v/>
      </c>
      <c r="H884" s="49" t="s">
        <v>413</v>
      </c>
      <c r="I884" s="49" t="s">
        <v>2298</v>
      </c>
      <c r="J884" s="53" t="s">
        <v>2353</v>
      </c>
    </row>
    <row r="885" spans="1:12" x14ac:dyDescent="0.25">
      <c r="A885" s="51">
        <v>43367</v>
      </c>
      <c r="C885" s="49" t="s">
        <v>2212</v>
      </c>
      <c r="D885" s="49" t="s">
        <v>51</v>
      </c>
      <c r="F885" s="49" t="str">
        <f>IFERROR(IF(Tabla1[[#This Row],[CONCEPTO mx]]="","",VLOOKUP(Tabla1[[#This Row],[CONCEPTO mx]],Tabla2[#All],2,0)),"")</f>
        <v/>
      </c>
      <c r="G885" s="49" t="str">
        <f>IFERROR(IF(Tabla1[[#This Row],[CONCEPTO mx]]="","",VLOOKUP(Tabla1[[#This Row],[CONCEPTO mx]],Tabla2[#All],3,0)),"")</f>
        <v/>
      </c>
      <c r="H885" s="49" t="s">
        <v>413</v>
      </c>
      <c r="I885" s="49" t="s">
        <v>2298</v>
      </c>
      <c r="J885" s="53" t="s">
        <v>2820</v>
      </c>
    </row>
    <row r="886" spans="1:12" x14ac:dyDescent="0.25">
      <c r="A886" s="51">
        <v>43367</v>
      </c>
      <c r="C886" s="49" t="s">
        <v>2211</v>
      </c>
      <c r="D886" s="49" t="s">
        <v>51</v>
      </c>
      <c r="E886" s="49" t="s">
        <v>3315</v>
      </c>
      <c r="F886" s="49" t="str">
        <f>IFERROR(IF(Tabla1[[#This Row],[CONCEPTO mx]]="","",VLOOKUP(Tabla1[[#This Row],[CONCEPTO mx]],Tabla2[#All],2,0)),"")</f>
        <v>CM40</v>
      </c>
      <c r="G886" s="49" t="str">
        <f>IFERROR(IF(Tabla1[[#This Row],[CONCEPTO mx]]="","",VLOOKUP(Tabla1[[#This Row],[CONCEPTO mx]],Tabla2[#All],3,0)),"")</f>
        <v>SST</v>
      </c>
      <c r="H886" s="49" t="s">
        <v>628</v>
      </c>
      <c r="I886" s="49" t="s">
        <v>2298</v>
      </c>
      <c r="J886" s="53" t="s">
        <v>2351</v>
      </c>
    </row>
    <row r="887" spans="1:12" x14ac:dyDescent="0.25">
      <c r="A887" s="51">
        <v>43367</v>
      </c>
      <c r="C887" s="49" t="s">
        <v>2210</v>
      </c>
      <c r="D887" s="49" t="s">
        <v>51</v>
      </c>
      <c r="F887" s="49" t="str">
        <f>IFERROR(IF(Tabla1[[#This Row],[CONCEPTO mx]]="","",VLOOKUP(Tabla1[[#This Row],[CONCEPTO mx]],Tabla2[#All],2,0)),"")</f>
        <v/>
      </c>
      <c r="G887" s="49" t="str">
        <f>IFERROR(IF(Tabla1[[#This Row],[CONCEPTO mx]]="","",VLOOKUP(Tabla1[[#This Row],[CONCEPTO mx]],Tabla2[#All],3,0)),"")</f>
        <v/>
      </c>
      <c r="H887" s="49" t="s">
        <v>352</v>
      </c>
      <c r="I887" s="49" t="s">
        <v>2298</v>
      </c>
      <c r="J887" s="53" t="s">
        <v>2820</v>
      </c>
    </row>
    <row r="888" spans="1:12" x14ac:dyDescent="0.25">
      <c r="A888" s="51">
        <v>43368</v>
      </c>
      <c r="C888" s="49" t="s">
        <v>2222</v>
      </c>
      <c r="D888" s="49" t="s">
        <v>51</v>
      </c>
      <c r="F888" s="49" t="str">
        <f>IFERROR(IF(Tabla1[[#This Row],[CONCEPTO mx]]="","",VLOOKUP(Tabla1[[#This Row],[CONCEPTO mx]],Tabla2[#All],2,0)),"")</f>
        <v/>
      </c>
      <c r="G888" s="49" t="str">
        <f>IFERROR(IF(Tabla1[[#This Row],[CONCEPTO mx]]="","",VLOOKUP(Tabla1[[#This Row],[CONCEPTO mx]],Tabla2[#All],3,0)),"")</f>
        <v/>
      </c>
      <c r="H888" s="49" t="s">
        <v>439</v>
      </c>
      <c r="I888" s="49" t="s">
        <v>2298</v>
      </c>
      <c r="J888" s="53" t="s">
        <v>2353</v>
      </c>
    </row>
    <row r="889" spans="1:12" x14ac:dyDescent="0.25">
      <c r="A889" s="51">
        <v>43368</v>
      </c>
      <c r="C889" s="49" t="s">
        <v>2221</v>
      </c>
      <c r="D889" s="49" t="s">
        <v>2273</v>
      </c>
      <c r="F889" s="49" t="str">
        <f>IFERROR(IF(Tabla1[[#This Row],[CONCEPTO mx]]="","",VLOOKUP(Tabla1[[#This Row],[CONCEPTO mx]],Tabla2[#All],2,0)),"")</f>
        <v/>
      </c>
      <c r="G889" s="49" t="str">
        <f>IFERROR(IF(Tabla1[[#This Row],[CONCEPTO mx]]="","",VLOOKUP(Tabla1[[#This Row],[CONCEPTO mx]],Tabla2[#All],3,0)),"")</f>
        <v/>
      </c>
      <c r="H889" s="49" t="s">
        <v>343</v>
      </c>
      <c r="I889" s="49" t="s">
        <v>2298</v>
      </c>
      <c r="J889" s="53" t="s">
        <v>2402</v>
      </c>
    </row>
    <row r="890" spans="1:12" x14ac:dyDescent="0.25">
      <c r="A890" s="51">
        <v>43368</v>
      </c>
      <c r="C890" s="49" t="s">
        <v>2218</v>
      </c>
      <c r="D890" s="49" t="s">
        <v>51</v>
      </c>
      <c r="E890" s="49" t="s">
        <v>3315</v>
      </c>
      <c r="F890" s="49" t="str">
        <f>IFERROR(IF(Tabla1[[#This Row],[CONCEPTO mx]]="","",VLOOKUP(Tabla1[[#This Row],[CONCEPTO mx]],Tabla2[#All],2,0)),"")</f>
        <v>CM40</v>
      </c>
      <c r="G890" s="49" t="str">
        <f>IFERROR(IF(Tabla1[[#This Row],[CONCEPTO mx]]="","",VLOOKUP(Tabla1[[#This Row],[CONCEPTO mx]],Tabla2[#All],3,0)),"")</f>
        <v>SST</v>
      </c>
      <c r="H890" s="49" t="s">
        <v>470</v>
      </c>
      <c r="I890" s="49" t="s">
        <v>2318</v>
      </c>
      <c r="J890" s="53"/>
    </row>
    <row r="891" spans="1:12" x14ac:dyDescent="0.25">
      <c r="A891" s="51">
        <v>43368</v>
      </c>
      <c r="C891" s="49" t="s">
        <v>2219</v>
      </c>
      <c r="D891" s="49" t="s">
        <v>2273</v>
      </c>
      <c r="F891" s="49" t="str">
        <f>IFERROR(IF(Tabla1[[#This Row],[CONCEPTO mx]]="","",VLOOKUP(Tabla1[[#This Row],[CONCEPTO mx]],Tabla2[#All],2,0)),"")</f>
        <v/>
      </c>
      <c r="G891" s="49" t="str">
        <f>IFERROR(IF(Tabla1[[#This Row],[CONCEPTO mx]]="","",VLOOKUP(Tabla1[[#This Row],[CONCEPTO mx]],Tabla2[#All],3,0)),"")</f>
        <v/>
      </c>
      <c r="H891" s="49" t="s">
        <v>438</v>
      </c>
      <c r="I891" s="49" t="s">
        <v>2298</v>
      </c>
      <c r="J891" s="53" t="s">
        <v>2412</v>
      </c>
    </row>
    <row r="892" spans="1:12" x14ac:dyDescent="0.25">
      <c r="A892" s="51">
        <v>43368</v>
      </c>
      <c r="C892" s="49" t="s">
        <v>2223</v>
      </c>
      <c r="D892" s="49" t="s">
        <v>51</v>
      </c>
      <c r="F892" s="49" t="str">
        <f>IFERROR(IF(Tabla1[[#This Row],[CONCEPTO mx]]="","",VLOOKUP(Tabla1[[#This Row],[CONCEPTO mx]],Tabla2[#All],2,0)),"")</f>
        <v/>
      </c>
      <c r="G892" s="49" t="str">
        <f>IFERROR(IF(Tabla1[[#This Row],[CONCEPTO mx]]="","",VLOOKUP(Tabla1[[#This Row],[CONCEPTO mx]],Tabla2[#All],3,0)),"")</f>
        <v/>
      </c>
      <c r="H892" s="49" t="s">
        <v>438</v>
      </c>
      <c r="I892" s="49" t="s">
        <v>2298</v>
      </c>
      <c r="J892" s="53" t="s">
        <v>2353</v>
      </c>
    </row>
    <row r="893" spans="1:12" x14ac:dyDescent="0.25">
      <c r="A893" s="51">
        <v>43368</v>
      </c>
      <c r="C893" s="49" t="s">
        <v>2220</v>
      </c>
      <c r="D893" s="49" t="s">
        <v>2273</v>
      </c>
      <c r="F893" s="49" t="str">
        <f>IFERROR(IF(Tabla1[[#This Row],[CONCEPTO mx]]="","",VLOOKUP(Tabla1[[#This Row],[CONCEPTO mx]],Tabla2[#All],2,0)),"")</f>
        <v/>
      </c>
      <c r="G893" s="49" t="str">
        <f>IFERROR(IF(Tabla1[[#This Row],[CONCEPTO mx]]="","",VLOOKUP(Tabla1[[#This Row],[CONCEPTO mx]],Tabla2[#All],3,0)),"")</f>
        <v/>
      </c>
      <c r="H893" s="49" t="s">
        <v>486</v>
      </c>
      <c r="I893" s="49" t="s">
        <v>2298</v>
      </c>
      <c r="J893" s="53" t="s">
        <v>2302</v>
      </c>
    </row>
    <row r="894" spans="1:12" x14ac:dyDescent="0.25">
      <c r="A894" s="51">
        <v>43368</v>
      </c>
      <c r="C894" s="49" t="s">
        <v>2217</v>
      </c>
      <c r="D894" s="49" t="s">
        <v>51</v>
      </c>
      <c r="F894" s="49" t="str">
        <f>IFERROR(IF(Tabla1[[#This Row],[CONCEPTO mx]]="","",VLOOKUP(Tabla1[[#This Row],[CONCEPTO mx]],Tabla2[#All],2,0)),"")</f>
        <v/>
      </c>
      <c r="G894" s="49" t="str">
        <f>IFERROR(IF(Tabla1[[#This Row],[CONCEPTO mx]]="","",VLOOKUP(Tabla1[[#This Row],[CONCEPTO mx]],Tabla2[#All],3,0)),"")</f>
        <v/>
      </c>
      <c r="H894" s="49" t="s">
        <v>438</v>
      </c>
      <c r="I894" s="49" t="s">
        <v>2318</v>
      </c>
      <c r="J894" s="53"/>
    </row>
    <row r="895" spans="1:12" x14ac:dyDescent="0.25">
      <c r="A895" s="51">
        <v>43368</v>
      </c>
      <c r="C895" s="49" t="s">
        <v>2216</v>
      </c>
      <c r="D895" s="49" t="s">
        <v>51</v>
      </c>
      <c r="F895" s="49" t="str">
        <f>IFERROR(IF(Tabla1[[#This Row],[CONCEPTO mx]]="","",VLOOKUP(Tabla1[[#This Row],[CONCEPTO mx]],Tabla2[#All],2,0)),"")</f>
        <v/>
      </c>
      <c r="G895" s="49" t="str">
        <f>IFERROR(IF(Tabla1[[#This Row],[CONCEPTO mx]]="","",VLOOKUP(Tabla1[[#This Row],[CONCEPTO mx]],Tabla2[#All],3,0)),"")</f>
        <v/>
      </c>
      <c r="H895" s="49" t="s">
        <v>438</v>
      </c>
      <c r="I895" s="49" t="s">
        <v>2298</v>
      </c>
      <c r="J895" s="53" t="s">
        <v>2351</v>
      </c>
    </row>
    <row r="896" spans="1:12" x14ac:dyDescent="0.25">
      <c r="A896" s="51">
        <v>43369</v>
      </c>
      <c r="C896" s="49" t="s">
        <v>2224</v>
      </c>
      <c r="D896" s="49" t="s">
        <v>2273</v>
      </c>
      <c r="F896" s="49" t="str">
        <f>IFERROR(IF(Tabla1[[#This Row],[CONCEPTO mx]]="","",VLOOKUP(Tabla1[[#This Row],[CONCEPTO mx]],Tabla2[#All],2,0)),"")</f>
        <v/>
      </c>
      <c r="G896" s="49" t="str">
        <f>IFERROR(IF(Tabla1[[#This Row],[CONCEPTO mx]]="","",VLOOKUP(Tabla1[[#This Row],[CONCEPTO mx]],Tabla2[#All],3,0)),"")</f>
        <v/>
      </c>
      <c r="H896" s="49" t="s">
        <v>486</v>
      </c>
      <c r="I896" s="49" t="s">
        <v>2298</v>
      </c>
      <c r="J896" s="53" t="s">
        <v>2788</v>
      </c>
    </row>
    <row r="897" spans="1:12" x14ac:dyDescent="0.25">
      <c r="A897" s="51">
        <v>43369</v>
      </c>
      <c r="C897" s="49" t="s">
        <v>2225</v>
      </c>
      <c r="D897" s="49" t="s">
        <v>2273</v>
      </c>
      <c r="F897" s="49" t="str">
        <f>IFERROR(IF(Tabla1[[#This Row],[CONCEPTO mx]]="","",VLOOKUP(Tabla1[[#This Row],[CONCEPTO mx]],Tabla2[#All],2,0)),"")</f>
        <v/>
      </c>
      <c r="G897" s="49" t="str">
        <f>IFERROR(IF(Tabla1[[#This Row],[CONCEPTO mx]]="","",VLOOKUP(Tabla1[[#This Row],[CONCEPTO mx]],Tabla2[#All],3,0)),"")</f>
        <v/>
      </c>
      <c r="H897" s="49" t="s">
        <v>352</v>
      </c>
      <c r="I897" s="49" t="s">
        <v>2298</v>
      </c>
      <c r="J897" s="53" t="s">
        <v>2314</v>
      </c>
    </row>
    <row r="898" spans="1:12" x14ac:dyDescent="0.25">
      <c r="A898" s="51">
        <v>43370</v>
      </c>
      <c r="C898" s="49" t="s">
        <v>2226</v>
      </c>
      <c r="D898" s="49" t="s">
        <v>2273</v>
      </c>
      <c r="F898" s="49" t="str">
        <f>IFERROR(IF(Tabla1[[#This Row],[CONCEPTO mx]]="","",VLOOKUP(Tabla1[[#This Row],[CONCEPTO mx]],Tabla2[#All],2,0)),"")</f>
        <v/>
      </c>
      <c r="G898" s="49" t="str">
        <f>IFERROR(IF(Tabla1[[#This Row],[CONCEPTO mx]]="","",VLOOKUP(Tabla1[[#This Row],[CONCEPTO mx]],Tabla2[#All],3,0)),"")</f>
        <v/>
      </c>
      <c r="H898" s="49" t="s">
        <v>470</v>
      </c>
      <c r="I898" s="49" t="s">
        <v>2298</v>
      </c>
      <c r="J898" s="53" t="s">
        <v>2314</v>
      </c>
    </row>
    <row r="899" spans="1:12" x14ac:dyDescent="0.25">
      <c r="A899" s="51">
        <v>43370</v>
      </c>
      <c r="C899" s="49" t="s">
        <v>2228</v>
      </c>
      <c r="D899" s="49" t="s">
        <v>51</v>
      </c>
      <c r="F899" s="49" t="str">
        <f>IFERROR(IF(Tabla1[[#This Row],[CONCEPTO mx]]="","",VLOOKUP(Tabla1[[#This Row],[CONCEPTO mx]],Tabla2[#All],2,0)),"")</f>
        <v/>
      </c>
      <c r="G899" s="49" t="str">
        <f>IFERROR(IF(Tabla1[[#This Row],[CONCEPTO mx]]="","",VLOOKUP(Tabla1[[#This Row],[CONCEPTO mx]],Tabla2[#All],3,0)),"")</f>
        <v/>
      </c>
      <c r="H899" s="49" t="s">
        <v>438</v>
      </c>
      <c r="I899" s="49" t="s">
        <v>2298</v>
      </c>
      <c r="J899" s="53" t="s">
        <v>2858</v>
      </c>
    </row>
    <row r="900" spans="1:12" x14ac:dyDescent="0.25">
      <c r="A900" s="51">
        <v>43370</v>
      </c>
      <c r="C900" s="49" t="s">
        <v>2227</v>
      </c>
      <c r="D900" s="49" t="s">
        <v>51</v>
      </c>
      <c r="F900" s="49" t="str">
        <f>IFERROR(IF(Tabla1[[#This Row],[CONCEPTO mx]]="","",VLOOKUP(Tabla1[[#This Row],[CONCEPTO mx]],Tabla2[#All],2,0)),"")</f>
        <v/>
      </c>
      <c r="G900" s="49" t="str">
        <f>IFERROR(IF(Tabla1[[#This Row],[CONCEPTO mx]]="","",VLOOKUP(Tabla1[[#This Row],[CONCEPTO mx]],Tabla2[#All],3,0)),"")</f>
        <v/>
      </c>
      <c r="H900" s="49" t="s">
        <v>486</v>
      </c>
      <c r="I900" s="49" t="s">
        <v>2298</v>
      </c>
      <c r="J900" s="53" t="s">
        <v>2351</v>
      </c>
    </row>
    <row r="901" spans="1:12" x14ac:dyDescent="0.25">
      <c r="A901" s="51">
        <v>43371</v>
      </c>
      <c r="C901" s="49" t="s">
        <v>2238</v>
      </c>
      <c r="D901" s="49" t="s">
        <v>51</v>
      </c>
      <c r="F901" s="49" t="str">
        <f>IFERROR(IF(Tabla1[[#This Row],[CONCEPTO mx]]="","",VLOOKUP(Tabla1[[#This Row],[CONCEPTO mx]],Tabla2[#All],2,0)),"")</f>
        <v/>
      </c>
      <c r="G901" s="49" t="str">
        <f>IFERROR(IF(Tabla1[[#This Row],[CONCEPTO mx]]="","",VLOOKUP(Tabla1[[#This Row],[CONCEPTO mx]],Tabla2[#All],3,0)),"")</f>
        <v/>
      </c>
      <c r="H901" s="49" t="s">
        <v>406</v>
      </c>
      <c r="I901" s="49" t="s">
        <v>2298</v>
      </c>
      <c r="J901" s="53" t="s">
        <v>2402</v>
      </c>
    </row>
    <row r="902" spans="1:12" x14ac:dyDescent="0.25">
      <c r="A902" s="51">
        <v>43371</v>
      </c>
      <c r="C902" s="49" t="s">
        <v>2232</v>
      </c>
      <c r="D902" s="49" t="s">
        <v>51</v>
      </c>
      <c r="F902" s="49" t="str">
        <f>IFERROR(IF(Tabla1[[#This Row],[CONCEPTO mx]]="","",VLOOKUP(Tabla1[[#This Row],[CONCEPTO mx]],Tabla2[#All],2,0)),"")</f>
        <v/>
      </c>
      <c r="G902" s="49" t="str">
        <f>IFERROR(IF(Tabla1[[#This Row],[CONCEPTO mx]]="","",VLOOKUP(Tabla1[[#This Row],[CONCEPTO mx]],Tabla2[#All],3,0)),"")</f>
        <v/>
      </c>
      <c r="H902" s="49" t="s">
        <v>628</v>
      </c>
      <c r="I902" s="49" t="s">
        <v>2320</v>
      </c>
      <c r="J902" s="53"/>
    </row>
    <row r="903" spans="1:12" x14ac:dyDescent="0.25">
      <c r="A903" s="51">
        <v>43371</v>
      </c>
      <c r="C903" s="49" t="s">
        <v>2229</v>
      </c>
      <c r="D903" s="49" t="s">
        <v>51</v>
      </c>
      <c r="F903" s="49" t="str">
        <f>IFERROR(IF(Tabla1[[#This Row],[CONCEPTO mx]]="","",VLOOKUP(Tabla1[[#This Row],[CONCEPTO mx]],Tabla2[#All],2,0)),"")</f>
        <v/>
      </c>
      <c r="G903" s="49" t="str">
        <f>IFERROR(IF(Tabla1[[#This Row],[CONCEPTO mx]]="","",VLOOKUP(Tabla1[[#This Row],[CONCEPTO mx]],Tabla2[#All],3,0)),"")</f>
        <v/>
      </c>
      <c r="H903" s="49" t="s">
        <v>470</v>
      </c>
      <c r="I903" s="49" t="s">
        <v>2298</v>
      </c>
      <c r="J903" s="53" t="s">
        <v>2794</v>
      </c>
    </row>
    <row r="904" spans="1:12" x14ac:dyDescent="0.25">
      <c r="A904" s="51">
        <v>43371</v>
      </c>
      <c r="C904" s="49" t="s">
        <v>2233</v>
      </c>
      <c r="D904" s="49" t="s">
        <v>51</v>
      </c>
      <c r="E904" s="49" t="s">
        <v>3315</v>
      </c>
      <c r="F904" s="49" t="str">
        <f>IFERROR(IF(Tabla1[[#This Row],[CONCEPTO mx]]="","",VLOOKUP(Tabla1[[#This Row],[CONCEPTO mx]],Tabla2[#All],2,0)),"")</f>
        <v>CM40</v>
      </c>
      <c r="G904" s="49" t="str">
        <f>IFERROR(IF(Tabla1[[#This Row],[CONCEPTO mx]]="","",VLOOKUP(Tabla1[[#This Row],[CONCEPTO mx]],Tabla2[#All],3,0)),"")</f>
        <v>SST</v>
      </c>
      <c r="H904" s="49" t="s">
        <v>334</v>
      </c>
      <c r="I904" s="49" t="s">
        <v>2298</v>
      </c>
      <c r="J904" s="53" t="s">
        <v>2314</v>
      </c>
    </row>
    <row r="905" spans="1:12" x14ac:dyDescent="0.25">
      <c r="A905" s="51">
        <v>43371</v>
      </c>
      <c r="C905" s="49" t="s">
        <v>2237</v>
      </c>
      <c r="D905" s="49" t="s">
        <v>51</v>
      </c>
      <c r="E905" s="49" t="s">
        <v>3315</v>
      </c>
      <c r="F905" s="49" t="str">
        <f>IFERROR(IF(Tabla1[[#This Row],[CONCEPTO mx]]="","",VLOOKUP(Tabla1[[#This Row],[CONCEPTO mx]],Tabla2[#All],2,0)),"")</f>
        <v>CM40</v>
      </c>
      <c r="G905" s="49" t="str">
        <f>IFERROR(IF(Tabla1[[#This Row],[CONCEPTO mx]]="","",VLOOKUP(Tabla1[[#This Row],[CONCEPTO mx]],Tabla2[#All],3,0)),"")</f>
        <v>SST</v>
      </c>
      <c r="H905" s="49" t="s">
        <v>387</v>
      </c>
      <c r="I905" s="49" t="s">
        <v>2298</v>
      </c>
      <c r="J905" s="53" t="s">
        <v>2314</v>
      </c>
    </row>
    <row r="906" spans="1:12" x14ac:dyDescent="0.25">
      <c r="A906" s="51">
        <v>43371</v>
      </c>
      <c r="C906" s="49" t="s">
        <v>2235</v>
      </c>
      <c r="D906" s="49" t="s">
        <v>51</v>
      </c>
      <c r="F906" s="49" t="str">
        <f>IFERROR(IF(Tabla1[[#This Row],[CONCEPTO mx]]="","",VLOOKUP(Tabla1[[#This Row],[CONCEPTO mx]],Tabla2[#All],2,0)),"")</f>
        <v/>
      </c>
      <c r="G906" s="49" t="str">
        <f>IFERROR(IF(Tabla1[[#This Row],[CONCEPTO mx]]="","",VLOOKUP(Tabla1[[#This Row],[CONCEPTO mx]],Tabla2[#All],3,0)),"")</f>
        <v/>
      </c>
      <c r="H906" s="49" t="s">
        <v>387</v>
      </c>
      <c r="I906" s="49" t="s">
        <v>2298</v>
      </c>
      <c r="J906" s="53" t="s">
        <v>2351</v>
      </c>
    </row>
    <row r="907" spans="1:12" x14ac:dyDescent="0.25">
      <c r="A907" s="51">
        <v>43371</v>
      </c>
      <c r="C907" s="49" t="s">
        <v>2234</v>
      </c>
      <c r="D907" s="49" t="s">
        <v>51</v>
      </c>
      <c r="E907" s="49" t="s">
        <v>3315</v>
      </c>
      <c r="F907" s="49" t="str">
        <f>IFERROR(IF(Tabla1[[#This Row],[CONCEPTO mx]]="","",VLOOKUP(Tabla1[[#This Row],[CONCEPTO mx]],Tabla2[#All],2,0)),"")</f>
        <v>CM40</v>
      </c>
      <c r="G907" s="49" t="str">
        <f>IFERROR(IF(Tabla1[[#This Row],[CONCEPTO mx]]="","",VLOOKUP(Tabla1[[#This Row],[CONCEPTO mx]],Tabla2[#All],3,0)),"")</f>
        <v>SST</v>
      </c>
      <c r="H907" s="49" t="s">
        <v>343</v>
      </c>
      <c r="I907" s="49" t="s">
        <v>2339</v>
      </c>
      <c r="J907" s="53"/>
    </row>
    <row r="908" spans="1:12" x14ac:dyDescent="0.25">
      <c r="A908" s="51">
        <v>43371</v>
      </c>
      <c r="C908" s="49" t="s">
        <v>2236</v>
      </c>
      <c r="D908" s="49" t="s">
        <v>51</v>
      </c>
      <c r="E908" s="49" t="s">
        <v>3315</v>
      </c>
      <c r="F908" s="49" t="str">
        <f>IFERROR(IF(Tabla1[[#This Row],[CONCEPTO mx]]="","",VLOOKUP(Tabla1[[#This Row],[CONCEPTO mx]],Tabla2[#All],2,0)),"")</f>
        <v>CM40</v>
      </c>
      <c r="G908" s="49" t="str">
        <f>IFERROR(IF(Tabla1[[#This Row],[CONCEPTO mx]]="","",VLOOKUP(Tabla1[[#This Row],[CONCEPTO mx]],Tabla2[#All],3,0)),"")</f>
        <v>SST</v>
      </c>
      <c r="H908" s="49" t="s">
        <v>528</v>
      </c>
      <c r="I908" s="49" t="s">
        <v>2339</v>
      </c>
      <c r="J908" s="53"/>
    </row>
    <row r="909" spans="1:12" x14ac:dyDescent="0.25">
      <c r="A909" s="51">
        <v>43371</v>
      </c>
      <c r="C909" s="49" t="s">
        <v>2230</v>
      </c>
      <c r="D909" s="49" t="s">
        <v>51</v>
      </c>
      <c r="F909" s="49" t="str">
        <f>IFERROR(IF(Tabla1[[#This Row],[CONCEPTO mx]]="","",VLOOKUP(Tabla1[[#This Row],[CONCEPTO mx]],Tabla2[#All],2,0)),"")</f>
        <v/>
      </c>
      <c r="G909" s="49" t="str">
        <f>IFERROR(IF(Tabla1[[#This Row],[CONCEPTO mx]]="","",VLOOKUP(Tabla1[[#This Row],[CONCEPTO mx]],Tabla2[#All],3,0)),"")</f>
        <v/>
      </c>
      <c r="H909" s="49" t="s">
        <v>2394</v>
      </c>
      <c r="I909" s="49" t="s">
        <v>2339</v>
      </c>
      <c r="J909" s="53"/>
    </row>
    <row r="910" spans="1:12" x14ac:dyDescent="0.25">
      <c r="A910" s="51">
        <v>43371</v>
      </c>
      <c r="C910" s="49" t="s">
        <v>2231</v>
      </c>
      <c r="E910" s="49" t="s">
        <v>2355</v>
      </c>
      <c r="F910" s="49" t="str">
        <f>IFERROR(IF(Tabla1[[#This Row],[CONCEPTO mx]]="","",VLOOKUP(Tabla1[[#This Row],[CONCEPTO mx]],Tabla2[#All],2,0)),"")</f>
        <v>CM13</v>
      </c>
      <c r="G910" s="49" t="str">
        <f>IFERROR(IF(Tabla1[[#This Row],[CONCEPTO mx]]="","",VLOOKUP(Tabla1[[#This Row],[CONCEPTO mx]],Tabla2[#All],3,0)),"")</f>
        <v>Gestión Humana</v>
      </c>
      <c r="H910" s="49" t="s">
        <v>406</v>
      </c>
      <c r="I910" s="57" t="s">
        <v>2339</v>
      </c>
      <c r="J910" s="53"/>
      <c r="K910" s="51">
        <v>43382</v>
      </c>
      <c r="L910" s="49" t="s">
        <v>2284</v>
      </c>
    </row>
    <row r="911" spans="1:12" x14ac:dyDescent="0.25">
      <c r="A911" s="51">
        <v>43374</v>
      </c>
      <c r="C911" s="49" t="s">
        <v>2239</v>
      </c>
      <c r="E911" s="49" t="s">
        <v>2355</v>
      </c>
      <c r="F911" s="49" t="str">
        <f>IFERROR(IF(Tabla1[[#This Row],[CONCEPTO mx]]="","",VLOOKUP(Tabla1[[#This Row],[CONCEPTO mx]],Tabla2[#All],2,0)),"")</f>
        <v>CM13</v>
      </c>
      <c r="G911" s="49" t="str">
        <f>IFERROR(IF(Tabla1[[#This Row],[CONCEPTO mx]]="","",VLOOKUP(Tabla1[[#This Row],[CONCEPTO mx]],Tabla2[#All],3,0)),"")</f>
        <v>Gestión Humana</v>
      </c>
      <c r="H911" s="49" t="s">
        <v>438</v>
      </c>
      <c r="I911" s="57" t="s">
        <v>2298</v>
      </c>
      <c r="J911" s="53" t="s">
        <v>2843</v>
      </c>
      <c r="K911" s="51">
        <v>43382</v>
      </c>
      <c r="L911" s="49" t="s">
        <v>2286</v>
      </c>
    </row>
    <row r="912" spans="1:12" x14ac:dyDescent="0.25">
      <c r="A912" s="51">
        <v>43374</v>
      </c>
      <c r="C912" s="49" t="s">
        <v>2241</v>
      </c>
      <c r="D912" s="49" t="s">
        <v>51</v>
      </c>
      <c r="F912" s="49" t="str">
        <f>IFERROR(IF(Tabla1[[#This Row],[CONCEPTO mx]]="","",VLOOKUP(Tabla1[[#This Row],[CONCEPTO mx]],Tabla2[#All],2,0)),"")</f>
        <v/>
      </c>
      <c r="G912" s="49" t="str">
        <f>IFERROR(IF(Tabla1[[#This Row],[CONCEPTO mx]]="","",VLOOKUP(Tabla1[[#This Row],[CONCEPTO mx]],Tabla2[#All],3,0)),"")</f>
        <v/>
      </c>
      <c r="H912" s="49" t="s">
        <v>352</v>
      </c>
      <c r="I912" s="49" t="s">
        <v>2298</v>
      </c>
      <c r="J912" s="53"/>
    </row>
    <row r="913" spans="1:12" x14ac:dyDescent="0.25">
      <c r="A913" s="51">
        <v>43374</v>
      </c>
      <c r="C913" s="49" t="s">
        <v>2242</v>
      </c>
      <c r="E913" s="49" t="s">
        <v>2355</v>
      </c>
      <c r="F913" s="49" t="str">
        <f>IFERROR(IF(Tabla1[[#This Row],[CONCEPTO mx]]="","",VLOOKUP(Tabla1[[#This Row],[CONCEPTO mx]],Tabla2[#All],2,0)),"")</f>
        <v>CM13</v>
      </c>
      <c r="G913" s="49" t="str">
        <f>IFERROR(IF(Tabla1[[#This Row],[CONCEPTO mx]]="","",VLOOKUP(Tabla1[[#This Row],[CONCEPTO mx]],Tabla2[#All],3,0)),"")</f>
        <v>Gestión Humana</v>
      </c>
      <c r="H913" s="49" t="s">
        <v>387</v>
      </c>
      <c r="I913" s="57" t="s">
        <v>2298</v>
      </c>
      <c r="J913" s="53" t="s">
        <v>2849</v>
      </c>
      <c r="K913" s="51">
        <v>43383</v>
      </c>
      <c r="L913" s="49" t="s">
        <v>2286</v>
      </c>
    </row>
    <row r="914" spans="1:12" x14ac:dyDescent="0.25">
      <c r="A914" s="51">
        <v>43374</v>
      </c>
      <c r="C914" s="49" t="s">
        <v>2240</v>
      </c>
      <c r="D914" s="49" t="s">
        <v>51</v>
      </c>
      <c r="E914" s="49" t="s">
        <v>3315</v>
      </c>
      <c r="F914" s="49" t="str">
        <f>IFERROR(IF(Tabla1[[#This Row],[CONCEPTO mx]]="","",VLOOKUP(Tabla1[[#This Row],[CONCEPTO mx]],Tabla2[#All],2,0)),"")</f>
        <v>CM40</v>
      </c>
      <c r="G914" s="49" t="str">
        <f>IFERROR(IF(Tabla1[[#This Row],[CONCEPTO mx]]="","",VLOOKUP(Tabla1[[#This Row],[CONCEPTO mx]],Tabla2[#All],3,0)),"")</f>
        <v>SST</v>
      </c>
      <c r="H914" s="49" t="s">
        <v>486</v>
      </c>
      <c r="I914" s="49" t="s">
        <v>2298</v>
      </c>
      <c r="J914" s="53" t="s">
        <v>2870</v>
      </c>
    </row>
    <row r="915" spans="1:12" x14ac:dyDescent="0.25">
      <c r="A915" s="51">
        <v>43376</v>
      </c>
      <c r="C915" s="49" t="s">
        <v>2251</v>
      </c>
      <c r="D915" s="49" t="s">
        <v>51</v>
      </c>
      <c r="F915" s="49" t="str">
        <f>IFERROR(IF(Tabla1[[#This Row],[CONCEPTO mx]]="","",VLOOKUP(Tabla1[[#This Row],[CONCEPTO mx]],Tabla2[#All],2,0)),"")</f>
        <v/>
      </c>
      <c r="G915" s="49" t="str">
        <f>IFERROR(IF(Tabla1[[#This Row],[CONCEPTO mx]]="","",VLOOKUP(Tabla1[[#This Row],[CONCEPTO mx]],Tabla2[#All],3,0)),"")</f>
        <v/>
      </c>
      <c r="H915" s="49" t="s">
        <v>438</v>
      </c>
      <c r="I915" s="49" t="s">
        <v>2298</v>
      </c>
      <c r="J915" s="53" t="s">
        <v>2858</v>
      </c>
    </row>
    <row r="916" spans="1:12" x14ac:dyDescent="0.25">
      <c r="A916" s="51">
        <v>43376</v>
      </c>
      <c r="C916" s="49" t="s">
        <v>2243</v>
      </c>
      <c r="D916" s="49" t="s">
        <v>51</v>
      </c>
      <c r="F916" s="49" t="str">
        <f>IFERROR(IF(Tabla1[[#This Row],[CONCEPTO mx]]="","",VLOOKUP(Tabla1[[#This Row],[CONCEPTO mx]],Tabla2[#All],2,0)),"")</f>
        <v/>
      </c>
      <c r="G916" s="49" t="str">
        <f>IFERROR(IF(Tabla1[[#This Row],[CONCEPTO mx]]="","",VLOOKUP(Tabla1[[#This Row],[CONCEPTO mx]],Tabla2[#All],3,0)),"")</f>
        <v/>
      </c>
      <c r="H916" s="49" t="s">
        <v>387</v>
      </c>
      <c r="I916" s="49" t="s">
        <v>2298</v>
      </c>
      <c r="J916" s="53" t="s">
        <v>2353</v>
      </c>
    </row>
    <row r="917" spans="1:12" x14ac:dyDescent="0.25">
      <c r="A917" s="51">
        <v>43376</v>
      </c>
      <c r="C917" s="49" t="s">
        <v>2254</v>
      </c>
      <c r="D917" s="49" t="s">
        <v>51</v>
      </c>
      <c r="E917" s="49" t="s">
        <v>3315</v>
      </c>
      <c r="F917" s="49" t="str">
        <f>IFERROR(IF(Tabla1[[#This Row],[CONCEPTO mx]]="","",VLOOKUP(Tabla1[[#This Row],[CONCEPTO mx]],Tabla2[#All],2,0)),"")</f>
        <v>CM40</v>
      </c>
      <c r="G917" s="49" t="str">
        <f>IFERROR(IF(Tabla1[[#This Row],[CONCEPTO mx]]="","",VLOOKUP(Tabla1[[#This Row],[CONCEPTO mx]],Tabla2[#All],3,0)),"")</f>
        <v>SST</v>
      </c>
      <c r="H917" s="49" t="s">
        <v>486</v>
      </c>
      <c r="I917" s="49" t="s">
        <v>2298</v>
      </c>
      <c r="J917" s="53" t="s">
        <v>2341</v>
      </c>
    </row>
    <row r="918" spans="1:12" x14ac:dyDescent="0.25">
      <c r="A918" s="51">
        <v>43376</v>
      </c>
      <c r="C918" s="49" t="s">
        <v>2250</v>
      </c>
      <c r="D918" s="49" t="s">
        <v>2273</v>
      </c>
      <c r="F918" s="49" t="str">
        <f>IFERROR(IF(Tabla1[[#This Row],[CONCEPTO mx]]="","",VLOOKUP(Tabla1[[#This Row],[CONCEPTO mx]],Tabla2[#All],2,0)),"")</f>
        <v/>
      </c>
      <c r="G918" s="49" t="str">
        <f>IFERROR(IF(Tabla1[[#This Row],[CONCEPTO mx]]="","",VLOOKUP(Tabla1[[#This Row],[CONCEPTO mx]],Tabla2[#All],3,0)),"")</f>
        <v/>
      </c>
      <c r="H918" s="49" t="s">
        <v>406</v>
      </c>
      <c r="I918" s="49" t="s">
        <v>2298</v>
      </c>
      <c r="J918" s="53" t="s">
        <v>2402</v>
      </c>
    </row>
    <row r="919" spans="1:12" x14ac:dyDescent="0.25">
      <c r="A919" s="51">
        <v>43376</v>
      </c>
      <c r="C919" s="49" t="s">
        <v>2244</v>
      </c>
      <c r="D919" s="49" t="s">
        <v>51</v>
      </c>
      <c r="F919" s="49" t="str">
        <f>IFERROR(IF(Tabla1[[#This Row],[CONCEPTO mx]]="","",VLOOKUP(Tabla1[[#This Row],[CONCEPTO mx]],Tabla2[#All],2,0)),"")</f>
        <v/>
      </c>
      <c r="G919" s="49" t="str">
        <f>IFERROR(IF(Tabla1[[#This Row],[CONCEPTO mx]]="","",VLOOKUP(Tabla1[[#This Row],[CONCEPTO mx]],Tabla2[#All],3,0)),"")</f>
        <v/>
      </c>
      <c r="H919" s="49" t="s">
        <v>343</v>
      </c>
      <c r="I919" s="49" t="s">
        <v>2298</v>
      </c>
      <c r="J919" s="53" t="s">
        <v>2840</v>
      </c>
    </row>
    <row r="920" spans="1:12" x14ac:dyDescent="0.25">
      <c r="A920" s="51">
        <v>43376</v>
      </c>
      <c r="C920" s="49" t="s">
        <v>2245</v>
      </c>
      <c r="D920" s="49" t="s">
        <v>51</v>
      </c>
      <c r="F920" s="49" t="str">
        <f>IFERROR(IF(Tabla1[[#This Row],[CONCEPTO mx]]="","",VLOOKUP(Tabla1[[#This Row],[CONCEPTO mx]],Tabla2[#All],2,0)),"")</f>
        <v/>
      </c>
      <c r="G920" s="49" t="str">
        <f>IFERROR(IF(Tabla1[[#This Row],[CONCEPTO mx]]="","",VLOOKUP(Tabla1[[#This Row],[CONCEPTO mx]],Tabla2[#All],3,0)),"")</f>
        <v/>
      </c>
      <c r="H920" s="49" t="s">
        <v>406</v>
      </c>
      <c r="I920" s="49" t="s">
        <v>2298</v>
      </c>
      <c r="J920" s="53" t="s">
        <v>2302</v>
      </c>
    </row>
    <row r="921" spans="1:12" x14ac:dyDescent="0.25">
      <c r="A921" s="51">
        <v>43376</v>
      </c>
      <c r="C921" s="49" t="s">
        <v>2253</v>
      </c>
      <c r="D921" s="49" t="s">
        <v>51</v>
      </c>
      <c r="E921" s="49" t="s">
        <v>3315</v>
      </c>
      <c r="F921" s="49" t="str">
        <f>IFERROR(IF(Tabla1[[#This Row],[CONCEPTO mx]]="","",VLOOKUP(Tabla1[[#This Row],[CONCEPTO mx]],Tabla2[#All],2,0)),"")</f>
        <v>CM40</v>
      </c>
      <c r="G921" s="49" t="str">
        <f>IFERROR(IF(Tabla1[[#This Row],[CONCEPTO mx]]="","",VLOOKUP(Tabla1[[#This Row],[CONCEPTO mx]],Tabla2[#All],3,0)),"")</f>
        <v>SST</v>
      </c>
      <c r="H921" s="49" t="s">
        <v>438</v>
      </c>
      <c r="I921" s="49" t="s">
        <v>2339</v>
      </c>
      <c r="J921" s="53"/>
    </row>
    <row r="922" spans="1:12" x14ac:dyDescent="0.25">
      <c r="A922" s="51">
        <v>43376</v>
      </c>
      <c r="C922" s="49" t="s">
        <v>2246</v>
      </c>
      <c r="D922" s="49" t="s">
        <v>2001</v>
      </c>
      <c r="F922" s="49" t="str">
        <f>IFERROR(IF(Tabla1[[#This Row],[CONCEPTO mx]]="","",VLOOKUP(Tabla1[[#This Row],[CONCEPTO mx]],Tabla2[#All],2,0)),"")</f>
        <v/>
      </c>
      <c r="G922" s="49" t="str">
        <f>IFERROR(IF(Tabla1[[#This Row],[CONCEPTO mx]]="","",VLOOKUP(Tabla1[[#This Row],[CONCEPTO mx]],Tabla2[#All],3,0)),"")</f>
        <v/>
      </c>
      <c r="H922" s="49" t="s">
        <v>406</v>
      </c>
      <c r="I922" s="49" t="s">
        <v>2298</v>
      </c>
      <c r="J922" s="53" t="s">
        <v>2302</v>
      </c>
    </row>
    <row r="923" spans="1:12" x14ac:dyDescent="0.25">
      <c r="A923" s="51">
        <v>43376</v>
      </c>
      <c r="C923" s="49" t="s">
        <v>2247</v>
      </c>
      <c r="D923" s="49" t="s">
        <v>2273</v>
      </c>
      <c r="F923" s="49" t="str">
        <f>IFERROR(IF(Tabla1[[#This Row],[CONCEPTO mx]]="","",VLOOKUP(Tabla1[[#This Row],[CONCEPTO mx]],Tabla2[#All],2,0)),"")</f>
        <v/>
      </c>
      <c r="G923" s="49" t="str">
        <f>IFERROR(IF(Tabla1[[#This Row],[CONCEPTO mx]]="","",VLOOKUP(Tabla1[[#This Row],[CONCEPTO mx]],Tabla2[#All],3,0)),"")</f>
        <v/>
      </c>
      <c r="H923" s="49" t="s">
        <v>406</v>
      </c>
      <c r="I923" s="49" t="s">
        <v>2298</v>
      </c>
      <c r="J923" s="53" t="s">
        <v>2353</v>
      </c>
    </row>
    <row r="924" spans="1:12" x14ac:dyDescent="0.25">
      <c r="A924" s="51">
        <v>43376</v>
      </c>
      <c r="C924" s="49" t="s">
        <v>2248</v>
      </c>
      <c r="D924" s="49" t="s">
        <v>6</v>
      </c>
      <c r="E924" s="52" t="s">
        <v>2513</v>
      </c>
      <c r="F924" s="52" t="str">
        <f>IFERROR(IF(Tabla1[[#This Row],[CONCEPTO mx]]="","",VLOOKUP(Tabla1[[#This Row],[CONCEPTO mx]],Tabla2[#All],2,0)),"")</f>
        <v/>
      </c>
      <c r="G924" s="52" t="str">
        <f>IFERROR(IF(Tabla1[[#This Row],[CONCEPTO mx]]="","",VLOOKUP(Tabla1[[#This Row],[CONCEPTO mx]],Tabla2[#All],3,0)),"")</f>
        <v/>
      </c>
      <c r="H924" s="49" t="s">
        <v>343</v>
      </c>
      <c r="I924" s="49" t="s">
        <v>2339</v>
      </c>
      <c r="J924" s="53"/>
    </row>
    <row r="925" spans="1:12" x14ac:dyDescent="0.25">
      <c r="A925" s="51">
        <v>43376</v>
      </c>
      <c r="C925" s="49" t="s">
        <v>2249</v>
      </c>
      <c r="D925" s="49" t="s">
        <v>2273</v>
      </c>
      <c r="F925" s="49" t="str">
        <f>IFERROR(IF(Tabla1[[#This Row],[CONCEPTO mx]]="","",VLOOKUP(Tabla1[[#This Row],[CONCEPTO mx]],Tabla2[#All],2,0)),"")</f>
        <v/>
      </c>
      <c r="G925" s="49" t="str">
        <f>IFERROR(IF(Tabla1[[#This Row],[CONCEPTO mx]]="","",VLOOKUP(Tabla1[[#This Row],[CONCEPTO mx]],Tabla2[#All],3,0)),"")</f>
        <v/>
      </c>
      <c r="H925" s="49" t="s">
        <v>2393</v>
      </c>
      <c r="I925" s="49" t="s">
        <v>2298</v>
      </c>
      <c r="J925" s="53" t="s">
        <v>2858</v>
      </c>
    </row>
    <row r="926" spans="1:12" x14ac:dyDescent="0.25">
      <c r="A926" s="51">
        <v>43376</v>
      </c>
      <c r="C926" s="49" t="s">
        <v>2252</v>
      </c>
      <c r="E926" s="49" t="s">
        <v>2355</v>
      </c>
      <c r="F926" s="49" t="str">
        <f>IFERROR(IF(Tabla1[[#This Row],[CONCEPTO mx]]="","",VLOOKUP(Tabla1[[#This Row],[CONCEPTO mx]],Tabla2[#All],2,0)),"")</f>
        <v>CM13</v>
      </c>
      <c r="G926" s="49" t="str">
        <f>IFERROR(IF(Tabla1[[#This Row],[CONCEPTO mx]]="","",VLOOKUP(Tabla1[[#This Row],[CONCEPTO mx]],Tabla2[#All],3,0)),"")</f>
        <v>Gestión Humana</v>
      </c>
      <c r="H926" s="49" t="s">
        <v>486</v>
      </c>
      <c r="I926" s="57" t="s">
        <v>2298</v>
      </c>
      <c r="J926" s="53" t="s">
        <v>2871</v>
      </c>
      <c r="K926" s="51">
        <v>43383</v>
      </c>
      <c r="L926" s="49" t="s">
        <v>2286</v>
      </c>
    </row>
    <row r="927" spans="1:12" x14ac:dyDescent="0.25">
      <c r="A927" s="51">
        <v>43377</v>
      </c>
      <c r="C927" s="49" t="s">
        <v>2260</v>
      </c>
      <c r="D927" s="49" t="s">
        <v>51</v>
      </c>
      <c r="F927" s="49" t="str">
        <f>IFERROR(IF(Tabla1[[#This Row],[CONCEPTO mx]]="","",VLOOKUP(Tabla1[[#This Row],[CONCEPTO mx]],Tabla2[#All],2,0)),"")</f>
        <v/>
      </c>
      <c r="G927" s="49" t="str">
        <f>IFERROR(IF(Tabla1[[#This Row],[CONCEPTO mx]]="","",VLOOKUP(Tabla1[[#This Row],[CONCEPTO mx]],Tabla2[#All],3,0)),"")</f>
        <v/>
      </c>
      <c r="H927" s="49" t="s">
        <v>486</v>
      </c>
      <c r="I927" s="49" t="s">
        <v>2298</v>
      </c>
      <c r="J927" s="53" t="s">
        <v>2341</v>
      </c>
    </row>
    <row r="928" spans="1:12" x14ac:dyDescent="0.25">
      <c r="A928" s="51">
        <v>43377</v>
      </c>
      <c r="C928" s="49" t="s">
        <v>2256</v>
      </c>
      <c r="D928" s="49" t="s">
        <v>2273</v>
      </c>
      <c r="F928" s="49" t="str">
        <f>IFERROR(IF(Tabla1[[#This Row],[CONCEPTO mx]]="","",VLOOKUP(Tabla1[[#This Row],[CONCEPTO mx]],Tabla2[#All],2,0)),"")</f>
        <v/>
      </c>
      <c r="G928" s="49" t="str">
        <f>IFERROR(IF(Tabla1[[#This Row],[CONCEPTO mx]]="","",VLOOKUP(Tabla1[[#This Row],[CONCEPTO mx]],Tabla2[#All],3,0)),"")</f>
        <v/>
      </c>
      <c r="H928" s="49" t="s">
        <v>413</v>
      </c>
      <c r="I928" s="49" t="s">
        <v>2298</v>
      </c>
      <c r="J928" s="53" t="s">
        <v>2302</v>
      </c>
    </row>
    <row r="929" spans="1:10" x14ac:dyDescent="0.25">
      <c r="A929" s="51">
        <v>43377</v>
      </c>
      <c r="C929" s="49" t="s">
        <v>2257</v>
      </c>
      <c r="E929" s="49" t="s">
        <v>2355</v>
      </c>
      <c r="F929" s="49" t="str">
        <f>IFERROR(IF(Tabla1[[#This Row],[CONCEPTO mx]]="","",VLOOKUP(Tabla1[[#This Row],[CONCEPTO mx]],Tabla2[#All],2,0)),"")</f>
        <v>CM13</v>
      </c>
      <c r="G929" s="49" t="str">
        <f>IFERROR(IF(Tabla1[[#This Row],[CONCEPTO mx]]="","",VLOOKUP(Tabla1[[#This Row],[CONCEPTO mx]],Tabla2[#All],3,0)),"")</f>
        <v>Gestión Humana</v>
      </c>
      <c r="H929" s="49" t="s">
        <v>2393</v>
      </c>
      <c r="I929" s="49" t="s">
        <v>2298</v>
      </c>
      <c r="J929" s="53" t="s">
        <v>2353</v>
      </c>
    </row>
    <row r="930" spans="1:10" x14ac:dyDescent="0.25">
      <c r="A930" s="51">
        <v>43377</v>
      </c>
      <c r="C930" s="49" t="s">
        <v>2258</v>
      </c>
      <c r="E930" s="49" t="s">
        <v>2355</v>
      </c>
      <c r="F930" s="49" t="str">
        <f>IFERROR(IF(Tabla1[[#This Row],[CONCEPTO mx]]="","",VLOOKUP(Tabla1[[#This Row],[CONCEPTO mx]],Tabla2[#All],2,0)),"")</f>
        <v>CM13</v>
      </c>
      <c r="G930" s="49" t="str">
        <f>IFERROR(IF(Tabla1[[#This Row],[CONCEPTO mx]]="","",VLOOKUP(Tabla1[[#This Row],[CONCEPTO mx]],Tabla2[#All],3,0)),"")</f>
        <v>Gestión Humana</v>
      </c>
      <c r="H930" s="49" t="s">
        <v>413</v>
      </c>
      <c r="I930" s="49" t="s">
        <v>2298</v>
      </c>
      <c r="J930" s="53" t="s">
        <v>2302</v>
      </c>
    </row>
    <row r="931" spans="1:10" x14ac:dyDescent="0.25">
      <c r="A931" s="51">
        <v>43377</v>
      </c>
      <c r="C931" s="49" t="s">
        <v>2255</v>
      </c>
      <c r="D931" s="49" t="s">
        <v>51</v>
      </c>
      <c r="E931" s="49" t="s">
        <v>3315</v>
      </c>
      <c r="F931" s="49" t="str">
        <f>IFERROR(IF(Tabla1[[#This Row],[CONCEPTO mx]]="","",VLOOKUP(Tabla1[[#This Row],[CONCEPTO mx]],Tabla2[#All],2,0)),"")</f>
        <v>CM40</v>
      </c>
      <c r="G931" s="49" t="str">
        <f>IFERROR(IF(Tabla1[[#This Row],[CONCEPTO mx]]="","",VLOOKUP(Tabla1[[#This Row],[CONCEPTO mx]],Tabla2[#All],3,0)),"")</f>
        <v>SST</v>
      </c>
      <c r="H931" s="49" t="s">
        <v>486</v>
      </c>
      <c r="I931" s="49" t="s">
        <v>2298</v>
      </c>
      <c r="J931" s="53" t="s">
        <v>2314</v>
      </c>
    </row>
    <row r="932" spans="1:10" x14ac:dyDescent="0.25">
      <c r="A932" s="51">
        <v>43377</v>
      </c>
      <c r="C932" s="49" t="s">
        <v>2259</v>
      </c>
      <c r="D932" s="49" t="s">
        <v>51</v>
      </c>
      <c r="F932" s="49" t="str">
        <f>IFERROR(IF(Tabla1[[#This Row],[CONCEPTO mx]]="","",VLOOKUP(Tabla1[[#This Row],[CONCEPTO mx]],Tabla2[#All],2,0)),"")</f>
        <v/>
      </c>
      <c r="G932" s="49" t="str">
        <f>IFERROR(IF(Tabla1[[#This Row],[CONCEPTO mx]]="","",VLOOKUP(Tabla1[[#This Row],[CONCEPTO mx]],Tabla2[#All],3,0)),"")</f>
        <v/>
      </c>
      <c r="H932" s="49" t="s">
        <v>413</v>
      </c>
      <c r="I932" s="49" t="s">
        <v>2298</v>
      </c>
      <c r="J932" s="53" t="s">
        <v>2353</v>
      </c>
    </row>
    <row r="933" spans="1:10" x14ac:dyDescent="0.25">
      <c r="A933" s="51">
        <v>43378</v>
      </c>
      <c r="C933" s="49" t="s">
        <v>2263</v>
      </c>
      <c r="D933" s="49" t="s">
        <v>2273</v>
      </c>
      <c r="F933" s="49" t="str">
        <f>IFERROR(IF(Tabla1[[#This Row],[CONCEPTO mx]]="","",VLOOKUP(Tabla1[[#This Row],[CONCEPTO mx]],Tabla2[#All],2,0)),"")</f>
        <v/>
      </c>
      <c r="G933" s="49" t="str">
        <f>IFERROR(IF(Tabla1[[#This Row],[CONCEPTO mx]]="","",VLOOKUP(Tabla1[[#This Row],[CONCEPTO mx]],Tabla2[#All],3,0)),"")</f>
        <v/>
      </c>
      <c r="H933" s="49" t="s">
        <v>486</v>
      </c>
      <c r="I933" s="49" t="s">
        <v>2298</v>
      </c>
      <c r="J933" s="53" t="s">
        <v>2314</v>
      </c>
    </row>
    <row r="934" spans="1:10" x14ac:dyDescent="0.25">
      <c r="A934" s="51">
        <v>43378</v>
      </c>
      <c r="C934" s="49" t="s">
        <v>2264</v>
      </c>
      <c r="D934" s="49" t="s">
        <v>2273</v>
      </c>
      <c r="F934" s="49" t="str">
        <f>IFERROR(IF(Tabla1[[#This Row],[CONCEPTO mx]]="","",VLOOKUP(Tabla1[[#This Row],[CONCEPTO mx]],Tabla2[#All],2,0)),"")</f>
        <v/>
      </c>
      <c r="G934" s="49" t="str">
        <f>IFERROR(IF(Tabla1[[#This Row],[CONCEPTO mx]]="","",VLOOKUP(Tabla1[[#This Row],[CONCEPTO mx]],Tabla2[#All],3,0)),"")</f>
        <v/>
      </c>
      <c r="H934" s="49" t="s">
        <v>438</v>
      </c>
      <c r="I934" s="49" t="s">
        <v>2298</v>
      </c>
      <c r="J934" s="53" t="s">
        <v>2402</v>
      </c>
    </row>
    <row r="935" spans="1:10" x14ac:dyDescent="0.25">
      <c r="A935" s="51">
        <v>43378</v>
      </c>
      <c r="C935" s="49" t="s">
        <v>2261</v>
      </c>
      <c r="D935" s="49" t="s">
        <v>51</v>
      </c>
      <c r="F935" s="49" t="str">
        <f>IFERROR(IF(Tabla1[[#This Row],[CONCEPTO mx]]="","",VLOOKUP(Tabla1[[#This Row],[CONCEPTO mx]],Tabla2[#All],2,0)),"")</f>
        <v/>
      </c>
      <c r="G935" s="49" t="str">
        <f>IFERROR(IF(Tabla1[[#This Row],[CONCEPTO mx]]="","",VLOOKUP(Tabla1[[#This Row],[CONCEPTO mx]],Tabla2[#All],3,0)),"")</f>
        <v/>
      </c>
      <c r="H935" s="49" t="s">
        <v>486</v>
      </c>
      <c r="I935" s="49" t="s">
        <v>2298</v>
      </c>
      <c r="J935" s="53" t="s">
        <v>2302</v>
      </c>
    </row>
    <row r="936" spans="1:10" x14ac:dyDescent="0.25">
      <c r="A936" s="51">
        <v>43378</v>
      </c>
      <c r="C936" s="49" t="s">
        <v>2262</v>
      </c>
      <c r="E936" s="49" t="s">
        <v>2355</v>
      </c>
      <c r="F936" s="49" t="str">
        <f>IFERROR(IF(Tabla1[[#This Row],[CONCEPTO mx]]="","",VLOOKUP(Tabla1[[#This Row],[CONCEPTO mx]],Tabla2[#All],2,0)),"")</f>
        <v>CM13</v>
      </c>
      <c r="G936" s="49" t="str">
        <f>IFERROR(IF(Tabla1[[#This Row],[CONCEPTO mx]]="","",VLOOKUP(Tabla1[[#This Row],[CONCEPTO mx]],Tabla2[#All],3,0)),"")</f>
        <v>Gestión Humana</v>
      </c>
      <c r="H936" s="49" t="s">
        <v>343</v>
      </c>
      <c r="I936" s="49" t="s">
        <v>2298</v>
      </c>
      <c r="J936" s="53" t="s">
        <v>2512</v>
      </c>
    </row>
    <row r="937" spans="1:10" x14ac:dyDescent="0.25">
      <c r="A937" s="51">
        <v>43378</v>
      </c>
      <c r="C937" s="49" t="s">
        <v>2267</v>
      </c>
      <c r="D937" s="49" t="s">
        <v>51</v>
      </c>
      <c r="E937" s="49" t="s">
        <v>3250</v>
      </c>
      <c r="F937" s="49" t="str">
        <f>IFERROR(IF(Tabla1[[#This Row],[CONCEPTO mx]]="","",VLOOKUP(Tabla1[[#This Row],[CONCEPTO mx]],Tabla2[#All],2,0)),"")</f>
        <v>CM12</v>
      </c>
      <c r="G937" s="49" t="str">
        <f>IFERROR(IF(Tabla1[[#This Row],[CONCEPTO mx]]="","",VLOOKUP(Tabla1[[#This Row],[CONCEPTO mx]],Tabla2[#All],3,0)),"")</f>
        <v>SST</v>
      </c>
      <c r="H937" s="49" t="s">
        <v>439</v>
      </c>
      <c r="I937" s="49" t="s">
        <v>2298</v>
      </c>
      <c r="J937" s="53" t="s">
        <v>2851</v>
      </c>
    </row>
    <row r="938" spans="1:10" x14ac:dyDescent="0.25">
      <c r="A938" s="51">
        <v>43378</v>
      </c>
      <c r="C938" s="49" t="s">
        <v>2265</v>
      </c>
      <c r="D938" s="49" t="s">
        <v>51</v>
      </c>
      <c r="F938" s="49" t="str">
        <f>IFERROR(IF(Tabla1[[#This Row],[CONCEPTO mx]]="","",VLOOKUP(Tabla1[[#This Row],[CONCEPTO mx]],Tabla2[#All],2,0)),"")</f>
        <v/>
      </c>
      <c r="G938" s="49" t="str">
        <f>IFERROR(IF(Tabla1[[#This Row],[CONCEPTO mx]]="","",VLOOKUP(Tabla1[[#This Row],[CONCEPTO mx]],Tabla2[#All],3,0)),"")</f>
        <v/>
      </c>
      <c r="H938" s="49" t="s">
        <v>388</v>
      </c>
      <c r="I938" s="49" t="s">
        <v>2298</v>
      </c>
      <c r="J938" s="53" t="s">
        <v>2512</v>
      </c>
    </row>
    <row r="939" spans="1:10" x14ac:dyDescent="0.25">
      <c r="A939" s="51">
        <v>43378</v>
      </c>
      <c r="C939" s="49" t="s">
        <v>2266</v>
      </c>
      <c r="D939" s="49" t="s">
        <v>51</v>
      </c>
      <c r="F939" s="49" t="str">
        <f>IFERROR(IF(Tabla1[[#This Row],[CONCEPTO mx]]="","",VLOOKUP(Tabla1[[#This Row],[CONCEPTO mx]],Tabla2[#All],2,0)),"")</f>
        <v/>
      </c>
      <c r="G939" s="49" t="str">
        <f>IFERROR(IF(Tabla1[[#This Row],[CONCEPTO mx]]="","",VLOOKUP(Tabla1[[#This Row],[CONCEPTO mx]],Tabla2[#All],3,0)),"")</f>
        <v/>
      </c>
      <c r="H939" s="49" t="s">
        <v>387</v>
      </c>
      <c r="I939" s="49" t="s">
        <v>2298</v>
      </c>
      <c r="J939" s="53" t="s">
        <v>2314</v>
      </c>
    </row>
    <row r="940" spans="1:10" x14ac:dyDescent="0.25">
      <c r="A940" s="51">
        <v>43379</v>
      </c>
      <c r="C940" s="49" t="s">
        <v>2272</v>
      </c>
      <c r="D940" s="49" t="s">
        <v>2273</v>
      </c>
      <c r="F940" s="49" t="str">
        <f>IFERROR(IF(Tabla1[[#This Row],[CONCEPTO mx]]="","",VLOOKUP(Tabla1[[#This Row],[CONCEPTO mx]],Tabla2[#All],2,0)),"")</f>
        <v/>
      </c>
      <c r="G940" s="49" t="str">
        <f>IFERROR(IF(Tabla1[[#This Row],[CONCEPTO mx]]="","",VLOOKUP(Tabla1[[#This Row],[CONCEPTO mx]],Tabla2[#All],3,0)),"")</f>
        <v/>
      </c>
      <c r="H940" s="49" t="s">
        <v>438</v>
      </c>
      <c r="I940" s="49" t="s">
        <v>2298</v>
      </c>
      <c r="J940" s="53" t="s">
        <v>2341</v>
      </c>
    </row>
    <row r="941" spans="1:10" x14ac:dyDescent="0.25">
      <c r="A941" s="51">
        <v>43379</v>
      </c>
      <c r="C941" s="49" t="s">
        <v>2268</v>
      </c>
      <c r="D941" s="49" t="s">
        <v>51</v>
      </c>
      <c r="E941" s="49" t="s">
        <v>3248</v>
      </c>
      <c r="F941" s="49" t="str">
        <f>IFERROR(IF(Tabla1[[#This Row],[CONCEPTO mx]]="","",VLOOKUP(Tabla1[[#This Row],[CONCEPTO mx]],Tabla2[#All],2,0)),"")</f>
        <v>CM1</v>
      </c>
      <c r="G941" s="49" t="str">
        <f>IFERROR(IF(Tabla1[[#This Row],[CONCEPTO mx]]="","",VLOOKUP(Tabla1[[#This Row],[CONCEPTO mx]],Tabla2[#All],3,0)),"")</f>
        <v>Gestión Humana</v>
      </c>
      <c r="H941" s="49" t="s">
        <v>387</v>
      </c>
      <c r="I941" s="49" t="s">
        <v>2298</v>
      </c>
      <c r="J941" s="53" t="s">
        <v>2319</v>
      </c>
    </row>
    <row r="942" spans="1:10" x14ac:dyDescent="0.25">
      <c r="A942" s="51">
        <v>43379</v>
      </c>
      <c r="C942" s="49" t="s">
        <v>2269</v>
      </c>
      <c r="D942" s="49" t="s">
        <v>51</v>
      </c>
      <c r="E942" s="49" t="s">
        <v>3250</v>
      </c>
      <c r="F942" s="49" t="str">
        <f>IFERROR(IF(Tabla1[[#This Row],[CONCEPTO mx]]="","",VLOOKUP(Tabla1[[#This Row],[CONCEPTO mx]],Tabla2[#All],2,0)),"")</f>
        <v>CM12</v>
      </c>
      <c r="G942" s="49" t="str">
        <f>IFERROR(IF(Tabla1[[#This Row],[CONCEPTO mx]]="","",VLOOKUP(Tabla1[[#This Row],[CONCEPTO mx]],Tabla2[#All],3,0)),"")</f>
        <v>SST</v>
      </c>
      <c r="H942" s="49" t="s">
        <v>528</v>
      </c>
      <c r="I942" s="49" t="s">
        <v>2270</v>
      </c>
      <c r="J942" s="53"/>
    </row>
    <row r="943" spans="1:10" x14ac:dyDescent="0.25">
      <c r="A943" s="51">
        <v>43379</v>
      </c>
      <c r="C943" s="49" t="s">
        <v>2279</v>
      </c>
      <c r="D943" s="49" t="s">
        <v>51</v>
      </c>
      <c r="E943" s="49" t="s">
        <v>3248</v>
      </c>
      <c r="F943" s="49" t="str">
        <f>IFERROR(IF(Tabla1[[#This Row],[CONCEPTO mx]]="","",VLOOKUP(Tabla1[[#This Row],[CONCEPTO mx]],Tabla2[#All],2,0)),"")</f>
        <v>CM1</v>
      </c>
      <c r="G943" s="49" t="str">
        <f>IFERROR(IF(Tabla1[[#This Row],[CONCEPTO mx]]="","",VLOOKUP(Tabla1[[#This Row],[CONCEPTO mx]],Tabla2[#All],3,0)),"")</f>
        <v>Gestión Humana</v>
      </c>
      <c r="H943" s="49" t="s">
        <v>438</v>
      </c>
      <c r="I943" s="49" t="s">
        <v>2298</v>
      </c>
      <c r="J943" s="53" t="s">
        <v>2307</v>
      </c>
    </row>
    <row r="944" spans="1:10" x14ac:dyDescent="0.25">
      <c r="A944" s="51">
        <v>43379</v>
      </c>
      <c r="C944" s="49" t="s">
        <v>2271</v>
      </c>
      <c r="D944" s="49" t="s">
        <v>51</v>
      </c>
      <c r="E944" s="49" t="s">
        <v>3248</v>
      </c>
      <c r="F944" s="49" t="str">
        <f>IFERROR(IF(Tabla1[[#This Row],[CONCEPTO mx]]="","",VLOOKUP(Tabla1[[#This Row],[CONCEPTO mx]],Tabla2[#All],2,0)),"")</f>
        <v>CM1</v>
      </c>
      <c r="G944" s="49" t="str">
        <f>IFERROR(IF(Tabla1[[#This Row],[CONCEPTO mx]]="","",VLOOKUP(Tabla1[[#This Row],[CONCEPTO mx]],Tabla2[#All],3,0)),"")</f>
        <v>Gestión Humana</v>
      </c>
      <c r="H944" s="49" t="s">
        <v>438</v>
      </c>
      <c r="I944" s="49" t="s">
        <v>2298</v>
      </c>
      <c r="J944" s="53" t="s">
        <v>2409</v>
      </c>
    </row>
    <row r="945" spans="1:12" x14ac:dyDescent="0.25">
      <c r="A945" s="51">
        <v>43379</v>
      </c>
      <c r="C945" s="49" t="s">
        <v>2281</v>
      </c>
      <c r="D945" s="49" t="s">
        <v>2277</v>
      </c>
      <c r="F945" s="49" t="str">
        <f>IFERROR(IF(Tabla1[[#This Row],[CONCEPTO mx]]="","",VLOOKUP(Tabla1[[#This Row],[CONCEPTO mx]],Tabla2[#All],2,0)),"")</f>
        <v/>
      </c>
      <c r="G945" s="49" t="str">
        <f>IFERROR(IF(Tabla1[[#This Row],[CONCEPTO mx]]="","",VLOOKUP(Tabla1[[#This Row],[CONCEPTO mx]],Tabla2[#All],3,0)),"")</f>
        <v/>
      </c>
      <c r="H945" s="49" t="s">
        <v>387</v>
      </c>
      <c r="I945" s="49" t="s">
        <v>2298</v>
      </c>
      <c r="J945" s="53" t="s">
        <v>2845</v>
      </c>
    </row>
    <row r="946" spans="1:12" x14ac:dyDescent="0.25">
      <c r="A946" s="51">
        <v>43379</v>
      </c>
      <c r="C946" s="49" t="s">
        <v>2276</v>
      </c>
      <c r="D946" s="49" t="s">
        <v>2277</v>
      </c>
      <c r="F946" s="49" t="str">
        <f>IFERROR(IF(Tabla1[[#This Row],[CONCEPTO mx]]="","",VLOOKUP(Tabla1[[#This Row],[CONCEPTO mx]],Tabla2[#All],2,0)),"")</f>
        <v/>
      </c>
      <c r="G946" s="49" t="str">
        <f>IFERROR(IF(Tabla1[[#This Row],[CONCEPTO mx]]="","",VLOOKUP(Tabla1[[#This Row],[CONCEPTO mx]],Tabla2[#All],3,0)),"")</f>
        <v/>
      </c>
      <c r="H946" s="49" t="s">
        <v>486</v>
      </c>
      <c r="I946" s="49" t="s">
        <v>2298</v>
      </c>
      <c r="J946" s="53" t="s">
        <v>2302</v>
      </c>
    </row>
    <row r="947" spans="1:12" x14ac:dyDescent="0.25">
      <c r="A947" s="51">
        <v>43379</v>
      </c>
      <c r="C947" s="49" t="s">
        <v>2278</v>
      </c>
      <c r="D947" s="49" t="s">
        <v>51</v>
      </c>
      <c r="E947" s="49" t="s">
        <v>3248</v>
      </c>
      <c r="F947" s="49" t="str">
        <f>IFERROR(IF(Tabla1[[#This Row],[CONCEPTO mx]]="","",VLOOKUP(Tabla1[[#This Row],[CONCEPTO mx]],Tabla2[#All],2,0)),"")</f>
        <v>CM1</v>
      </c>
      <c r="G947" s="49" t="str">
        <f>IFERROR(IF(Tabla1[[#This Row],[CONCEPTO mx]]="","",VLOOKUP(Tabla1[[#This Row],[CONCEPTO mx]],Tabla2[#All],3,0)),"")</f>
        <v>Gestión Humana</v>
      </c>
      <c r="H947" s="49" t="s">
        <v>334</v>
      </c>
      <c r="I947" s="49" t="s">
        <v>2298</v>
      </c>
      <c r="J947" s="53" t="s">
        <v>2307</v>
      </c>
    </row>
    <row r="948" spans="1:12" x14ac:dyDescent="0.25">
      <c r="A948" s="51">
        <v>43379</v>
      </c>
      <c r="C948" s="49" t="s">
        <v>2274</v>
      </c>
      <c r="D948" s="49" t="s">
        <v>51</v>
      </c>
      <c r="E948" s="49" t="s">
        <v>3250</v>
      </c>
      <c r="F948" s="49" t="str">
        <f>IFERROR(IF(Tabla1[[#This Row],[CONCEPTO mx]]="","",VLOOKUP(Tabla1[[#This Row],[CONCEPTO mx]],Tabla2[#All],2,0)),"")</f>
        <v>CM12</v>
      </c>
      <c r="G948" s="49" t="str">
        <f>IFERROR(IF(Tabla1[[#This Row],[CONCEPTO mx]]="","",VLOOKUP(Tabla1[[#This Row],[CONCEPTO mx]],Tabla2[#All],3,0)),"")</f>
        <v>SST</v>
      </c>
      <c r="H948" s="49" t="s">
        <v>334</v>
      </c>
      <c r="I948" s="49" t="s">
        <v>2298</v>
      </c>
      <c r="J948" s="53" t="s">
        <v>2512</v>
      </c>
    </row>
    <row r="949" spans="1:12" x14ac:dyDescent="0.25">
      <c r="A949" s="51">
        <v>43379</v>
      </c>
      <c r="C949" s="49" t="s">
        <v>2280</v>
      </c>
      <c r="D949" s="49" t="s">
        <v>51</v>
      </c>
      <c r="E949" s="49" t="s">
        <v>3250</v>
      </c>
      <c r="F949" s="49" t="str">
        <f>IFERROR(IF(Tabla1[[#This Row],[CONCEPTO mx]]="","",VLOOKUP(Tabla1[[#This Row],[CONCEPTO mx]],Tabla2[#All],2,0)),"")</f>
        <v>CM12</v>
      </c>
      <c r="G949" s="49" t="str">
        <f>IFERROR(IF(Tabla1[[#This Row],[CONCEPTO mx]]="","",VLOOKUP(Tabla1[[#This Row],[CONCEPTO mx]],Tabla2[#All],3,0)),"")</f>
        <v>SST</v>
      </c>
      <c r="H949" s="49" t="s">
        <v>3241</v>
      </c>
      <c r="I949" s="49" t="s">
        <v>2298</v>
      </c>
      <c r="J949" s="53" t="s">
        <v>2319</v>
      </c>
    </row>
    <row r="950" spans="1:12" x14ac:dyDescent="0.25">
      <c r="A950" s="51">
        <v>43382</v>
      </c>
      <c r="C950" s="53" t="s">
        <v>2287</v>
      </c>
      <c r="D950" s="49" t="s">
        <v>51</v>
      </c>
      <c r="E950" s="49" t="s">
        <v>3248</v>
      </c>
      <c r="F950" s="49" t="str">
        <f>IFERROR(IF(Tabla1[[#This Row],[CONCEPTO mx]]="","",VLOOKUP(Tabla1[[#This Row],[CONCEPTO mx]],Tabla2[#All],2,0)),"")</f>
        <v>CM1</v>
      </c>
      <c r="G950" s="49" t="str">
        <f>IFERROR(IF(Tabla1[[#This Row],[CONCEPTO mx]]="","",VLOOKUP(Tabla1[[#This Row],[CONCEPTO mx]],Tabla2[#All],3,0)),"")</f>
        <v>Gestión Humana</v>
      </c>
      <c r="H950" s="49" t="s">
        <v>357</v>
      </c>
      <c r="I950" s="49" t="s">
        <v>2339</v>
      </c>
      <c r="J950" s="53"/>
    </row>
    <row r="951" spans="1:12" x14ac:dyDescent="0.25">
      <c r="A951" s="51">
        <v>43382</v>
      </c>
      <c r="C951" s="53" t="s">
        <v>2288</v>
      </c>
      <c r="D951" s="49" t="s">
        <v>2273</v>
      </c>
      <c r="F951" s="49" t="str">
        <f>IFERROR(IF(Tabla1[[#This Row],[CONCEPTO mx]]="","",VLOOKUP(Tabla1[[#This Row],[CONCEPTO mx]],Tabla2[#All],2,0)),"")</f>
        <v/>
      </c>
      <c r="G951" s="49" t="str">
        <f>IFERROR(IF(Tabla1[[#This Row],[CONCEPTO mx]]="","",VLOOKUP(Tabla1[[#This Row],[CONCEPTO mx]],Tabla2[#All],3,0)),"")</f>
        <v/>
      </c>
      <c r="H951" s="49" t="s">
        <v>438</v>
      </c>
      <c r="I951" s="49" t="s">
        <v>2298</v>
      </c>
      <c r="J951" s="53" t="s">
        <v>2302</v>
      </c>
    </row>
    <row r="952" spans="1:12" x14ac:dyDescent="0.25">
      <c r="A952" s="51">
        <v>43382</v>
      </c>
      <c r="C952" s="53" t="s">
        <v>2257</v>
      </c>
      <c r="D952" s="49" t="s">
        <v>51</v>
      </c>
      <c r="E952" s="49" t="s">
        <v>3248</v>
      </c>
      <c r="F952" s="49" t="str">
        <f>IFERROR(IF(Tabla1[[#This Row],[CONCEPTO mx]]="","",VLOOKUP(Tabla1[[#This Row],[CONCEPTO mx]],Tabla2[#All],2,0)),"")</f>
        <v>CM1</v>
      </c>
      <c r="G952" s="49" t="str">
        <f>IFERROR(IF(Tabla1[[#This Row],[CONCEPTO mx]]="","",VLOOKUP(Tabla1[[#This Row],[CONCEPTO mx]],Tabla2[#All],3,0)),"")</f>
        <v>Gestión Humana</v>
      </c>
      <c r="H952" s="49" t="s">
        <v>3241</v>
      </c>
      <c r="I952" s="49" t="s">
        <v>2298</v>
      </c>
      <c r="J952" s="53" t="s">
        <v>2353</v>
      </c>
    </row>
    <row r="953" spans="1:12" x14ac:dyDescent="0.25">
      <c r="A953" s="51">
        <v>43382</v>
      </c>
      <c r="C953" s="53" t="s">
        <v>2258</v>
      </c>
      <c r="D953" s="49" t="s">
        <v>2285</v>
      </c>
      <c r="F953" s="49" t="str">
        <f>IFERROR(IF(Tabla1[[#This Row],[CONCEPTO mx]]="","",VLOOKUP(Tabla1[[#This Row],[CONCEPTO mx]],Tabla2[#All],2,0)),"")</f>
        <v/>
      </c>
      <c r="G953" s="49" t="str">
        <f>IFERROR(IF(Tabla1[[#This Row],[CONCEPTO mx]]="","",VLOOKUP(Tabla1[[#This Row],[CONCEPTO mx]],Tabla2[#All],3,0)),"")</f>
        <v/>
      </c>
      <c r="H953" s="49" t="s">
        <v>413</v>
      </c>
      <c r="I953" s="49" t="s">
        <v>2298</v>
      </c>
      <c r="J953" s="53" t="s">
        <v>2302</v>
      </c>
    </row>
    <row r="954" spans="1:12" x14ac:dyDescent="0.25">
      <c r="A954" s="51">
        <v>43382</v>
      </c>
      <c r="C954" s="53" t="s">
        <v>2282</v>
      </c>
      <c r="D954" s="49" t="s">
        <v>51</v>
      </c>
      <c r="E954" s="49" t="s">
        <v>3248</v>
      </c>
      <c r="F954" s="49" t="str">
        <f>IFERROR(IF(Tabla1[[#This Row],[CONCEPTO mx]]="","",VLOOKUP(Tabla1[[#This Row],[CONCEPTO mx]],Tabla2[#All],2,0)),"")</f>
        <v>CM1</v>
      </c>
      <c r="G954" s="49" t="str">
        <f>IFERROR(IF(Tabla1[[#This Row],[CONCEPTO mx]]="","",VLOOKUP(Tabla1[[#This Row],[CONCEPTO mx]],Tabla2[#All],3,0)),"")</f>
        <v>Gestión Humana</v>
      </c>
      <c r="H954" s="49" t="s">
        <v>2391</v>
      </c>
      <c r="I954" s="49" t="s">
        <v>2298</v>
      </c>
      <c r="J954" s="53" t="s">
        <v>2341</v>
      </c>
    </row>
    <row r="955" spans="1:12" x14ac:dyDescent="0.25">
      <c r="A955" s="51">
        <v>43383</v>
      </c>
      <c r="C955" s="53" t="s">
        <v>2294</v>
      </c>
      <c r="D955" s="49" t="s">
        <v>2273</v>
      </c>
      <c r="F955" s="49" t="str">
        <f>IFERROR(IF(Tabla1[[#This Row],[CONCEPTO mx]]="","",VLOOKUP(Tabla1[[#This Row],[CONCEPTO mx]],Tabla2[#All],2,0)),"")</f>
        <v/>
      </c>
      <c r="G955" s="49" t="str">
        <f>IFERROR(IF(Tabla1[[#This Row],[CONCEPTO mx]]="","",VLOOKUP(Tabla1[[#This Row],[CONCEPTO mx]],Tabla2[#All],3,0)),"")</f>
        <v/>
      </c>
      <c r="H955" s="49" t="s">
        <v>438</v>
      </c>
      <c r="I955" s="49" t="s">
        <v>2298</v>
      </c>
      <c r="J955" s="53" t="s">
        <v>2858</v>
      </c>
    </row>
    <row r="956" spans="1:12" x14ac:dyDescent="0.25">
      <c r="A956" s="51">
        <v>43383</v>
      </c>
      <c r="C956" s="53" t="s">
        <v>2296</v>
      </c>
      <c r="D956" s="49" t="s">
        <v>51</v>
      </c>
      <c r="E956" s="49" t="s">
        <v>3248</v>
      </c>
      <c r="F956" s="49" t="str">
        <f>IFERROR(IF(Tabla1[[#This Row],[CONCEPTO mx]]="","",VLOOKUP(Tabla1[[#This Row],[CONCEPTO mx]],Tabla2[#All],2,0)),"")</f>
        <v>CM1</v>
      </c>
      <c r="G956" s="49" t="str">
        <f>IFERROR(IF(Tabla1[[#This Row],[CONCEPTO mx]]="","",VLOOKUP(Tabla1[[#This Row],[CONCEPTO mx]],Tabla2[#All],3,0)),"")</f>
        <v>Gestión Humana</v>
      </c>
      <c r="H956" s="49" t="s">
        <v>388</v>
      </c>
      <c r="I956" s="49" t="s">
        <v>2298</v>
      </c>
      <c r="J956" s="53" t="s">
        <v>2351</v>
      </c>
      <c r="L956" s="49" t="s">
        <v>2514</v>
      </c>
    </row>
    <row r="957" spans="1:12" x14ac:dyDescent="0.25">
      <c r="A957" s="51">
        <v>43383</v>
      </c>
      <c r="C957" s="53" t="s">
        <v>2295</v>
      </c>
      <c r="D957" s="49" t="s">
        <v>2273</v>
      </c>
      <c r="F957" s="49" t="str">
        <f>IFERROR(IF(Tabla1[[#This Row],[CONCEPTO mx]]="","",VLOOKUP(Tabla1[[#This Row],[CONCEPTO mx]],Tabla2[#All],2,0)),"")</f>
        <v/>
      </c>
      <c r="G957" s="49" t="str">
        <f>IFERROR(IF(Tabla1[[#This Row],[CONCEPTO mx]]="","",VLOOKUP(Tabla1[[#This Row],[CONCEPTO mx]],Tabla2[#All],3,0)),"")</f>
        <v/>
      </c>
      <c r="H957" s="49" t="s">
        <v>334</v>
      </c>
      <c r="I957" s="49" t="s">
        <v>2298</v>
      </c>
      <c r="J957" s="53" t="s">
        <v>2351</v>
      </c>
    </row>
    <row r="958" spans="1:12" x14ac:dyDescent="0.25">
      <c r="A958" s="51">
        <v>43383</v>
      </c>
      <c r="C958" s="53" t="s">
        <v>2291</v>
      </c>
      <c r="D958" s="49" t="s">
        <v>2273</v>
      </c>
      <c r="F958" s="49" t="str">
        <f>IFERROR(IF(Tabla1[[#This Row],[CONCEPTO mx]]="","",VLOOKUP(Tabla1[[#This Row],[CONCEPTO mx]],Tabla2[#All],2,0)),"")</f>
        <v/>
      </c>
      <c r="G958" s="49" t="str">
        <f>IFERROR(IF(Tabla1[[#This Row],[CONCEPTO mx]]="","",VLOOKUP(Tabla1[[#This Row],[CONCEPTO mx]],Tabla2[#All],3,0)),"")</f>
        <v/>
      </c>
      <c r="H958" s="49" t="s">
        <v>334</v>
      </c>
      <c r="I958" s="49" t="s">
        <v>2298</v>
      </c>
      <c r="J958" s="53" t="s">
        <v>2314</v>
      </c>
    </row>
    <row r="959" spans="1:12" x14ac:dyDescent="0.25">
      <c r="A959" s="51">
        <v>43383</v>
      </c>
      <c r="C959" s="53" t="s">
        <v>2289</v>
      </c>
      <c r="D959" s="49" t="s">
        <v>2290</v>
      </c>
      <c r="F959" s="49" t="str">
        <f>IFERROR(IF(Tabla1[[#This Row],[CONCEPTO mx]]="","",VLOOKUP(Tabla1[[#This Row],[CONCEPTO mx]],Tabla2[#All],2,0)),"")</f>
        <v/>
      </c>
      <c r="G959" s="49" t="str">
        <f>IFERROR(IF(Tabla1[[#This Row],[CONCEPTO mx]]="","",VLOOKUP(Tabla1[[#This Row],[CONCEPTO mx]],Tabla2[#All],3,0)),"")</f>
        <v/>
      </c>
      <c r="H959" s="49" t="s">
        <v>334</v>
      </c>
      <c r="I959" s="49" t="s">
        <v>2298</v>
      </c>
      <c r="J959" s="53" t="s">
        <v>2368</v>
      </c>
    </row>
    <row r="960" spans="1:12" x14ac:dyDescent="0.25">
      <c r="A960" s="51">
        <v>43383</v>
      </c>
      <c r="C960" s="49" t="s">
        <v>2292</v>
      </c>
      <c r="D960" s="49" t="s">
        <v>2273</v>
      </c>
      <c r="F960" s="49" t="str">
        <f>IFERROR(IF(Tabla1[[#This Row],[CONCEPTO mx]]="","",VLOOKUP(Tabla1[[#This Row],[CONCEPTO mx]],Tabla2[#All],2,0)),"")</f>
        <v/>
      </c>
      <c r="G960" s="49" t="str">
        <f>IFERROR(IF(Tabla1[[#This Row],[CONCEPTO mx]]="","",VLOOKUP(Tabla1[[#This Row],[CONCEPTO mx]],Tabla2[#All],3,0)),"")</f>
        <v/>
      </c>
      <c r="H960" s="49" t="s">
        <v>486</v>
      </c>
      <c r="I960" s="49" t="s">
        <v>2298</v>
      </c>
      <c r="J960" s="53" t="s">
        <v>2409</v>
      </c>
    </row>
    <row r="961" spans="1:10" x14ac:dyDescent="0.25">
      <c r="A961" s="51">
        <v>43383</v>
      </c>
      <c r="C961" s="53" t="s">
        <v>2293</v>
      </c>
      <c r="D961" s="49" t="s">
        <v>2273</v>
      </c>
      <c r="F961" s="49" t="str">
        <f>IFERROR(IF(Tabla1[[#This Row],[CONCEPTO mx]]="","",VLOOKUP(Tabla1[[#This Row],[CONCEPTO mx]],Tabla2[#All],2,0)),"")</f>
        <v/>
      </c>
      <c r="G961" s="49" t="str">
        <f>IFERROR(IF(Tabla1[[#This Row],[CONCEPTO mx]]="","",VLOOKUP(Tabla1[[#This Row],[CONCEPTO mx]],Tabla2[#All],3,0)),"")</f>
        <v/>
      </c>
      <c r="H961" s="49" t="s">
        <v>438</v>
      </c>
      <c r="I961" s="49" t="s">
        <v>2298</v>
      </c>
      <c r="J961" s="53" t="s">
        <v>2837</v>
      </c>
    </row>
    <row r="962" spans="1:10" x14ac:dyDescent="0.25">
      <c r="A962" s="51">
        <v>43389</v>
      </c>
      <c r="C962" s="53" t="s">
        <v>2308</v>
      </c>
      <c r="D962" s="49" t="s">
        <v>2277</v>
      </c>
      <c r="F962" s="49" t="str">
        <f>IFERROR(IF(Tabla1[[#This Row],[CONCEPTO mx]]="","",VLOOKUP(Tabla1[[#This Row],[CONCEPTO mx]],Tabla2[#All],2,0)),"")</f>
        <v/>
      </c>
      <c r="G962" s="49" t="str">
        <f>IFERROR(IF(Tabla1[[#This Row],[CONCEPTO mx]]="","",VLOOKUP(Tabla1[[#This Row],[CONCEPTO mx]],Tabla2[#All],3,0)),"")</f>
        <v/>
      </c>
      <c r="H962" s="49" t="s">
        <v>486</v>
      </c>
      <c r="I962" s="49" t="s">
        <v>2298</v>
      </c>
      <c r="J962" s="53" t="s">
        <v>2353</v>
      </c>
    </row>
    <row r="963" spans="1:10" x14ac:dyDescent="0.25">
      <c r="A963" s="51">
        <v>43389</v>
      </c>
      <c r="C963" s="53" t="s">
        <v>2306</v>
      </c>
      <c r="D963" s="49" t="s">
        <v>51</v>
      </c>
      <c r="E963" s="49" t="s">
        <v>3248</v>
      </c>
      <c r="F963" s="49" t="str">
        <f>IFERROR(IF(Tabla1[[#This Row],[CONCEPTO mx]]="","",VLOOKUP(Tabla1[[#This Row],[CONCEPTO mx]],Tabla2[#All],2,0)),"")</f>
        <v>CM1</v>
      </c>
      <c r="G963" s="49" t="str">
        <f>IFERROR(IF(Tabla1[[#This Row],[CONCEPTO mx]]="","",VLOOKUP(Tabla1[[#This Row],[CONCEPTO mx]],Tabla2[#All],3,0)),"")</f>
        <v>Gestión Humana</v>
      </c>
      <c r="H963" s="49" t="s">
        <v>334</v>
      </c>
      <c r="I963" s="49" t="s">
        <v>2298</v>
      </c>
      <c r="J963" s="53" t="s">
        <v>2307</v>
      </c>
    </row>
    <row r="964" spans="1:10" x14ac:dyDescent="0.25">
      <c r="A964" s="51">
        <v>43389</v>
      </c>
      <c r="C964" s="49" t="s">
        <v>2300</v>
      </c>
      <c r="D964" s="49" t="s">
        <v>2273</v>
      </c>
      <c r="F964" s="49" t="str">
        <f>IFERROR(IF(Tabla1[[#This Row],[CONCEPTO mx]]="","",VLOOKUP(Tabla1[[#This Row],[CONCEPTO mx]],Tabla2[#All],2,0)),"")</f>
        <v/>
      </c>
      <c r="G964" s="49" t="str">
        <f>IFERROR(IF(Tabla1[[#This Row],[CONCEPTO mx]]="","",VLOOKUP(Tabla1[[#This Row],[CONCEPTO mx]],Tabla2[#All],3,0)),"")</f>
        <v/>
      </c>
      <c r="H964" s="49" t="s">
        <v>388</v>
      </c>
      <c r="I964" s="49" t="s">
        <v>2298</v>
      </c>
      <c r="J964" s="53" t="s">
        <v>2353</v>
      </c>
    </row>
    <row r="965" spans="1:10" x14ac:dyDescent="0.25">
      <c r="A965" s="51">
        <v>43389</v>
      </c>
      <c r="C965" s="53" t="s">
        <v>2304</v>
      </c>
      <c r="D965" s="49" t="s">
        <v>2305</v>
      </c>
      <c r="F965" s="49" t="str">
        <f>IFERROR(IF(Tabla1[[#This Row],[CONCEPTO mx]]="","",VLOOKUP(Tabla1[[#This Row],[CONCEPTO mx]],Tabla2[#All],2,0)),"")</f>
        <v/>
      </c>
      <c r="G965" s="49" t="str">
        <f>IFERROR(IF(Tabla1[[#This Row],[CONCEPTO mx]]="","",VLOOKUP(Tabla1[[#This Row],[CONCEPTO mx]],Tabla2[#All],3,0)),"")</f>
        <v/>
      </c>
      <c r="H965" s="49" t="s">
        <v>334</v>
      </c>
      <c r="I965" s="49" t="s">
        <v>2298</v>
      </c>
      <c r="J965" s="53" t="s">
        <v>2302</v>
      </c>
    </row>
    <row r="966" spans="1:10" x14ac:dyDescent="0.25">
      <c r="A966" s="51">
        <v>43389</v>
      </c>
      <c r="C966" s="53" t="s">
        <v>2303</v>
      </c>
      <c r="D966" s="49" t="s">
        <v>51</v>
      </c>
      <c r="E966" s="49" t="s">
        <v>3250</v>
      </c>
      <c r="F966" s="49" t="str">
        <f>IFERROR(IF(Tabla1[[#This Row],[CONCEPTO mx]]="","",VLOOKUP(Tabla1[[#This Row],[CONCEPTO mx]],Tabla2[#All],2,0)),"")</f>
        <v>CM12</v>
      </c>
      <c r="G966" s="49" t="str">
        <f>IFERROR(IF(Tabla1[[#This Row],[CONCEPTO mx]]="","",VLOOKUP(Tabla1[[#This Row],[CONCEPTO mx]],Tabla2[#All],3,0)),"")</f>
        <v>SST</v>
      </c>
      <c r="H966" s="49" t="s">
        <v>439</v>
      </c>
      <c r="I966" s="49" t="s">
        <v>2298</v>
      </c>
      <c r="J966" s="53" t="s">
        <v>2353</v>
      </c>
    </row>
    <row r="967" spans="1:10" x14ac:dyDescent="0.25">
      <c r="A967" s="51">
        <v>43389</v>
      </c>
      <c r="C967" s="53" t="s">
        <v>2301</v>
      </c>
      <c r="D967" s="49" t="s">
        <v>2273</v>
      </c>
      <c r="F967" s="49" t="str">
        <f>IFERROR(IF(Tabla1[[#This Row],[CONCEPTO mx]]="","",VLOOKUP(Tabla1[[#This Row],[CONCEPTO mx]],Tabla2[#All],2,0)),"")</f>
        <v/>
      </c>
      <c r="G967" s="49" t="str">
        <f>IFERROR(IF(Tabla1[[#This Row],[CONCEPTO mx]]="","",VLOOKUP(Tabla1[[#This Row],[CONCEPTO mx]],Tabla2[#All],3,0)),"")</f>
        <v/>
      </c>
      <c r="H967" s="49" t="s">
        <v>486</v>
      </c>
      <c r="I967" s="49" t="s">
        <v>2298</v>
      </c>
      <c r="J967" s="53" t="s">
        <v>2302</v>
      </c>
    </row>
    <row r="968" spans="1:10" x14ac:dyDescent="0.25">
      <c r="A968" s="51">
        <v>43389</v>
      </c>
      <c r="C968" s="53" t="s">
        <v>2312</v>
      </c>
      <c r="D968" s="49" t="s">
        <v>51</v>
      </c>
      <c r="E968" s="49" t="s">
        <v>3248</v>
      </c>
      <c r="F968" s="49" t="str">
        <f>IFERROR(IF(Tabla1[[#This Row],[CONCEPTO mx]]="","",VLOOKUP(Tabla1[[#This Row],[CONCEPTO mx]],Tabla2[#All],2,0)),"")</f>
        <v>CM1</v>
      </c>
      <c r="G968" s="49" t="str">
        <f>IFERROR(IF(Tabla1[[#This Row],[CONCEPTO mx]]="","",VLOOKUP(Tabla1[[#This Row],[CONCEPTO mx]],Tabla2[#All],3,0)),"")</f>
        <v>Gestión Humana</v>
      </c>
      <c r="H968" s="49" t="s">
        <v>387</v>
      </c>
      <c r="I968" s="49" t="s">
        <v>2298</v>
      </c>
      <c r="J968" s="53" t="s">
        <v>2302</v>
      </c>
    </row>
    <row r="969" spans="1:10" x14ac:dyDescent="0.25">
      <c r="A969" s="51">
        <v>43389</v>
      </c>
      <c r="C969" s="49" t="s">
        <v>1543</v>
      </c>
      <c r="D969" s="67"/>
      <c r="E969" s="49" t="s">
        <v>2355</v>
      </c>
      <c r="F969" s="49" t="str">
        <f>IFERROR(IF(Tabla1[[#This Row],[CONCEPTO mx]]="","",VLOOKUP(Tabla1[[#This Row],[CONCEPTO mx]],Tabla2[#All],2,0)),"")</f>
        <v>CM13</v>
      </c>
      <c r="G969" s="49" t="str">
        <f>IFERROR(IF(Tabla1[[#This Row],[CONCEPTO mx]]="","",VLOOKUP(Tabla1[[#This Row],[CONCEPTO mx]],Tabla2[#All],3,0)),"")</f>
        <v>Gestión Humana</v>
      </c>
      <c r="H969" s="49" t="s">
        <v>334</v>
      </c>
      <c r="I969" s="49" t="s">
        <v>2298</v>
      </c>
      <c r="J969" s="53" t="s">
        <v>2299</v>
      </c>
    </row>
    <row r="970" spans="1:10" x14ac:dyDescent="0.25">
      <c r="A970" s="51">
        <v>43389</v>
      </c>
      <c r="C970" s="53" t="s">
        <v>2311</v>
      </c>
      <c r="D970" s="49" t="s">
        <v>2273</v>
      </c>
      <c r="E970" s="53" t="s">
        <v>2347</v>
      </c>
      <c r="F970" s="53" t="str">
        <f>IFERROR(IF(Tabla1[[#This Row],[CONCEPTO mx]]="","",VLOOKUP(Tabla1[[#This Row],[CONCEPTO mx]],Tabla2[#All],2,0)),"")</f>
        <v/>
      </c>
      <c r="G970" s="53" t="str">
        <f>IFERROR(IF(Tabla1[[#This Row],[CONCEPTO mx]]="","",VLOOKUP(Tabla1[[#This Row],[CONCEPTO mx]],Tabla2[#All],3,0)),"")</f>
        <v/>
      </c>
      <c r="H970" s="49" t="s">
        <v>388</v>
      </c>
      <c r="I970" s="49" t="s">
        <v>2298</v>
      </c>
      <c r="J970" s="53" t="s">
        <v>2351</v>
      </c>
    </row>
    <row r="971" spans="1:10" x14ac:dyDescent="0.25">
      <c r="A971" s="51">
        <v>43389</v>
      </c>
      <c r="C971" s="53" t="s">
        <v>2252</v>
      </c>
      <c r="D971" s="49" t="s">
        <v>51</v>
      </c>
      <c r="E971" s="49" t="s">
        <v>3248</v>
      </c>
      <c r="F971" s="49" t="str">
        <f>IFERROR(IF(Tabla1[[#This Row],[CONCEPTO mx]]="","",VLOOKUP(Tabla1[[#This Row],[CONCEPTO mx]],Tabla2[#All],2,0)),"")</f>
        <v>CM1</v>
      </c>
      <c r="G971" s="49" t="str">
        <f>IFERROR(IF(Tabla1[[#This Row],[CONCEPTO mx]]="","",VLOOKUP(Tabla1[[#This Row],[CONCEPTO mx]],Tabla2[#All],3,0)),"")</f>
        <v>Gestión Humana</v>
      </c>
      <c r="H971" s="49" t="s">
        <v>352</v>
      </c>
      <c r="I971" s="49" t="s">
        <v>2298</v>
      </c>
      <c r="J971" s="53" t="s">
        <v>2297</v>
      </c>
    </row>
    <row r="972" spans="1:10" x14ac:dyDescent="0.25">
      <c r="A972" s="51">
        <v>43389</v>
      </c>
      <c r="C972" s="53" t="s">
        <v>2310</v>
      </c>
      <c r="D972" s="49" t="s">
        <v>2277</v>
      </c>
      <c r="F972" s="49" t="str">
        <f>IFERROR(IF(Tabla1[[#This Row],[CONCEPTO mx]]="","",VLOOKUP(Tabla1[[#This Row],[CONCEPTO mx]],Tabla2[#All],2,0)),"")</f>
        <v/>
      </c>
      <c r="G972" s="49" t="str">
        <f>IFERROR(IF(Tabla1[[#This Row],[CONCEPTO mx]]="","",VLOOKUP(Tabla1[[#This Row],[CONCEPTO mx]],Tabla2[#All],3,0)),"")</f>
        <v/>
      </c>
      <c r="H972" s="49" t="s">
        <v>438</v>
      </c>
      <c r="I972" s="49" t="s">
        <v>2298</v>
      </c>
      <c r="J972" s="53" t="s">
        <v>2353</v>
      </c>
    </row>
    <row r="973" spans="1:10" x14ac:dyDescent="0.25">
      <c r="A973" s="51">
        <v>43389</v>
      </c>
      <c r="C973" s="53" t="s">
        <v>2309</v>
      </c>
      <c r="D973" s="49" t="s">
        <v>2273</v>
      </c>
      <c r="F973" s="49" t="str">
        <f>IFERROR(IF(Tabla1[[#This Row],[CONCEPTO mx]]="","",VLOOKUP(Tabla1[[#This Row],[CONCEPTO mx]],Tabla2[#All],2,0)),"")</f>
        <v/>
      </c>
      <c r="G973" s="49" t="str">
        <f>IFERROR(IF(Tabla1[[#This Row],[CONCEPTO mx]]="","",VLOOKUP(Tabla1[[#This Row],[CONCEPTO mx]],Tabla2[#All],3,0)),"")</f>
        <v/>
      </c>
      <c r="H973" s="49" t="s">
        <v>388</v>
      </c>
      <c r="I973" s="49" t="s">
        <v>2298</v>
      </c>
      <c r="J973" s="53" t="s">
        <v>2302</v>
      </c>
    </row>
    <row r="974" spans="1:10" x14ac:dyDescent="0.25">
      <c r="A974" s="51">
        <v>43391</v>
      </c>
      <c r="C974" s="53" t="s">
        <v>2377</v>
      </c>
      <c r="D974" s="49" t="s">
        <v>2273</v>
      </c>
      <c r="E974" s="53" t="s">
        <v>2378</v>
      </c>
      <c r="F974" s="53" t="str">
        <f>IFERROR(IF(Tabla1[[#This Row],[CONCEPTO mx]]="","",VLOOKUP(Tabla1[[#This Row],[CONCEPTO mx]],Tabla2[#All],2,0)),"")</f>
        <v/>
      </c>
      <c r="G974" s="53" t="str">
        <f>IFERROR(IF(Tabla1[[#This Row],[CONCEPTO mx]]="","",VLOOKUP(Tabla1[[#This Row],[CONCEPTO mx]],Tabla2[#All],3,0)),"")</f>
        <v/>
      </c>
      <c r="H974" s="49" t="s">
        <v>343</v>
      </c>
      <c r="I974" s="49" t="s">
        <v>2298</v>
      </c>
      <c r="J974" s="53" t="s">
        <v>2353</v>
      </c>
    </row>
    <row r="975" spans="1:10" x14ac:dyDescent="0.25">
      <c r="A975" s="51">
        <v>43391</v>
      </c>
      <c r="C975" s="53" t="s">
        <v>2348</v>
      </c>
      <c r="D975" s="49" t="s">
        <v>51</v>
      </c>
      <c r="E975" s="49" t="s">
        <v>3248</v>
      </c>
      <c r="F975" s="49" t="str">
        <f>IFERROR(IF(Tabla1[[#This Row],[CONCEPTO mx]]="","",VLOOKUP(Tabla1[[#This Row],[CONCEPTO mx]],Tabla2[#All],2,0)),"")</f>
        <v>CM1</v>
      </c>
      <c r="G975" s="49" t="str">
        <f>IFERROR(IF(Tabla1[[#This Row],[CONCEPTO mx]]="","",VLOOKUP(Tabla1[[#This Row],[CONCEPTO mx]],Tabla2[#All],3,0)),"")</f>
        <v>Gestión Humana</v>
      </c>
      <c r="H975" s="49" t="s">
        <v>334</v>
      </c>
      <c r="I975" s="49" t="s">
        <v>2298</v>
      </c>
      <c r="J975" s="53" t="s">
        <v>2352</v>
      </c>
    </row>
    <row r="976" spans="1:10" x14ac:dyDescent="0.25">
      <c r="A976" s="51">
        <v>43391</v>
      </c>
      <c r="C976" s="53" t="s">
        <v>2313</v>
      </c>
      <c r="D976" s="49" t="s">
        <v>2273</v>
      </c>
      <c r="E976" s="53" t="s">
        <v>2343</v>
      </c>
      <c r="F976" s="53" t="str">
        <f>IFERROR(IF(Tabla1[[#This Row],[CONCEPTO mx]]="","",VLOOKUP(Tabla1[[#This Row],[CONCEPTO mx]],Tabla2[#All],2,0)),"")</f>
        <v/>
      </c>
      <c r="G976" s="53" t="str">
        <f>IFERROR(IF(Tabla1[[#This Row],[CONCEPTO mx]]="","",VLOOKUP(Tabla1[[#This Row],[CONCEPTO mx]],Tabla2[#All],3,0)),"")</f>
        <v/>
      </c>
      <c r="H976" s="49" t="s">
        <v>486</v>
      </c>
      <c r="I976" s="49" t="s">
        <v>2298</v>
      </c>
      <c r="J976" s="53" t="s">
        <v>2314</v>
      </c>
    </row>
    <row r="977" spans="1:12" x14ac:dyDescent="0.25">
      <c r="A977" s="51">
        <v>43391</v>
      </c>
      <c r="C977" s="53" t="s">
        <v>2374</v>
      </c>
      <c r="D977" s="49" t="s">
        <v>2376</v>
      </c>
      <c r="E977" s="53" t="s">
        <v>2375</v>
      </c>
      <c r="F977" s="53" t="str">
        <f>IFERROR(IF(Tabla1[[#This Row],[CONCEPTO mx]]="","",VLOOKUP(Tabla1[[#This Row],[CONCEPTO mx]],Tabla2[#All],2,0)),"")</f>
        <v/>
      </c>
      <c r="G977" s="53" t="str">
        <f>IFERROR(IF(Tabla1[[#This Row],[CONCEPTO mx]]="","",VLOOKUP(Tabla1[[#This Row],[CONCEPTO mx]],Tabla2[#All],3,0)),"")</f>
        <v/>
      </c>
      <c r="H977" s="49" t="s">
        <v>387</v>
      </c>
      <c r="I977" s="49" t="s">
        <v>2298</v>
      </c>
      <c r="J977" s="53" t="s">
        <v>2302</v>
      </c>
    </row>
    <row r="978" spans="1:12" x14ac:dyDescent="0.25">
      <c r="A978" s="51">
        <v>43391</v>
      </c>
      <c r="C978" s="53" t="s">
        <v>2379</v>
      </c>
      <c r="D978" s="49" t="s">
        <v>2360</v>
      </c>
      <c r="F978" s="49" t="str">
        <f>IFERROR(IF(Tabla1[[#This Row],[CONCEPTO mx]]="","",VLOOKUP(Tabla1[[#This Row],[CONCEPTO mx]],Tabla2[#All],2,0)),"")</f>
        <v/>
      </c>
      <c r="G978" s="49" t="str">
        <f>IFERROR(IF(Tabla1[[#This Row],[CONCEPTO mx]]="","",VLOOKUP(Tabla1[[#This Row],[CONCEPTO mx]],Tabla2[#All],3,0)),"")</f>
        <v/>
      </c>
      <c r="H978" s="49" t="s">
        <v>334</v>
      </c>
      <c r="I978" s="49" t="s">
        <v>2298</v>
      </c>
      <c r="J978" s="53" t="s">
        <v>2302</v>
      </c>
    </row>
    <row r="979" spans="1:12" x14ac:dyDescent="0.25">
      <c r="A979" s="51">
        <v>43391</v>
      </c>
      <c r="C979" s="53" t="s">
        <v>2380</v>
      </c>
      <c r="D979" s="49" t="s">
        <v>51</v>
      </c>
      <c r="E979" s="49" t="s">
        <v>3248</v>
      </c>
      <c r="F979" s="49" t="str">
        <f>IFERROR(IF(Tabla1[[#This Row],[CONCEPTO mx]]="","",VLOOKUP(Tabla1[[#This Row],[CONCEPTO mx]],Tabla2[#All],2,0)),"")</f>
        <v>CM1</v>
      </c>
      <c r="G979" s="49" t="str">
        <f>IFERROR(IF(Tabla1[[#This Row],[CONCEPTO mx]]="","",VLOOKUP(Tabla1[[#This Row],[CONCEPTO mx]],Tabla2[#All],3,0)),"")</f>
        <v>Gestión Humana</v>
      </c>
      <c r="H979" s="49" t="s">
        <v>334</v>
      </c>
      <c r="I979" s="49" t="s">
        <v>2298</v>
      </c>
      <c r="J979" s="53" t="s">
        <v>2353</v>
      </c>
    </row>
    <row r="980" spans="1:12" x14ac:dyDescent="0.25">
      <c r="A980" s="51">
        <v>43391</v>
      </c>
      <c r="C980" s="53" t="s">
        <v>2370</v>
      </c>
      <c r="D980" s="49" t="s">
        <v>2360</v>
      </c>
      <c r="F980" s="49" t="str">
        <f>IFERROR(IF(Tabla1[[#This Row],[CONCEPTO mx]]="","",VLOOKUP(Tabla1[[#This Row],[CONCEPTO mx]],Tabla2[#All],2,0)),"")</f>
        <v/>
      </c>
      <c r="G980" s="49" t="str">
        <f>IFERROR(IF(Tabla1[[#This Row],[CONCEPTO mx]]="","",VLOOKUP(Tabla1[[#This Row],[CONCEPTO mx]],Tabla2[#All],3,0)),"")</f>
        <v/>
      </c>
      <c r="H980" s="49" t="s">
        <v>438</v>
      </c>
      <c r="I980" s="49" t="s">
        <v>2298</v>
      </c>
      <c r="J980" s="53" t="s">
        <v>2351</v>
      </c>
    </row>
    <row r="981" spans="1:12" x14ac:dyDescent="0.25">
      <c r="A981" s="51">
        <v>43391</v>
      </c>
      <c r="C981" s="53" t="s">
        <v>2367</v>
      </c>
      <c r="D981" s="49" t="s">
        <v>2273</v>
      </c>
      <c r="E981" s="53" t="s">
        <v>2369</v>
      </c>
      <c r="F981" s="53" t="str">
        <f>IFERROR(IF(Tabla1[[#This Row],[CONCEPTO mx]]="","",VLOOKUP(Tabla1[[#This Row],[CONCEPTO mx]],Tabla2[#All],2,0)),"")</f>
        <v/>
      </c>
      <c r="G981" s="53" t="str">
        <f>IFERROR(IF(Tabla1[[#This Row],[CONCEPTO mx]]="","",VLOOKUP(Tabla1[[#This Row],[CONCEPTO mx]],Tabla2[#All],3,0)),"")</f>
        <v/>
      </c>
      <c r="H981" s="49" t="s">
        <v>470</v>
      </c>
      <c r="I981" s="49" t="s">
        <v>2298</v>
      </c>
      <c r="J981" s="53" t="s">
        <v>2368</v>
      </c>
    </row>
    <row r="982" spans="1:12" x14ac:dyDescent="0.25">
      <c r="A982" s="51">
        <v>43391</v>
      </c>
      <c r="C982" s="53" t="s">
        <v>2383</v>
      </c>
      <c r="D982" s="67"/>
      <c r="E982" s="49" t="s">
        <v>2355</v>
      </c>
      <c r="F982" s="49" t="str">
        <f>IFERROR(IF(Tabla1[[#This Row],[CONCEPTO mx]]="","",VLOOKUP(Tabla1[[#This Row],[CONCEPTO mx]],Tabla2[#All],2,0)),"")</f>
        <v>CM13</v>
      </c>
      <c r="G982" s="49" t="str">
        <f>IFERROR(IF(Tabla1[[#This Row],[CONCEPTO mx]]="","",VLOOKUP(Tabla1[[#This Row],[CONCEPTO mx]],Tabla2[#All],3,0)),"")</f>
        <v>Gestión Humana</v>
      </c>
      <c r="H982" s="49" t="s">
        <v>413</v>
      </c>
      <c r="I982" s="57" t="s">
        <v>2298</v>
      </c>
      <c r="J982" s="53" t="s">
        <v>2307</v>
      </c>
      <c r="K982" s="51">
        <v>43399</v>
      </c>
      <c r="L982" s="49" t="s">
        <v>2286</v>
      </c>
    </row>
    <row r="983" spans="1:12" x14ac:dyDescent="0.25">
      <c r="A983" s="51">
        <v>43391</v>
      </c>
      <c r="C983" s="53" t="s">
        <v>961</v>
      </c>
      <c r="D983" s="49" t="s">
        <v>51</v>
      </c>
      <c r="E983" s="49" t="s">
        <v>3248</v>
      </c>
      <c r="F983" s="49" t="str">
        <f>IFERROR(IF(Tabla1[[#This Row],[CONCEPTO mx]]="","",VLOOKUP(Tabla1[[#This Row],[CONCEPTO mx]],Tabla2[#All],2,0)),"")</f>
        <v>CM1</v>
      </c>
      <c r="G983" s="49" t="str">
        <f>IFERROR(IF(Tabla1[[#This Row],[CONCEPTO mx]]="","",VLOOKUP(Tabla1[[#This Row],[CONCEPTO mx]],Tabla2[#All],3,0)),"")</f>
        <v>Gestión Humana</v>
      </c>
      <c r="H983" s="49" t="s">
        <v>486</v>
      </c>
      <c r="I983" s="49" t="s">
        <v>2298</v>
      </c>
      <c r="J983" s="53" t="s">
        <v>2353</v>
      </c>
    </row>
    <row r="984" spans="1:12" x14ac:dyDescent="0.25">
      <c r="A984" s="51">
        <v>43391</v>
      </c>
      <c r="C984" s="53" t="s">
        <v>2358</v>
      </c>
      <c r="D984" s="49" t="s">
        <v>2273</v>
      </c>
      <c r="E984" s="53" t="s">
        <v>2357</v>
      </c>
      <c r="F984" s="53" t="str">
        <f>IFERROR(IF(Tabla1[[#This Row],[CONCEPTO mx]]="","",VLOOKUP(Tabla1[[#This Row],[CONCEPTO mx]],Tabla2[#All],2,0)),"")</f>
        <v/>
      </c>
      <c r="G984" s="53" t="str">
        <f>IFERROR(IF(Tabla1[[#This Row],[CONCEPTO mx]]="","",VLOOKUP(Tabla1[[#This Row],[CONCEPTO mx]],Tabla2[#All],3,0)),"")</f>
        <v/>
      </c>
      <c r="H984" s="49" t="s">
        <v>470</v>
      </c>
      <c r="I984" s="49" t="s">
        <v>2298</v>
      </c>
      <c r="J984" s="53" t="s">
        <v>2314</v>
      </c>
    </row>
    <row r="985" spans="1:12" x14ac:dyDescent="0.25">
      <c r="A985" s="51">
        <v>43391</v>
      </c>
      <c r="C985" s="53" t="s">
        <v>2363</v>
      </c>
      <c r="D985" s="49" t="s">
        <v>2273</v>
      </c>
      <c r="E985" s="53" t="s">
        <v>2364</v>
      </c>
      <c r="F985" s="53" t="str">
        <f>IFERROR(IF(Tabla1[[#This Row],[CONCEPTO mx]]="","",VLOOKUP(Tabla1[[#This Row],[CONCEPTO mx]],Tabla2[#All],2,0)),"")</f>
        <v/>
      </c>
      <c r="G985" s="53" t="str">
        <f>IFERROR(IF(Tabla1[[#This Row],[CONCEPTO mx]]="","",VLOOKUP(Tabla1[[#This Row],[CONCEPTO mx]],Tabla2[#All],3,0)),"")</f>
        <v/>
      </c>
      <c r="H985" s="49" t="s">
        <v>438</v>
      </c>
      <c r="I985" s="49" t="s">
        <v>2298</v>
      </c>
      <c r="J985" s="53" t="s">
        <v>2341</v>
      </c>
    </row>
    <row r="986" spans="1:12" x14ac:dyDescent="0.25">
      <c r="A986" s="51">
        <v>43391</v>
      </c>
      <c r="C986" s="53" t="s">
        <v>2359</v>
      </c>
      <c r="D986" s="49" t="s">
        <v>2360</v>
      </c>
      <c r="F986" s="49" t="str">
        <f>IFERROR(IF(Tabla1[[#This Row],[CONCEPTO mx]]="","",VLOOKUP(Tabla1[[#This Row],[CONCEPTO mx]],Tabla2[#All],2,0)),"")</f>
        <v/>
      </c>
      <c r="G986" s="49" t="str">
        <f>IFERROR(IF(Tabla1[[#This Row],[CONCEPTO mx]]="","",VLOOKUP(Tabla1[[#This Row],[CONCEPTO mx]],Tabla2[#All],3,0)),"")</f>
        <v/>
      </c>
      <c r="H986" s="49" t="s">
        <v>550</v>
      </c>
      <c r="I986" s="49" t="s">
        <v>2298</v>
      </c>
      <c r="J986" s="53" t="s">
        <v>2351</v>
      </c>
    </row>
    <row r="987" spans="1:12" x14ac:dyDescent="0.25">
      <c r="A987" s="51">
        <v>43391</v>
      </c>
      <c r="C987" s="53" t="s">
        <v>2262</v>
      </c>
      <c r="D987" s="67"/>
      <c r="E987" s="49" t="s">
        <v>2355</v>
      </c>
      <c r="F987" s="49" t="str">
        <f>IFERROR(IF(Tabla1[[#This Row],[CONCEPTO mx]]="","",VLOOKUP(Tabla1[[#This Row],[CONCEPTO mx]],Tabla2[#All],2,0)),"")</f>
        <v>CM13</v>
      </c>
      <c r="G987" s="49" t="str">
        <f>IFERROR(IF(Tabla1[[#This Row],[CONCEPTO mx]]="","",VLOOKUP(Tabla1[[#This Row],[CONCEPTO mx]],Tabla2[#All],3,0)),"")</f>
        <v>Gestión Humana</v>
      </c>
      <c r="H987" s="49" t="s">
        <v>343</v>
      </c>
      <c r="I987" s="49" t="s">
        <v>2298</v>
      </c>
      <c r="J987" s="53" t="s">
        <v>2512</v>
      </c>
    </row>
    <row r="988" spans="1:12" x14ac:dyDescent="0.25">
      <c r="A988" s="51">
        <v>43391</v>
      </c>
      <c r="C988" s="53" t="s">
        <v>2342</v>
      </c>
      <c r="D988" s="49" t="s">
        <v>51</v>
      </c>
      <c r="E988" s="49" t="s">
        <v>3250</v>
      </c>
      <c r="F988" s="49" t="str">
        <f>IFERROR(IF(Tabla1[[#This Row],[CONCEPTO mx]]="","",VLOOKUP(Tabla1[[#This Row],[CONCEPTO mx]],Tabla2[#All],2,0)),"")</f>
        <v>CM12</v>
      </c>
      <c r="G988" s="49" t="str">
        <f>IFERROR(IF(Tabla1[[#This Row],[CONCEPTO mx]]="","",VLOOKUP(Tabla1[[#This Row],[CONCEPTO mx]],Tabla2[#All],3,0)),"")</f>
        <v>SST</v>
      </c>
      <c r="H988" s="49" t="s">
        <v>2391</v>
      </c>
      <c r="I988" s="49" t="s">
        <v>2298</v>
      </c>
      <c r="J988" s="53" t="s">
        <v>2341</v>
      </c>
    </row>
    <row r="989" spans="1:12" x14ac:dyDescent="0.25">
      <c r="A989" s="51">
        <v>43391</v>
      </c>
      <c r="C989" s="53" t="s">
        <v>2361</v>
      </c>
      <c r="D989" s="68" t="s">
        <v>2362</v>
      </c>
      <c r="E989" s="53" t="s">
        <v>2384</v>
      </c>
      <c r="F989" s="53" t="str">
        <f>IFERROR(IF(Tabla1[[#This Row],[CONCEPTO mx]]="","",VLOOKUP(Tabla1[[#This Row],[CONCEPTO mx]],Tabla2[#All],2,0)),"")</f>
        <v/>
      </c>
      <c r="G989" s="53" t="str">
        <f>IFERROR(IF(Tabla1[[#This Row],[CONCEPTO mx]]="","",VLOOKUP(Tabla1[[#This Row],[CONCEPTO mx]],Tabla2[#All],3,0)),"")</f>
        <v/>
      </c>
      <c r="H989" s="49" t="s">
        <v>2391</v>
      </c>
      <c r="I989" s="49" t="s">
        <v>2298</v>
      </c>
      <c r="J989" s="53" t="s">
        <v>2351</v>
      </c>
    </row>
    <row r="990" spans="1:12" x14ac:dyDescent="0.25">
      <c r="A990" s="51">
        <v>43391</v>
      </c>
      <c r="C990" s="53" t="s">
        <v>2344</v>
      </c>
      <c r="D990" s="49" t="s">
        <v>51</v>
      </c>
      <c r="E990" s="53" t="s">
        <v>2635</v>
      </c>
      <c r="F990" s="53" t="str">
        <f>IFERROR(IF(Tabla1[[#This Row],[CONCEPTO mx]]="","",VLOOKUP(Tabla1[[#This Row],[CONCEPTO mx]],Tabla2[#All],2,0)),"")</f>
        <v>CM21</v>
      </c>
      <c r="G990" s="53" t="str">
        <f>IFERROR(IF(Tabla1[[#This Row],[CONCEPTO mx]]="","",VLOOKUP(Tabla1[[#This Row],[CONCEPTO mx]],Tabla2[#All],3,0)),"")</f>
        <v>SST</v>
      </c>
      <c r="H990" s="49" t="s">
        <v>387</v>
      </c>
      <c r="I990" s="49" t="s">
        <v>2298</v>
      </c>
      <c r="J990" s="53" t="s">
        <v>2353</v>
      </c>
    </row>
    <row r="991" spans="1:12" x14ac:dyDescent="0.25">
      <c r="A991" s="51">
        <v>43391</v>
      </c>
      <c r="C991" s="53" t="s">
        <v>2345</v>
      </c>
      <c r="D991" s="49" t="s">
        <v>51</v>
      </c>
      <c r="E991" s="49" t="s">
        <v>3250</v>
      </c>
      <c r="F991" s="53" t="str">
        <f>IFERROR(IF(Tabla1[[#This Row],[CONCEPTO mx]]="","",VLOOKUP(Tabla1[[#This Row],[CONCEPTO mx]],Tabla2[#All],2,0)),"")</f>
        <v>CM12</v>
      </c>
      <c r="G991" s="53" t="str">
        <f>IFERROR(IF(Tabla1[[#This Row],[CONCEPTO mx]]="","",VLOOKUP(Tabla1[[#This Row],[CONCEPTO mx]],Tabla2[#All],3,0)),"")</f>
        <v>SST</v>
      </c>
      <c r="H991" s="49" t="s">
        <v>357</v>
      </c>
      <c r="I991" s="49" t="s">
        <v>2298</v>
      </c>
      <c r="J991" s="53" t="s">
        <v>2314</v>
      </c>
    </row>
    <row r="992" spans="1:12" x14ac:dyDescent="0.25">
      <c r="A992" s="51">
        <v>43391</v>
      </c>
      <c r="C992" s="53" t="s">
        <v>2365</v>
      </c>
      <c r="D992" s="49" t="s">
        <v>2273</v>
      </c>
      <c r="E992" s="53" t="s">
        <v>2366</v>
      </c>
      <c r="F992" s="53" t="str">
        <f>IFERROR(IF(Tabla1[[#This Row],[CONCEPTO mx]]="","",VLOOKUP(Tabla1[[#This Row],[CONCEPTO mx]],Tabla2[#All],2,0)),"")</f>
        <v/>
      </c>
      <c r="G992" s="53" t="str">
        <f>IFERROR(IF(Tabla1[[#This Row],[CONCEPTO mx]]="","",VLOOKUP(Tabla1[[#This Row],[CONCEPTO mx]],Tabla2[#All],3,0)),"")</f>
        <v/>
      </c>
      <c r="H992" s="49" t="s">
        <v>438</v>
      </c>
      <c r="I992" s="49" t="s">
        <v>2298</v>
      </c>
      <c r="J992" s="53" t="s">
        <v>2536</v>
      </c>
    </row>
    <row r="993" spans="1:12" x14ac:dyDescent="0.25">
      <c r="A993" s="51">
        <v>43391</v>
      </c>
      <c r="C993" s="53" t="s">
        <v>2381</v>
      </c>
      <c r="D993" s="49" t="s">
        <v>2382</v>
      </c>
      <c r="F993" s="49" t="str">
        <f>IFERROR(IF(Tabla1[[#This Row],[CONCEPTO mx]]="","",VLOOKUP(Tabla1[[#This Row],[CONCEPTO mx]],Tabla2[#All],2,0)),"")</f>
        <v/>
      </c>
      <c r="G993" s="49" t="str">
        <f>IFERROR(IF(Tabla1[[#This Row],[CONCEPTO mx]]="","",VLOOKUP(Tabla1[[#This Row],[CONCEPTO mx]],Tabla2[#All],3,0)),"")</f>
        <v/>
      </c>
      <c r="H993" s="49" t="s">
        <v>388</v>
      </c>
      <c r="I993" s="49" t="s">
        <v>2298</v>
      </c>
      <c r="J993" s="53" t="s">
        <v>2353</v>
      </c>
    </row>
    <row r="994" spans="1:12" x14ac:dyDescent="0.25">
      <c r="A994" s="51">
        <v>43391</v>
      </c>
      <c r="C994" s="53" t="s">
        <v>2371</v>
      </c>
      <c r="D994" s="67"/>
      <c r="E994" s="49" t="s">
        <v>2355</v>
      </c>
      <c r="F994" s="49" t="str">
        <f>IFERROR(IF(Tabla1[[#This Row],[CONCEPTO mx]]="","",VLOOKUP(Tabla1[[#This Row],[CONCEPTO mx]],Tabla2[#All],2,0)),"")</f>
        <v>CM13</v>
      </c>
      <c r="G994" s="49" t="str">
        <f>IFERROR(IF(Tabla1[[#This Row],[CONCEPTO mx]]="","",VLOOKUP(Tabla1[[#This Row],[CONCEPTO mx]],Tabla2[#All],3,0)),"")</f>
        <v>Gestión Humana</v>
      </c>
      <c r="H994" s="49" t="s">
        <v>439</v>
      </c>
      <c r="I994" s="57" t="s">
        <v>2298</v>
      </c>
      <c r="J994" s="53" t="s">
        <v>2372</v>
      </c>
      <c r="K994" s="51">
        <v>43399</v>
      </c>
      <c r="L994" s="49" t="s">
        <v>2286</v>
      </c>
    </row>
    <row r="995" spans="1:12" x14ac:dyDescent="0.25">
      <c r="A995" s="51">
        <v>43391</v>
      </c>
      <c r="C995" s="53" t="s">
        <v>2373</v>
      </c>
      <c r="D995" s="67"/>
      <c r="E995" s="49" t="s">
        <v>2355</v>
      </c>
      <c r="F995" s="49" t="str">
        <f>IFERROR(IF(Tabla1[[#This Row],[CONCEPTO mx]]="","",VLOOKUP(Tabla1[[#This Row],[CONCEPTO mx]],Tabla2[#All],2,0)),"")</f>
        <v>CM13</v>
      </c>
      <c r="G995" s="49" t="str">
        <f>IFERROR(IF(Tabla1[[#This Row],[CONCEPTO mx]]="","",VLOOKUP(Tabla1[[#This Row],[CONCEPTO mx]],Tabla2[#All],3,0)),"")</f>
        <v>Gestión Humana</v>
      </c>
      <c r="H995" s="49" t="s">
        <v>438</v>
      </c>
      <c r="I995" s="57" t="s">
        <v>2298</v>
      </c>
      <c r="J995" s="53" t="s">
        <v>2341</v>
      </c>
      <c r="K995" s="51">
        <v>43399</v>
      </c>
      <c r="L995" s="49" t="s">
        <v>2275</v>
      </c>
    </row>
    <row r="996" spans="1:12" x14ac:dyDescent="0.25">
      <c r="A996" s="51">
        <v>43391</v>
      </c>
      <c r="C996" s="53" t="s">
        <v>2349</v>
      </c>
      <c r="D996" s="49" t="s">
        <v>2350</v>
      </c>
      <c r="E996" s="53" t="s">
        <v>2401</v>
      </c>
      <c r="F996" s="53" t="str">
        <f>IFERROR(IF(Tabla1[[#This Row],[CONCEPTO mx]]="","",VLOOKUP(Tabla1[[#This Row],[CONCEPTO mx]],Tabla2[#All],2,0)),"")</f>
        <v>CM28</v>
      </c>
      <c r="G996" s="53" t="str">
        <f>IFERROR(IF(Tabla1[[#This Row],[CONCEPTO mx]]="","",VLOOKUP(Tabla1[[#This Row],[CONCEPTO mx]],Tabla2[#All],3,0)),"")</f>
        <v>SST</v>
      </c>
      <c r="H996" s="49" t="s">
        <v>388</v>
      </c>
      <c r="I996" s="49" t="s">
        <v>2298</v>
      </c>
      <c r="J996" s="53" t="s">
        <v>2351</v>
      </c>
    </row>
    <row r="997" spans="1:12" x14ac:dyDescent="0.25">
      <c r="A997" s="51">
        <v>43391</v>
      </c>
      <c r="C997" s="53" t="s">
        <v>2354</v>
      </c>
      <c r="D997" s="67"/>
      <c r="E997" s="49" t="s">
        <v>2355</v>
      </c>
      <c r="F997" s="49" t="str">
        <f>IFERROR(IF(Tabla1[[#This Row],[CONCEPTO mx]]="","",VLOOKUP(Tabla1[[#This Row],[CONCEPTO mx]],Tabla2[#All],2,0)),"")</f>
        <v>CM13</v>
      </c>
      <c r="G997" s="49" t="str">
        <f>IFERROR(IF(Tabla1[[#This Row],[CONCEPTO mx]]="","",VLOOKUP(Tabla1[[#This Row],[CONCEPTO mx]],Tabla2[#All],3,0)),"")</f>
        <v>Gestión Humana</v>
      </c>
      <c r="H997" s="49" t="s">
        <v>388</v>
      </c>
      <c r="I997" s="49" t="s">
        <v>2298</v>
      </c>
      <c r="J997" s="53" t="s">
        <v>2356</v>
      </c>
    </row>
    <row r="998" spans="1:12" x14ac:dyDescent="0.25">
      <c r="A998" s="51">
        <v>43391</v>
      </c>
      <c r="C998" s="53" t="s">
        <v>2340</v>
      </c>
      <c r="D998" s="49" t="s">
        <v>2273</v>
      </c>
      <c r="E998" s="53" t="s">
        <v>2346</v>
      </c>
      <c r="F998" s="53" t="str">
        <f>IFERROR(IF(Tabla1[[#This Row],[CONCEPTO mx]]="","",VLOOKUP(Tabla1[[#This Row],[CONCEPTO mx]],Tabla2[#All],2,0)),"")</f>
        <v/>
      </c>
      <c r="G998" s="53" t="str">
        <f>IFERROR(IF(Tabla1[[#This Row],[CONCEPTO mx]]="","",VLOOKUP(Tabla1[[#This Row],[CONCEPTO mx]],Tabla2[#All],3,0)),"")</f>
        <v/>
      </c>
      <c r="H998" s="49" t="s">
        <v>438</v>
      </c>
      <c r="I998" s="49" t="s">
        <v>2298</v>
      </c>
      <c r="J998" s="53" t="s">
        <v>2341</v>
      </c>
    </row>
    <row r="999" spans="1:12" x14ac:dyDescent="0.25">
      <c r="A999" s="51">
        <v>43395</v>
      </c>
      <c r="C999" s="52" t="s">
        <v>2390</v>
      </c>
      <c r="D999" s="49" t="s">
        <v>2399</v>
      </c>
      <c r="E999" s="49" t="s">
        <v>2398</v>
      </c>
      <c r="F999" s="49" t="str">
        <f>IFERROR(IF(Tabla1[[#This Row],[CONCEPTO mx]]="","",VLOOKUP(Tabla1[[#This Row],[CONCEPTO mx]],Tabla2[#All],2,0)),"")</f>
        <v/>
      </c>
      <c r="G999" s="49" t="str">
        <f>IFERROR(IF(Tabla1[[#This Row],[CONCEPTO mx]]="","",VLOOKUP(Tabla1[[#This Row],[CONCEPTO mx]],Tabla2[#All],3,0)),"")</f>
        <v/>
      </c>
      <c r="H999" s="49" t="s">
        <v>628</v>
      </c>
      <c r="I999" s="49" t="s">
        <v>2298</v>
      </c>
      <c r="J999" s="53" t="s">
        <v>2319</v>
      </c>
    </row>
    <row r="1000" spans="1:12" x14ac:dyDescent="0.25">
      <c r="A1000" s="51">
        <v>43395</v>
      </c>
      <c r="C1000" s="52" t="s">
        <v>2387</v>
      </c>
      <c r="D1000" s="49" t="s">
        <v>2397</v>
      </c>
      <c r="E1000" s="49" t="s">
        <v>2388</v>
      </c>
      <c r="F1000" s="49" t="str">
        <f>IFERROR(IF(Tabla1[[#This Row],[CONCEPTO mx]]="","",VLOOKUP(Tabla1[[#This Row],[CONCEPTO mx]],Tabla2[#All],2,0)),"")</f>
        <v/>
      </c>
      <c r="G1000" s="49" t="str">
        <f>IFERROR(IF(Tabla1[[#This Row],[CONCEPTO mx]]="","",VLOOKUP(Tabla1[[#This Row],[CONCEPTO mx]],Tabla2[#All],3,0)),"")</f>
        <v/>
      </c>
      <c r="H1000" s="49" t="s">
        <v>334</v>
      </c>
      <c r="I1000" s="49" t="s">
        <v>2298</v>
      </c>
      <c r="J1000" s="53" t="s">
        <v>2299</v>
      </c>
    </row>
    <row r="1001" spans="1:12" x14ac:dyDescent="0.25">
      <c r="A1001" s="51">
        <v>43395</v>
      </c>
      <c r="C1001" s="52" t="s">
        <v>2385</v>
      </c>
      <c r="D1001" s="49" t="s">
        <v>2273</v>
      </c>
      <c r="E1001" s="52" t="s">
        <v>2386</v>
      </c>
      <c r="F1001" s="52" t="str">
        <f>IFERROR(IF(Tabla1[[#This Row],[CONCEPTO mx]]="","",VLOOKUP(Tabla1[[#This Row],[CONCEPTO mx]],Tabla2[#All],2,0)),"")</f>
        <v/>
      </c>
      <c r="G1001" s="52" t="str">
        <f>IFERROR(IF(Tabla1[[#This Row],[CONCEPTO mx]]="","",VLOOKUP(Tabla1[[#This Row],[CONCEPTO mx]],Tabla2[#All],3,0)),"")</f>
        <v/>
      </c>
      <c r="H1001" s="49" t="s">
        <v>388</v>
      </c>
      <c r="I1001" s="49" t="s">
        <v>2298</v>
      </c>
      <c r="J1001" s="53" t="s">
        <v>2353</v>
      </c>
    </row>
    <row r="1002" spans="1:12" x14ac:dyDescent="0.25">
      <c r="A1002" s="51">
        <v>43395</v>
      </c>
      <c r="C1002" s="52" t="s">
        <v>2400</v>
      </c>
      <c r="D1002" s="49" t="s">
        <v>2399</v>
      </c>
      <c r="E1002" s="52" t="s">
        <v>2401</v>
      </c>
      <c r="F1002" s="52" t="str">
        <f>IFERROR(IF(Tabla1[[#This Row],[CONCEPTO mx]]="","",VLOOKUP(Tabla1[[#This Row],[CONCEPTO mx]],Tabla2[#All],2,0)),"")</f>
        <v>CM28</v>
      </c>
      <c r="G1002" s="52" t="str">
        <f>IFERROR(IF(Tabla1[[#This Row],[CONCEPTO mx]]="","",VLOOKUP(Tabla1[[#This Row],[CONCEPTO mx]],Tabla2[#All],3,0)),"")</f>
        <v>SST</v>
      </c>
      <c r="H1002" s="49" t="s">
        <v>438</v>
      </c>
      <c r="I1002" s="49" t="s">
        <v>2298</v>
      </c>
      <c r="J1002" s="53" t="s">
        <v>2402</v>
      </c>
    </row>
    <row r="1003" spans="1:12" x14ac:dyDescent="0.25">
      <c r="A1003" s="51">
        <v>43395</v>
      </c>
      <c r="C1003" s="52" t="s">
        <v>2389</v>
      </c>
      <c r="D1003" s="67"/>
      <c r="E1003" s="49" t="s">
        <v>2355</v>
      </c>
      <c r="F1003" s="49" t="str">
        <f>IFERROR(IF(Tabla1[[#This Row],[CONCEPTO mx]]="","",VLOOKUP(Tabla1[[#This Row],[CONCEPTO mx]],Tabla2[#All],2,0)),"")</f>
        <v>CM13</v>
      </c>
      <c r="G1003" s="49" t="str">
        <f>IFERROR(IF(Tabla1[[#This Row],[CONCEPTO mx]]="","",VLOOKUP(Tabla1[[#This Row],[CONCEPTO mx]],Tabla2[#All],3,0)),"")</f>
        <v>Gestión Humana</v>
      </c>
      <c r="H1003" s="49" t="s">
        <v>388</v>
      </c>
      <c r="I1003" s="57" t="s">
        <v>2298</v>
      </c>
      <c r="J1003" s="53" t="s">
        <v>2351</v>
      </c>
      <c r="K1003" s="51">
        <v>43433</v>
      </c>
      <c r="L1003" s="49" t="s">
        <v>2286</v>
      </c>
    </row>
    <row r="1004" spans="1:12" x14ac:dyDescent="0.25">
      <c r="A1004" s="51">
        <v>43397</v>
      </c>
      <c r="C1004" s="52" t="s">
        <v>2403</v>
      </c>
      <c r="D1004" s="49" t="s">
        <v>2404</v>
      </c>
      <c r="E1004" s="52" t="s">
        <v>2405</v>
      </c>
      <c r="F1004" s="52" t="str">
        <f>IFERROR(IF(Tabla1[[#This Row],[CONCEPTO mx]]="","",VLOOKUP(Tabla1[[#This Row],[CONCEPTO mx]],Tabla2[#All],2,0)),"")</f>
        <v/>
      </c>
      <c r="G1004" s="52" t="str">
        <f>IFERROR(IF(Tabla1[[#This Row],[CONCEPTO mx]]="","",VLOOKUP(Tabla1[[#This Row],[CONCEPTO mx]],Tabla2[#All],3,0)),"")</f>
        <v/>
      </c>
      <c r="H1004" s="49" t="s">
        <v>438</v>
      </c>
      <c r="I1004" s="49" t="s">
        <v>2298</v>
      </c>
      <c r="J1004" s="53" t="s">
        <v>2319</v>
      </c>
    </row>
    <row r="1005" spans="1:12" x14ac:dyDescent="0.25">
      <c r="A1005" s="51">
        <v>43397</v>
      </c>
      <c r="C1005" s="52" t="s">
        <v>2416</v>
      </c>
      <c r="D1005" s="49" t="s">
        <v>2418</v>
      </c>
      <c r="E1005" s="52" t="s">
        <v>2417</v>
      </c>
      <c r="F1005" s="52" t="str">
        <f>IFERROR(IF(Tabla1[[#This Row],[CONCEPTO mx]]="","",VLOOKUP(Tabla1[[#This Row],[CONCEPTO mx]],Tabla2[#All],2,0)),"")</f>
        <v/>
      </c>
      <c r="G1005" s="52" t="str">
        <f>IFERROR(IF(Tabla1[[#This Row],[CONCEPTO mx]]="","",VLOOKUP(Tabla1[[#This Row],[CONCEPTO mx]],Tabla2[#All],3,0)),"")</f>
        <v/>
      </c>
      <c r="H1005" s="49" t="s">
        <v>550</v>
      </c>
      <c r="I1005" s="49" t="s">
        <v>2419</v>
      </c>
      <c r="J1005" s="53"/>
    </row>
    <row r="1006" spans="1:12" x14ac:dyDescent="0.25">
      <c r="A1006" s="51">
        <v>43397</v>
      </c>
      <c r="C1006" s="52" t="s">
        <v>2407</v>
      </c>
      <c r="D1006" s="49" t="s">
        <v>2404</v>
      </c>
      <c r="E1006" s="52" t="s">
        <v>2406</v>
      </c>
      <c r="F1006" s="52" t="str">
        <f>IFERROR(IF(Tabla1[[#This Row],[CONCEPTO mx]]="","",VLOOKUP(Tabla1[[#This Row],[CONCEPTO mx]],Tabla2[#All],2,0)),"")</f>
        <v/>
      </c>
      <c r="G1006" s="52" t="str">
        <f>IFERROR(IF(Tabla1[[#This Row],[CONCEPTO mx]]="","",VLOOKUP(Tabla1[[#This Row],[CONCEPTO mx]],Tabla2[#All],3,0)),"")</f>
        <v/>
      </c>
      <c r="H1006" s="49" t="s">
        <v>2391</v>
      </c>
      <c r="I1006" s="49" t="s">
        <v>2298</v>
      </c>
      <c r="J1006" s="53" t="s">
        <v>2872</v>
      </c>
    </row>
    <row r="1007" spans="1:12" x14ac:dyDescent="0.25">
      <c r="A1007" s="51">
        <v>43397</v>
      </c>
      <c r="C1007" s="52" t="s">
        <v>118</v>
      </c>
      <c r="D1007" s="49" t="s">
        <v>2273</v>
      </c>
      <c r="E1007" s="52" t="s">
        <v>2413</v>
      </c>
      <c r="F1007" s="52" t="str">
        <f>IFERROR(IF(Tabla1[[#This Row],[CONCEPTO mx]]="","",VLOOKUP(Tabla1[[#This Row],[CONCEPTO mx]],Tabla2[#All],2,0)),"")</f>
        <v/>
      </c>
      <c r="G1007" s="52" t="str">
        <f>IFERROR(IF(Tabla1[[#This Row],[CONCEPTO mx]]="","",VLOOKUP(Tabla1[[#This Row],[CONCEPTO mx]],Tabla2[#All],3,0)),"")</f>
        <v/>
      </c>
      <c r="H1007" s="49" t="s">
        <v>470</v>
      </c>
      <c r="I1007" s="49" t="s">
        <v>2298</v>
      </c>
      <c r="J1007" s="53" t="s">
        <v>2314</v>
      </c>
    </row>
    <row r="1008" spans="1:12" x14ac:dyDescent="0.25">
      <c r="A1008" s="51">
        <v>43397</v>
      </c>
      <c r="C1008" s="52" t="s">
        <v>2411</v>
      </c>
      <c r="D1008" s="49" t="s">
        <v>2273</v>
      </c>
      <c r="E1008" s="52" t="s">
        <v>2410</v>
      </c>
      <c r="F1008" s="52" t="str">
        <f>IFERROR(IF(Tabla1[[#This Row],[CONCEPTO mx]]="","",VLOOKUP(Tabla1[[#This Row],[CONCEPTO mx]],Tabla2[#All],2,0)),"")</f>
        <v/>
      </c>
      <c r="G1008" s="52" t="str">
        <f>IFERROR(IF(Tabla1[[#This Row],[CONCEPTO mx]]="","",VLOOKUP(Tabla1[[#This Row],[CONCEPTO mx]],Tabla2[#All],3,0)),"")</f>
        <v/>
      </c>
      <c r="H1008" s="49" t="s">
        <v>438</v>
      </c>
      <c r="I1008" s="49" t="s">
        <v>2298</v>
      </c>
      <c r="J1008" s="53" t="s">
        <v>2412</v>
      </c>
    </row>
    <row r="1009" spans="1:12" x14ac:dyDescent="0.25">
      <c r="A1009" s="51">
        <v>43397</v>
      </c>
      <c r="C1009" s="52" t="s">
        <v>2408</v>
      </c>
      <c r="D1009" s="49" t="s">
        <v>2360</v>
      </c>
      <c r="F1009" s="49" t="str">
        <f>IFERROR(IF(Tabla1[[#This Row],[CONCEPTO mx]]="","",VLOOKUP(Tabla1[[#This Row],[CONCEPTO mx]],Tabla2[#All],2,0)),"")</f>
        <v/>
      </c>
      <c r="G1009" s="49" t="str">
        <f>IFERROR(IF(Tabla1[[#This Row],[CONCEPTO mx]]="","",VLOOKUP(Tabla1[[#This Row],[CONCEPTO mx]],Tabla2[#All],3,0)),"")</f>
        <v/>
      </c>
      <c r="H1009" s="49" t="s">
        <v>516</v>
      </c>
      <c r="I1009" s="49" t="s">
        <v>2298</v>
      </c>
      <c r="J1009" s="53" t="s">
        <v>2409</v>
      </c>
    </row>
    <row r="1010" spans="1:12" x14ac:dyDescent="0.25">
      <c r="A1010" s="51">
        <v>43397</v>
      </c>
      <c r="C1010" s="52" t="s">
        <v>2414</v>
      </c>
      <c r="D1010" s="68" t="s">
        <v>2362</v>
      </c>
      <c r="E1010" s="53" t="s">
        <v>2415</v>
      </c>
      <c r="F1010" s="53" t="str">
        <f>IFERROR(IF(Tabla1[[#This Row],[CONCEPTO mx]]="","",VLOOKUP(Tabla1[[#This Row],[CONCEPTO mx]],Tabla2[#All],2,0)),"")</f>
        <v/>
      </c>
      <c r="G1010" s="53" t="str">
        <f>IFERROR(IF(Tabla1[[#This Row],[CONCEPTO mx]]="","",VLOOKUP(Tabla1[[#This Row],[CONCEPTO mx]],Tabla2[#All],3,0)),"")</f>
        <v/>
      </c>
      <c r="H1010" s="49" t="s">
        <v>484</v>
      </c>
      <c r="I1010" s="49" t="s">
        <v>2339</v>
      </c>
      <c r="J1010" s="53"/>
    </row>
    <row r="1011" spans="1:12" x14ac:dyDescent="0.25">
      <c r="A1011" s="51">
        <v>43398</v>
      </c>
      <c r="C1011" s="52" t="s">
        <v>2431</v>
      </c>
      <c r="D1011" s="49" t="s">
        <v>2273</v>
      </c>
      <c r="E1011" s="52" t="s">
        <v>2433</v>
      </c>
      <c r="F1011" s="52" t="str">
        <f>IFERROR(IF(Tabla1[[#This Row],[CONCEPTO mx]]="","",VLOOKUP(Tabla1[[#This Row],[CONCEPTO mx]],Tabla2[#All],2,0)),"")</f>
        <v/>
      </c>
      <c r="G1011" s="52" t="str">
        <f>IFERROR(IF(Tabla1[[#This Row],[CONCEPTO mx]]="","",VLOOKUP(Tabla1[[#This Row],[CONCEPTO mx]],Tabla2[#All],3,0)),"")</f>
        <v/>
      </c>
      <c r="H1011" s="49" t="s">
        <v>334</v>
      </c>
      <c r="I1011" s="49" t="s">
        <v>2298</v>
      </c>
      <c r="J1011" s="53" t="s">
        <v>2368</v>
      </c>
    </row>
    <row r="1012" spans="1:12" x14ac:dyDescent="0.25">
      <c r="A1012" s="51">
        <v>43398</v>
      </c>
      <c r="C1012" s="52" t="s">
        <v>2426</v>
      </c>
      <c r="D1012" s="49" t="s">
        <v>2273</v>
      </c>
      <c r="E1012" s="49" t="s">
        <v>2428</v>
      </c>
      <c r="F1012" s="49" t="str">
        <f>IFERROR(IF(Tabla1[[#This Row],[CONCEPTO mx]]="","",VLOOKUP(Tabla1[[#This Row],[CONCEPTO mx]],Tabla2[#All],2,0)),"")</f>
        <v/>
      </c>
      <c r="G1012" s="49" t="str">
        <f>IFERROR(IF(Tabla1[[#This Row],[CONCEPTO mx]]="","",VLOOKUP(Tabla1[[#This Row],[CONCEPTO mx]],Tabla2[#All],3,0)),"")</f>
        <v/>
      </c>
      <c r="H1012" s="49" t="s">
        <v>352</v>
      </c>
      <c r="I1012" s="49" t="s">
        <v>2298</v>
      </c>
      <c r="J1012" s="53" t="s">
        <v>2427</v>
      </c>
    </row>
    <row r="1013" spans="1:12" x14ac:dyDescent="0.25">
      <c r="A1013" s="51">
        <v>43398</v>
      </c>
      <c r="C1013" s="52" t="s">
        <v>2430</v>
      </c>
      <c r="D1013" s="49" t="s">
        <v>2273</v>
      </c>
      <c r="E1013" s="52" t="s">
        <v>2429</v>
      </c>
      <c r="F1013" s="52" t="str">
        <f>IFERROR(IF(Tabla1[[#This Row],[CONCEPTO mx]]="","",VLOOKUP(Tabla1[[#This Row],[CONCEPTO mx]],Tabla2[#All],2,0)),"")</f>
        <v/>
      </c>
      <c r="G1013" s="52" t="str">
        <f>IFERROR(IF(Tabla1[[#This Row],[CONCEPTO mx]]="","",VLOOKUP(Tabla1[[#This Row],[CONCEPTO mx]],Tabla2[#All],3,0)),"")</f>
        <v/>
      </c>
      <c r="H1013" s="49" t="s">
        <v>406</v>
      </c>
      <c r="I1013" s="49" t="s">
        <v>2298</v>
      </c>
      <c r="J1013" s="53" t="s">
        <v>2432</v>
      </c>
    </row>
    <row r="1014" spans="1:12" x14ac:dyDescent="0.25">
      <c r="A1014" s="51">
        <v>43398</v>
      </c>
      <c r="C1014" s="52" t="s">
        <v>2421</v>
      </c>
      <c r="D1014" s="49" t="s">
        <v>2273</v>
      </c>
      <c r="E1014" s="52" t="s">
        <v>2423</v>
      </c>
      <c r="F1014" s="52" t="str">
        <f>IFERROR(IF(Tabla1[[#This Row],[CONCEPTO mx]]="","",VLOOKUP(Tabla1[[#This Row],[CONCEPTO mx]],Tabla2[#All],2,0)),"")</f>
        <v/>
      </c>
      <c r="G1014" s="52" t="str">
        <f>IFERROR(IF(Tabla1[[#This Row],[CONCEPTO mx]]="","",VLOOKUP(Tabla1[[#This Row],[CONCEPTO mx]],Tabla2[#All],3,0)),"")</f>
        <v/>
      </c>
      <c r="H1014" s="49" t="s">
        <v>438</v>
      </c>
      <c r="I1014" s="49" t="s">
        <v>2298</v>
      </c>
      <c r="J1014" s="53" t="s">
        <v>2422</v>
      </c>
    </row>
    <row r="1015" spans="1:12" x14ac:dyDescent="0.25">
      <c r="A1015" s="51">
        <v>43398</v>
      </c>
      <c r="C1015" s="52" t="s">
        <v>2420</v>
      </c>
      <c r="D1015" s="49" t="s">
        <v>2404</v>
      </c>
      <c r="E1015" s="52" t="s">
        <v>2401</v>
      </c>
      <c r="F1015" s="52" t="str">
        <f>IFERROR(IF(Tabla1[[#This Row],[CONCEPTO mx]]="","",VLOOKUP(Tabla1[[#This Row],[CONCEPTO mx]],Tabla2[#All],2,0)),"")</f>
        <v>CM28</v>
      </c>
      <c r="G1015" s="52" t="str">
        <f>IFERROR(IF(Tabla1[[#This Row],[CONCEPTO mx]]="","",VLOOKUP(Tabla1[[#This Row],[CONCEPTO mx]],Tabla2[#All],3,0)),"")</f>
        <v>SST</v>
      </c>
      <c r="H1015" s="49" t="s">
        <v>486</v>
      </c>
      <c r="I1015" s="49" t="s">
        <v>2298</v>
      </c>
      <c r="J1015" s="53" t="s">
        <v>2351</v>
      </c>
    </row>
    <row r="1016" spans="1:12" x14ac:dyDescent="0.25">
      <c r="A1016" s="51">
        <v>43398</v>
      </c>
      <c r="C1016" s="52" t="s">
        <v>2425</v>
      </c>
      <c r="D1016" s="49" t="s">
        <v>2273</v>
      </c>
      <c r="E1016" s="52" t="s">
        <v>2424</v>
      </c>
      <c r="F1016" s="52" t="str">
        <f>IFERROR(IF(Tabla1[[#This Row],[CONCEPTO mx]]="","",VLOOKUP(Tabla1[[#This Row],[CONCEPTO mx]],Tabla2[#All],2,0)),"")</f>
        <v/>
      </c>
      <c r="G1016" s="52" t="str">
        <f>IFERROR(IF(Tabla1[[#This Row],[CONCEPTO mx]]="","",VLOOKUP(Tabla1[[#This Row],[CONCEPTO mx]],Tabla2[#All],3,0)),"")</f>
        <v/>
      </c>
      <c r="H1016" s="49" t="s">
        <v>486</v>
      </c>
      <c r="I1016" s="49" t="s">
        <v>2298</v>
      </c>
      <c r="J1016" s="53" t="s">
        <v>2341</v>
      </c>
    </row>
    <row r="1017" spans="1:12" x14ac:dyDescent="0.25">
      <c r="A1017" s="51">
        <v>43400</v>
      </c>
      <c r="C1017" s="52" t="s">
        <v>2436</v>
      </c>
      <c r="D1017" s="49" t="s">
        <v>2273</v>
      </c>
      <c r="E1017" s="52" t="s">
        <v>2437</v>
      </c>
      <c r="F1017" s="52" t="str">
        <f>IFERROR(IF(Tabla1[[#This Row],[CONCEPTO mx]]="","",VLOOKUP(Tabla1[[#This Row],[CONCEPTO mx]],Tabla2[#All],2,0)),"")</f>
        <v/>
      </c>
      <c r="G1017" s="52" t="str">
        <f>IFERROR(IF(Tabla1[[#This Row],[CONCEPTO mx]]="","",VLOOKUP(Tabla1[[#This Row],[CONCEPTO mx]],Tabla2[#All],3,0)),"")</f>
        <v/>
      </c>
      <c r="H1017" s="49" t="s">
        <v>387</v>
      </c>
      <c r="I1017" s="49" t="s">
        <v>2298</v>
      </c>
      <c r="J1017" s="53" t="s">
        <v>2368</v>
      </c>
    </row>
    <row r="1018" spans="1:12" x14ac:dyDescent="0.25">
      <c r="A1018" s="51">
        <v>43400</v>
      </c>
      <c r="C1018" s="52" t="s">
        <v>2450</v>
      </c>
      <c r="D1018" s="67"/>
      <c r="E1018" s="49" t="s">
        <v>2355</v>
      </c>
      <c r="F1018" s="49" t="str">
        <f>IFERROR(IF(Tabla1[[#This Row],[CONCEPTO mx]]="","",VLOOKUP(Tabla1[[#This Row],[CONCEPTO mx]],Tabla2[#All],2,0)),"")</f>
        <v>CM13</v>
      </c>
      <c r="G1018" s="49" t="str">
        <f>IFERROR(IF(Tabla1[[#This Row],[CONCEPTO mx]]="","",VLOOKUP(Tabla1[[#This Row],[CONCEPTO mx]],Tabla2[#All],3,0)),"")</f>
        <v>Gestión Humana</v>
      </c>
      <c r="H1018" s="49" t="s">
        <v>387</v>
      </c>
      <c r="I1018" s="49" t="s">
        <v>2298</v>
      </c>
      <c r="J1018" s="53" t="s">
        <v>2402</v>
      </c>
    </row>
    <row r="1019" spans="1:12" x14ac:dyDescent="0.25">
      <c r="A1019" s="51">
        <v>43400</v>
      </c>
      <c r="C1019" s="52" t="s">
        <v>2452</v>
      </c>
      <c r="D1019" s="49" t="s">
        <v>51</v>
      </c>
      <c r="E1019" s="49" t="s">
        <v>3248</v>
      </c>
      <c r="F1019" s="49" t="str">
        <f>IFERROR(IF(Tabla1[[#This Row],[CONCEPTO mx]]="","",VLOOKUP(Tabla1[[#This Row],[CONCEPTO mx]],Tabla2[#All],2,0)),"")</f>
        <v>CM1</v>
      </c>
      <c r="G1019" s="49" t="str">
        <f>IFERROR(IF(Tabla1[[#This Row],[CONCEPTO mx]]="","",VLOOKUP(Tabla1[[#This Row],[CONCEPTO mx]],Tabla2[#All],3,0)),"")</f>
        <v>Gestión Humana</v>
      </c>
      <c r="H1019" s="49" t="s">
        <v>550</v>
      </c>
      <c r="I1019" s="49" t="s">
        <v>2298</v>
      </c>
      <c r="J1019" s="53" t="s">
        <v>2353</v>
      </c>
    </row>
    <row r="1020" spans="1:12" x14ac:dyDescent="0.25">
      <c r="A1020" s="51">
        <v>43400</v>
      </c>
      <c r="C1020" s="52" t="s">
        <v>2449</v>
      </c>
      <c r="D1020" s="67" t="s">
        <v>2355</v>
      </c>
      <c r="E1020" s="49" t="s">
        <v>2386</v>
      </c>
      <c r="F1020" s="49" t="str">
        <f>IFERROR(IF(Tabla1[[#This Row],[CONCEPTO mx]]="","",VLOOKUP(Tabla1[[#This Row],[CONCEPTO mx]],Tabla2[#All],2,0)),"")</f>
        <v/>
      </c>
      <c r="G1020" s="49" t="str">
        <f>IFERROR(IF(Tabla1[[#This Row],[CONCEPTO mx]]="","",VLOOKUP(Tabla1[[#This Row],[CONCEPTO mx]],Tabla2[#All],3,0)),"")</f>
        <v/>
      </c>
      <c r="H1020" s="57" t="s">
        <v>334</v>
      </c>
      <c r="I1020" s="57" t="s">
        <v>2298</v>
      </c>
      <c r="J1020" s="53" t="s">
        <v>2368</v>
      </c>
      <c r="K1020" s="51">
        <v>43412</v>
      </c>
      <c r="L1020" s="49" t="s">
        <v>2273</v>
      </c>
    </row>
    <row r="1021" spans="1:12" x14ac:dyDescent="0.25">
      <c r="A1021" s="51">
        <v>43400</v>
      </c>
      <c r="C1021" s="52" t="s">
        <v>2434</v>
      </c>
      <c r="D1021" s="49" t="s">
        <v>2360</v>
      </c>
      <c r="E1021" s="52" t="s">
        <v>2435</v>
      </c>
      <c r="F1021" s="52" t="str">
        <f>IFERROR(IF(Tabla1[[#This Row],[CONCEPTO mx]]="","",VLOOKUP(Tabla1[[#This Row],[CONCEPTO mx]],Tabla2[#All],2,0)),"")</f>
        <v/>
      </c>
      <c r="G1021" s="52" t="str">
        <f>IFERROR(IF(Tabla1[[#This Row],[CONCEPTO mx]]="","",VLOOKUP(Tabla1[[#This Row],[CONCEPTO mx]],Tabla2[#All],3,0)),"")</f>
        <v/>
      </c>
      <c r="H1021" s="49" t="s">
        <v>334</v>
      </c>
      <c r="I1021" s="49" t="s">
        <v>2298</v>
      </c>
      <c r="J1021" s="53" t="s">
        <v>2314</v>
      </c>
    </row>
    <row r="1022" spans="1:12" x14ac:dyDescent="0.25">
      <c r="A1022" s="51">
        <v>43400</v>
      </c>
      <c r="C1022" s="52" t="s">
        <v>2439</v>
      </c>
      <c r="D1022" s="49" t="s">
        <v>2273</v>
      </c>
      <c r="E1022" s="52" t="s">
        <v>2441</v>
      </c>
      <c r="F1022" s="52" t="str">
        <f>IFERROR(IF(Tabla1[[#This Row],[CONCEPTO mx]]="","",VLOOKUP(Tabla1[[#This Row],[CONCEPTO mx]],Tabla2[#All],2,0)),"")</f>
        <v/>
      </c>
      <c r="G1022" s="52" t="str">
        <f>IFERROR(IF(Tabla1[[#This Row],[CONCEPTO mx]]="","",VLOOKUP(Tabla1[[#This Row],[CONCEPTO mx]],Tabla2[#All],3,0)),"")</f>
        <v/>
      </c>
      <c r="H1022" s="49" t="s">
        <v>334</v>
      </c>
      <c r="I1022" s="49" t="s">
        <v>2298</v>
      </c>
      <c r="J1022" s="53" t="s">
        <v>2440</v>
      </c>
    </row>
    <row r="1023" spans="1:12" x14ac:dyDescent="0.25">
      <c r="A1023" s="51">
        <v>43400</v>
      </c>
      <c r="C1023" s="52" t="s">
        <v>2451</v>
      </c>
      <c r="D1023" s="49" t="s">
        <v>2360</v>
      </c>
      <c r="F1023" s="49" t="str">
        <f>IFERROR(IF(Tabla1[[#This Row],[CONCEPTO mx]]="","",VLOOKUP(Tabla1[[#This Row],[CONCEPTO mx]],Tabla2[#All],2,0)),"")</f>
        <v/>
      </c>
      <c r="G1023" s="49" t="str">
        <f>IFERROR(IF(Tabla1[[#This Row],[CONCEPTO mx]]="","",VLOOKUP(Tabla1[[#This Row],[CONCEPTO mx]],Tabla2[#All],3,0)),"")</f>
        <v/>
      </c>
      <c r="H1023" s="49" t="s">
        <v>486</v>
      </c>
      <c r="I1023" s="49" t="s">
        <v>2298</v>
      </c>
      <c r="J1023" s="53" t="s">
        <v>2353</v>
      </c>
    </row>
    <row r="1024" spans="1:12" x14ac:dyDescent="0.25">
      <c r="A1024" s="51">
        <v>43400</v>
      </c>
      <c r="C1024" s="52" t="s">
        <v>2444</v>
      </c>
      <c r="D1024" s="49" t="s">
        <v>2273</v>
      </c>
      <c r="E1024" s="52" t="s">
        <v>2445</v>
      </c>
      <c r="F1024" s="52" t="str">
        <f>IFERROR(IF(Tabla1[[#This Row],[CONCEPTO mx]]="","",VLOOKUP(Tabla1[[#This Row],[CONCEPTO mx]],Tabla2[#All],2,0)),"")</f>
        <v/>
      </c>
      <c r="G1024" s="52" t="str">
        <f>IFERROR(IF(Tabla1[[#This Row],[CONCEPTO mx]]="","",VLOOKUP(Tabla1[[#This Row],[CONCEPTO mx]],Tabla2[#All],3,0)),"")</f>
        <v/>
      </c>
      <c r="H1024" s="49" t="s">
        <v>334</v>
      </c>
      <c r="I1024" s="49" t="s">
        <v>2298</v>
      </c>
      <c r="J1024" s="53" t="s">
        <v>2440</v>
      </c>
    </row>
    <row r="1025" spans="1:12" x14ac:dyDescent="0.25">
      <c r="A1025" s="51">
        <v>43400</v>
      </c>
      <c r="C1025" s="52" t="s">
        <v>2438</v>
      </c>
      <c r="D1025" s="49" t="s">
        <v>51</v>
      </c>
      <c r="E1025" s="49" t="s">
        <v>3248</v>
      </c>
      <c r="F1025" s="49" t="str">
        <f>IFERROR(IF(Tabla1[[#This Row],[CONCEPTO mx]]="","",VLOOKUP(Tabla1[[#This Row],[CONCEPTO mx]],Tabla2[#All],2,0)),"")</f>
        <v>CM1</v>
      </c>
      <c r="G1025" s="49" t="str">
        <f>IFERROR(IF(Tabla1[[#This Row],[CONCEPTO mx]]="","",VLOOKUP(Tabla1[[#This Row],[CONCEPTO mx]],Tabla2[#All],3,0)),"")</f>
        <v>Gestión Humana</v>
      </c>
      <c r="H1025" s="49" t="s">
        <v>387</v>
      </c>
      <c r="I1025" s="49" t="s">
        <v>2298</v>
      </c>
      <c r="J1025" s="53" t="s">
        <v>2368</v>
      </c>
    </row>
    <row r="1026" spans="1:12" x14ac:dyDescent="0.25">
      <c r="A1026" s="51">
        <v>43400</v>
      </c>
      <c r="C1026" s="52" t="s">
        <v>2456</v>
      </c>
      <c r="D1026" s="49" t="s">
        <v>2273</v>
      </c>
      <c r="E1026" s="52" t="s">
        <v>2457</v>
      </c>
      <c r="F1026" s="52" t="str">
        <f>IFERROR(IF(Tabla1[[#This Row],[CONCEPTO mx]]="","",VLOOKUP(Tabla1[[#This Row],[CONCEPTO mx]],Tabla2[#All],2,0)),"")</f>
        <v/>
      </c>
      <c r="G1026" s="52" t="str">
        <f>IFERROR(IF(Tabla1[[#This Row],[CONCEPTO mx]]="","",VLOOKUP(Tabla1[[#This Row],[CONCEPTO mx]],Tabla2[#All],3,0)),"")</f>
        <v/>
      </c>
      <c r="H1026" s="49" t="s">
        <v>413</v>
      </c>
      <c r="I1026" s="49" t="s">
        <v>2298</v>
      </c>
      <c r="J1026" s="53" t="s">
        <v>2302</v>
      </c>
    </row>
    <row r="1027" spans="1:12" x14ac:dyDescent="0.25">
      <c r="A1027" s="51">
        <v>43400</v>
      </c>
      <c r="C1027" s="52" t="s">
        <v>2442</v>
      </c>
      <c r="D1027" s="49" t="s">
        <v>2360</v>
      </c>
      <c r="E1027" s="52" t="s">
        <v>2443</v>
      </c>
      <c r="F1027" s="52" t="str">
        <f>IFERROR(IF(Tabla1[[#This Row],[CONCEPTO mx]]="","",VLOOKUP(Tabla1[[#This Row],[CONCEPTO mx]],Tabla2[#All],2,0)),"")</f>
        <v/>
      </c>
      <c r="G1027" s="52" t="str">
        <f>IFERROR(IF(Tabla1[[#This Row],[CONCEPTO mx]]="","",VLOOKUP(Tabla1[[#This Row],[CONCEPTO mx]],Tabla2[#All],3,0)),"")</f>
        <v/>
      </c>
      <c r="H1027" s="49" t="s">
        <v>438</v>
      </c>
      <c r="I1027" s="49" t="s">
        <v>2298</v>
      </c>
      <c r="J1027" s="53" t="s">
        <v>2353</v>
      </c>
    </row>
    <row r="1028" spans="1:12" x14ac:dyDescent="0.25">
      <c r="A1028" s="51">
        <v>43400</v>
      </c>
      <c r="C1028" s="52" t="s">
        <v>2453</v>
      </c>
      <c r="D1028" s="49" t="s">
        <v>2455</v>
      </c>
      <c r="E1028" s="52" t="s">
        <v>2454</v>
      </c>
      <c r="F1028" s="52" t="str">
        <f>IFERROR(IF(Tabla1[[#This Row],[CONCEPTO mx]]="","",VLOOKUP(Tabla1[[#This Row],[CONCEPTO mx]],Tabla2[#All],2,0)),"")</f>
        <v/>
      </c>
      <c r="G1028" s="52" t="str">
        <f>IFERROR(IF(Tabla1[[#This Row],[CONCEPTO mx]]="","",VLOOKUP(Tabla1[[#This Row],[CONCEPTO mx]],Tabla2[#All],3,0)),"")</f>
        <v/>
      </c>
      <c r="I1028" s="49" t="s">
        <v>2339</v>
      </c>
      <c r="J1028" s="53"/>
    </row>
    <row r="1029" spans="1:12" x14ac:dyDescent="0.25">
      <c r="A1029" s="51">
        <v>43400</v>
      </c>
      <c r="C1029" s="52" t="s">
        <v>2446</v>
      </c>
      <c r="D1029" s="67"/>
      <c r="E1029" s="49" t="s">
        <v>2355</v>
      </c>
      <c r="F1029" s="49" t="str">
        <f>IFERROR(IF(Tabla1[[#This Row],[CONCEPTO mx]]="","",VLOOKUP(Tabla1[[#This Row],[CONCEPTO mx]],Tabla2[#All],2,0)),"")</f>
        <v>CM13</v>
      </c>
      <c r="G1029" s="49" t="str">
        <f>IFERROR(IF(Tabla1[[#This Row],[CONCEPTO mx]]="","",VLOOKUP(Tabla1[[#This Row],[CONCEPTO mx]],Tabla2[#All],3,0)),"")</f>
        <v>Gestión Humana</v>
      </c>
      <c r="H1029" s="57" t="s">
        <v>334</v>
      </c>
      <c r="I1029" s="57" t="s">
        <v>2298</v>
      </c>
      <c r="J1029" s="53" t="s">
        <v>2447</v>
      </c>
      <c r="K1029" s="51">
        <v>43419</v>
      </c>
      <c r="L1029" s="49" t="s">
        <v>2275</v>
      </c>
    </row>
    <row r="1030" spans="1:12" x14ac:dyDescent="0.25">
      <c r="A1030" s="51">
        <v>43400</v>
      </c>
      <c r="C1030" s="52" t="s">
        <v>2448</v>
      </c>
      <c r="D1030" s="67"/>
      <c r="E1030" s="49" t="s">
        <v>2355</v>
      </c>
      <c r="F1030" s="49" t="str">
        <f>IFERROR(IF(Tabla1[[#This Row],[CONCEPTO mx]]="","",VLOOKUP(Tabla1[[#This Row],[CONCEPTO mx]],Tabla2[#All],2,0)),"")</f>
        <v>CM13</v>
      </c>
      <c r="G1030" s="49" t="str">
        <f>IFERROR(IF(Tabla1[[#This Row],[CONCEPTO mx]]="","",VLOOKUP(Tabla1[[#This Row],[CONCEPTO mx]],Tabla2[#All],3,0)),"")</f>
        <v>Gestión Humana</v>
      </c>
      <c r="H1030" s="57" t="s">
        <v>439</v>
      </c>
      <c r="I1030" s="57" t="s">
        <v>2298</v>
      </c>
      <c r="J1030" s="53" t="s">
        <v>2353</v>
      </c>
      <c r="K1030" s="51">
        <v>43419</v>
      </c>
      <c r="L1030" s="49" t="s">
        <v>2495</v>
      </c>
    </row>
    <row r="1031" spans="1:12" x14ac:dyDescent="0.25">
      <c r="A1031" s="51">
        <v>43403</v>
      </c>
      <c r="C1031" s="69" t="s">
        <v>2458</v>
      </c>
      <c r="D1031" s="49" t="s">
        <v>51</v>
      </c>
      <c r="E1031" s="49" t="s">
        <v>3248</v>
      </c>
      <c r="F1031" s="49" t="str">
        <f>IFERROR(IF(Tabla1[[#This Row],[CONCEPTO mx]]="","",VLOOKUP(Tabla1[[#This Row],[CONCEPTO mx]],Tabla2[#All],2,0)),"")</f>
        <v>CM1</v>
      </c>
      <c r="G1031" s="49" t="str">
        <f>IFERROR(IF(Tabla1[[#This Row],[CONCEPTO mx]]="","",VLOOKUP(Tabla1[[#This Row],[CONCEPTO mx]],Tabla2[#All],3,0)),"")</f>
        <v>Gestión Humana</v>
      </c>
      <c r="H1031" s="49" t="s">
        <v>352</v>
      </c>
      <c r="I1031" s="49" t="s">
        <v>2298</v>
      </c>
      <c r="J1031" s="53" t="s">
        <v>2297</v>
      </c>
    </row>
    <row r="1032" spans="1:12" x14ac:dyDescent="0.25">
      <c r="A1032" s="51">
        <v>43404</v>
      </c>
      <c r="C1032" s="52" t="s">
        <v>2462</v>
      </c>
      <c r="D1032" s="49" t="s">
        <v>51</v>
      </c>
      <c r="E1032" s="49" t="s">
        <v>3248</v>
      </c>
      <c r="F1032" s="49" t="str">
        <f>IFERROR(IF(Tabla1[[#This Row],[CONCEPTO mx]]="","",VLOOKUP(Tabla1[[#This Row],[CONCEPTO mx]],Tabla2[#All],2,0)),"")</f>
        <v>CM1</v>
      </c>
      <c r="G1032" s="49" t="str">
        <f>IFERROR(IF(Tabla1[[#This Row],[CONCEPTO mx]]="","",VLOOKUP(Tabla1[[#This Row],[CONCEPTO mx]],Tabla2[#All],3,0)),"")</f>
        <v>Gestión Humana</v>
      </c>
      <c r="H1032" s="49" t="s">
        <v>413</v>
      </c>
      <c r="I1032" s="49" t="s">
        <v>2298</v>
      </c>
      <c r="J1032" s="53" t="s">
        <v>2351</v>
      </c>
    </row>
    <row r="1033" spans="1:12" x14ac:dyDescent="0.25">
      <c r="A1033" s="51">
        <v>43404</v>
      </c>
      <c r="C1033" s="52" t="s">
        <v>2463</v>
      </c>
      <c r="D1033" s="67"/>
      <c r="E1033" s="49" t="s">
        <v>2355</v>
      </c>
      <c r="F1033" s="49" t="str">
        <f>IFERROR(IF(Tabla1[[#This Row],[CONCEPTO mx]]="","",VLOOKUP(Tabla1[[#This Row],[CONCEPTO mx]],Tabla2[#All],2,0)),"")</f>
        <v>CM13</v>
      </c>
      <c r="G1033" s="49" t="str">
        <f>IFERROR(IF(Tabla1[[#This Row],[CONCEPTO mx]]="","",VLOOKUP(Tabla1[[#This Row],[CONCEPTO mx]],Tabla2[#All],3,0)),"")</f>
        <v>Gestión Humana</v>
      </c>
      <c r="H1033" s="49" t="s">
        <v>438</v>
      </c>
      <c r="I1033" s="49" t="s">
        <v>2298</v>
      </c>
      <c r="J1033" s="53" t="s">
        <v>2314</v>
      </c>
      <c r="K1033" s="51">
        <v>43412</v>
      </c>
      <c r="L1033" s="70" t="s">
        <v>2286</v>
      </c>
    </row>
    <row r="1034" spans="1:12" x14ac:dyDescent="0.25">
      <c r="A1034" s="51">
        <v>43404</v>
      </c>
      <c r="C1034" s="52" t="s">
        <v>2460</v>
      </c>
      <c r="D1034" s="49" t="s">
        <v>2404</v>
      </c>
      <c r="E1034" s="52" t="s">
        <v>2461</v>
      </c>
      <c r="F1034" s="52" t="str">
        <f>IFERROR(IF(Tabla1[[#This Row],[CONCEPTO mx]]="","",VLOOKUP(Tabla1[[#This Row],[CONCEPTO mx]],Tabla2[#All],2,0)),"")</f>
        <v/>
      </c>
      <c r="G1034" s="52" t="str">
        <f>IFERROR(IF(Tabla1[[#This Row],[CONCEPTO mx]]="","",VLOOKUP(Tabla1[[#This Row],[CONCEPTO mx]],Tabla2[#All],3,0)),"")</f>
        <v/>
      </c>
      <c r="H1034" s="49" t="s">
        <v>2391</v>
      </c>
      <c r="I1034" s="49" t="s">
        <v>2329</v>
      </c>
      <c r="J1034" s="53"/>
    </row>
    <row r="1035" spans="1:12" x14ac:dyDescent="0.25">
      <c r="A1035" s="51">
        <v>43404</v>
      </c>
      <c r="C1035" s="52" t="s">
        <v>2459</v>
      </c>
      <c r="D1035" s="49" t="s">
        <v>2360</v>
      </c>
      <c r="F1035" s="49" t="str">
        <f>IFERROR(IF(Tabla1[[#This Row],[CONCEPTO mx]]="","",VLOOKUP(Tabla1[[#This Row],[CONCEPTO mx]],Tabla2[#All],2,0)),"")</f>
        <v/>
      </c>
      <c r="G1035" s="49" t="str">
        <f>IFERROR(IF(Tabla1[[#This Row],[CONCEPTO mx]]="","",VLOOKUP(Tabla1[[#This Row],[CONCEPTO mx]],Tabla2[#All],3,0)),"")</f>
        <v/>
      </c>
      <c r="H1035" s="49" t="s">
        <v>334</v>
      </c>
      <c r="I1035" s="49" t="s">
        <v>2298</v>
      </c>
      <c r="J1035" s="53" t="s">
        <v>2307</v>
      </c>
    </row>
    <row r="1036" spans="1:12" x14ac:dyDescent="0.25">
      <c r="A1036" s="51">
        <v>43404</v>
      </c>
      <c r="C1036" s="52" t="s">
        <v>2466</v>
      </c>
      <c r="D1036" s="67"/>
      <c r="E1036" s="49" t="s">
        <v>2355</v>
      </c>
      <c r="F1036" s="49" t="str">
        <f>IFERROR(IF(Tabla1[[#This Row],[CONCEPTO mx]]="","",VLOOKUP(Tabla1[[#This Row],[CONCEPTO mx]],Tabla2[#All],2,0)),"")</f>
        <v>CM13</v>
      </c>
      <c r="G1036" s="49" t="str">
        <f>IFERROR(IF(Tabla1[[#This Row],[CONCEPTO mx]]="","",VLOOKUP(Tabla1[[#This Row],[CONCEPTO mx]],Tabla2[#All],3,0)),"")</f>
        <v>Gestión Humana</v>
      </c>
      <c r="H1036" s="49" t="s">
        <v>486</v>
      </c>
      <c r="I1036" s="57" t="s">
        <v>2298</v>
      </c>
      <c r="J1036" s="53" t="s">
        <v>2467</v>
      </c>
      <c r="K1036" s="51">
        <v>43444</v>
      </c>
      <c r="L1036" s="70" t="s">
        <v>2286</v>
      </c>
    </row>
    <row r="1037" spans="1:12" x14ac:dyDescent="0.25">
      <c r="A1037" s="51">
        <v>43404</v>
      </c>
      <c r="C1037" s="52" t="s">
        <v>2470</v>
      </c>
      <c r="D1037" s="49" t="s">
        <v>2404</v>
      </c>
      <c r="E1037" s="52" t="s">
        <v>2471</v>
      </c>
      <c r="F1037" s="52" t="str">
        <f>IFERROR(IF(Tabla1[[#This Row],[CONCEPTO mx]]="","",VLOOKUP(Tabla1[[#This Row],[CONCEPTO mx]],Tabla2[#All],2,0)),"")</f>
        <v/>
      </c>
      <c r="G1037" s="52" t="str">
        <f>IFERROR(IF(Tabla1[[#This Row],[CONCEPTO mx]]="","",VLOOKUP(Tabla1[[#This Row],[CONCEPTO mx]],Tabla2[#All],3,0)),"")</f>
        <v/>
      </c>
      <c r="H1037" s="49" t="s">
        <v>628</v>
      </c>
      <c r="I1037" s="49" t="s">
        <v>2328</v>
      </c>
      <c r="J1037" s="53"/>
    </row>
    <row r="1038" spans="1:12" x14ac:dyDescent="0.25">
      <c r="A1038" s="51">
        <v>43404</v>
      </c>
      <c r="C1038" s="52" t="s">
        <v>2464</v>
      </c>
      <c r="D1038" s="49" t="s">
        <v>2273</v>
      </c>
      <c r="E1038" s="52" t="s">
        <v>2465</v>
      </c>
      <c r="F1038" s="52" t="str">
        <f>IFERROR(IF(Tabla1[[#This Row],[CONCEPTO mx]]="","",VLOOKUP(Tabla1[[#This Row],[CONCEPTO mx]],Tabla2[#All],2,0)),"")</f>
        <v/>
      </c>
      <c r="G1038" s="52" t="str">
        <f>IFERROR(IF(Tabla1[[#This Row],[CONCEPTO mx]]="","",VLOOKUP(Tabla1[[#This Row],[CONCEPTO mx]],Tabla2[#All],3,0)),"")</f>
        <v/>
      </c>
      <c r="H1038" s="49" t="s">
        <v>438</v>
      </c>
      <c r="I1038" s="49" t="s">
        <v>2298</v>
      </c>
      <c r="J1038" s="53" t="s">
        <v>2356</v>
      </c>
    </row>
    <row r="1039" spans="1:12" x14ac:dyDescent="0.25">
      <c r="A1039" s="51">
        <v>43412</v>
      </c>
      <c r="C1039" s="52" t="s">
        <v>2450</v>
      </c>
      <c r="D1039" s="49" t="s">
        <v>2360</v>
      </c>
      <c r="F1039" s="49" t="str">
        <f>IFERROR(IF(Tabla1[[#This Row],[CONCEPTO mx]]="","",VLOOKUP(Tabla1[[#This Row],[CONCEPTO mx]],Tabla2[#All],2,0)),"")</f>
        <v/>
      </c>
      <c r="G1039" s="49" t="str">
        <f>IFERROR(IF(Tabla1[[#This Row],[CONCEPTO mx]]="","",VLOOKUP(Tabla1[[#This Row],[CONCEPTO mx]],Tabla2[#All],3,0)),"")</f>
        <v/>
      </c>
      <c r="H1039" s="49" t="s">
        <v>387</v>
      </c>
      <c r="I1039" s="49" t="s">
        <v>2298</v>
      </c>
      <c r="J1039" s="53" t="s">
        <v>2402</v>
      </c>
    </row>
    <row r="1040" spans="1:12" x14ac:dyDescent="0.25">
      <c r="A1040" s="51">
        <v>43412</v>
      </c>
      <c r="C1040" s="52" t="s">
        <v>2468</v>
      </c>
      <c r="D1040" s="49" t="s">
        <v>2404</v>
      </c>
      <c r="E1040" s="52" t="s">
        <v>2469</v>
      </c>
      <c r="F1040" s="52" t="str">
        <f>IFERROR(IF(Tabla1[[#This Row],[CONCEPTO mx]]="","",VLOOKUP(Tabla1[[#This Row],[CONCEPTO mx]],Tabla2[#All],2,0)),"")</f>
        <v/>
      </c>
      <c r="G1040" s="52" t="str">
        <f>IFERROR(IF(Tabla1[[#This Row],[CONCEPTO mx]]="","",VLOOKUP(Tabla1[[#This Row],[CONCEPTO mx]],Tabla2[#All],3,0)),"")</f>
        <v/>
      </c>
      <c r="H1040" s="49" t="s">
        <v>438</v>
      </c>
      <c r="I1040" s="49" t="s">
        <v>2330</v>
      </c>
      <c r="J1040" s="53"/>
    </row>
    <row r="1041" spans="1:12" x14ac:dyDescent="0.25">
      <c r="A1041" s="51">
        <v>43412</v>
      </c>
      <c r="C1041" s="52" t="s">
        <v>2487</v>
      </c>
      <c r="D1041" s="49" t="s">
        <v>51</v>
      </c>
      <c r="E1041" s="49" t="s">
        <v>3248</v>
      </c>
      <c r="F1041" s="49" t="str">
        <f>IFERROR(IF(Tabla1[[#This Row],[CONCEPTO mx]]="","",VLOOKUP(Tabla1[[#This Row],[CONCEPTO mx]],Tabla2[#All],2,0)),"")</f>
        <v>CM1</v>
      </c>
      <c r="G1041" s="49" t="str">
        <f>IFERROR(IF(Tabla1[[#This Row],[CONCEPTO mx]]="","",VLOOKUP(Tabla1[[#This Row],[CONCEPTO mx]],Tabla2[#All],3,0)),"")</f>
        <v>Gestión Humana</v>
      </c>
      <c r="H1041" s="49" t="s">
        <v>486</v>
      </c>
      <c r="I1041" s="49" t="s">
        <v>2298</v>
      </c>
      <c r="J1041" s="53" t="s">
        <v>2488</v>
      </c>
    </row>
    <row r="1042" spans="1:12" x14ac:dyDescent="0.25">
      <c r="A1042" s="51">
        <v>43412</v>
      </c>
      <c r="C1042" s="52" t="s">
        <v>2481</v>
      </c>
      <c r="D1042" s="49" t="s">
        <v>2273</v>
      </c>
      <c r="E1042" s="52" t="s">
        <v>2482</v>
      </c>
      <c r="F1042" s="52" t="str">
        <f>IFERROR(IF(Tabla1[[#This Row],[CONCEPTO mx]]="","",VLOOKUP(Tabla1[[#This Row],[CONCEPTO mx]],Tabla2[#All],2,0)),"")</f>
        <v/>
      </c>
      <c r="G1042" s="52" t="str">
        <f>IFERROR(IF(Tabla1[[#This Row],[CONCEPTO mx]]="","",VLOOKUP(Tabla1[[#This Row],[CONCEPTO mx]],Tabla2[#All],3,0)),"")</f>
        <v/>
      </c>
      <c r="H1042" s="49" t="s">
        <v>388</v>
      </c>
      <c r="I1042" s="49" t="s">
        <v>2298</v>
      </c>
      <c r="J1042" s="53" t="s">
        <v>2302</v>
      </c>
    </row>
    <row r="1043" spans="1:12" x14ac:dyDescent="0.25">
      <c r="A1043" s="51">
        <v>43412</v>
      </c>
      <c r="C1043" s="52" t="s">
        <v>2477</v>
      </c>
      <c r="D1043" s="49" t="s">
        <v>2273</v>
      </c>
      <c r="E1043" s="49" t="s">
        <v>2476</v>
      </c>
      <c r="F1043" s="49" t="str">
        <f>IFERROR(IF(Tabla1[[#This Row],[CONCEPTO mx]]="","",VLOOKUP(Tabla1[[#This Row],[CONCEPTO mx]],Tabla2[#All],2,0)),"")</f>
        <v/>
      </c>
      <c r="G1043" s="49" t="str">
        <f>IFERROR(IF(Tabla1[[#This Row],[CONCEPTO mx]]="","",VLOOKUP(Tabla1[[#This Row],[CONCEPTO mx]],Tabla2[#All],3,0)),"")</f>
        <v/>
      </c>
      <c r="H1043" s="49" t="s">
        <v>388</v>
      </c>
      <c r="I1043" s="49" t="s">
        <v>2298</v>
      </c>
      <c r="J1043" s="53" t="s">
        <v>2440</v>
      </c>
    </row>
    <row r="1044" spans="1:12" x14ac:dyDescent="0.25">
      <c r="A1044" s="51">
        <v>43412</v>
      </c>
      <c r="C1044" s="52" t="s">
        <v>2489</v>
      </c>
      <c r="D1044" s="49" t="s">
        <v>2404</v>
      </c>
      <c r="E1044" s="52" t="s">
        <v>2490</v>
      </c>
      <c r="F1044" s="52" t="str">
        <f>IFERROR(IF(Tabla1[[#This Row],[CONCEPTO mx]]="","",VLOOKUP(Tabla1[[#This Row],[CONCEPTO mx]],Tabla2[#All],2,0)),"")</f>
        <v/>
      </c>
      <c r="G1044" s="52" t="str">
        <f>IFERROR(IF(Tabla1[[#This Row],[CONCEPTO mx]]="","",VLOOKUP(Tabla1[[#This Row],[CONCEPTO mx]],Tabla2[#All],3,0)),"")</f>
        <v/>
      </c>
      <c r="H1044" s="49" t="s">
        <v>438</v>
      </c>
      <c r="I1044" s="49" t="s">
        <v>2298</v>
      </c>
      <c r="J1044" s="53" t="s">
        <v>2873</v>
      </c>
    </row>
    <row r="1045" spans="1:12" x14ac:dyDescent="0.25">
      <c r="A1045" s="51">
        <v>43412</v>
      </c>
      <c r="C1045" s="52" t="s">
        <v>2486</v>
      </c>
      <c r="D1045" s="67"/>
      <c r="E1045" s="49" t="s">
        <v>2355</v>
      </c>
      <c r="F1045" s="49" t="str">
        <f>IFERROR(IF(Tabla1[[#This Row],[CONCEPTO mx]]="","",VLOOKUP(Tabla1[[#This Row],[CONCEPTO mx]],Tabla2[#All],2,0)),"")</f>
        <v>CM13</v>
      </c>
      <c r="G1045" s="49" t="str">
        <f>IFERROR(IF(Tabla1[[#This Row],[CONCEPTO mx]]="","",VLOOKUP(Tabla1[[#This Row],[CONCEPTO mx]],Tabla2[#All],3,0)),"")</f>
        <v>Gestión Humana</v>
      </c>
      <c r="H1045" s="57" t="s">
        <v>334</v>
      </c>
      <c r="I1045" s="57" t="s">
        <v>2298</v>
      </c>
      <c r="J1045" s="53" t="s">
        <v>2353</v>
      </c>
      <c r="K1045" s="51">
        <v>43454</v>
      </c>
      <c r="L1045" s="70" t="s">
        <v>2404</v>
      </c>
    </row>
    <row r="1046" spans="1:12" x14ac:dyDescent="0.25">
      <c r="A1046" s="51">
        <v>43412</v>
      </c>
      <c r="C1046" s="52" t="s">
        <v>2484</v>
      </c>
      <c r="D1046" s="68" t="s">
        <v>2362</v>
      </c>
      <c r="E1046" s="52" t="s">
        <v>2485</v>
      </c>
      <c r="F1046" s="52" t="str">
        <f>IFERROR(IF(Tabla1[[#This Row],[CONCEPTO mx]]="","",VLOOKUP(Tabla1[[#This Row],[CONCEPTO mx]],Tabla2[#All],2,0)),"")</f>
        <v/>
      </c>
      <c r="G1046" s="52" t="str">
        <f>IFERROR(IF(Tabla1[[#This Row],[CONCEPTO mx]]="","",VLOOKUP(Tabla1[[#This Row],[CONCEPTO mx]],Tabla2[#All],3,0)),"")</f>
        <v/>
      </c>
      <c r="H1046" s="49" t="s">
        <v>406</v>
      </c>
      <c r="I1046" s="49" t="s">
        <v>2298</v>
      </c>
      <c r="J1046" s="53" t="s">
        <v>2412</v>
      </c>
    </row>
    <row r="1047" spans="1:12" x14ac:dyDescent="0.25">
      <c r="A1047" s="51">
        <v>43412</v>
      </c>
      <c r="C1047" s="52" t="s">
        <v>2474</v>
      </c>
      <c r="D1047" s="49" t="s">
        <v>51</v>
      </c>
      <c r="E1047" s="49" t="s">
        <v>3248</v>
      </c>
      <c r="F1047" s="49" t="str">
        <f>IFERROR(IF(Tabla1[[#This Row],[CONCEPTO mx]]="","",VLOOKUP(Tabla1[[#This Row],[CONCEPTO mx]],Tabla2[#All],2,0)),"")</f>
        <v>CM1</v>
      </c>
      <c r="G1047" s="49" t="str">
        <f>IFERROR(IF(Tabla1[[#This Row],[CONCEPTO mx]]="","",VLOOKUP(Tabla1[[#This Row],[CONCEPTO mx]],Tabla2[#All],3,0)),"")</f>
        <v>Gestión Humana</v>
      </c>
      <c r="H1047" s="49" t="s">
        <v>438</v>
      </c>
      <c r="I1047" s="49" t="s">
        <v>2298</v>
      </c>
      <c r="J1047" s="53" t="s">
        <v>2475</v>
      </c>
    </row>
    <row r="1048" spans="1:12" x14ac:dyDescent="0.25">
      <c r="A1048" s="51">
        <v>43412</v>
      </c>
      <c r="C1048" s="52" t="s">
        <v>2492</v>
      </c>
      <c r="D1048" s="49" t="s">
        <v>2273</v>
      </c>
      <c r="E1048" s="52" t="s">
        <v>2493</v>
      </c>
      <c r="F1048" s="52" t="str">
        <f>IFERROR(IF(Tabla1[[#This Row],[CONCEPTO mx]]="","",VLOOKUP(Tabla1[[#This Row],[CONCEPTO mx]],Tabla2[#All],2,0)),"")</f>
        <v/>
      </c>
      <c r="G1048" s="52" t="str">
        <f>IFERROR(IF(Tabla1[[#This Row],[CONCEPTO mx]]="","",VLOOKUP(Tabla1[[#This Row],[CONCEPTO mx]],Tabla2[#All],3,0)),"")</f>
        <v/>
      </c>
      <c r="H1048" s="49" t="s">
        <v>486</v>
      </c>
      <c r="I1048" s="49" t="s">
        <v>2298</v>
      </c>
      <c r="J1048" s="53" t="s">
        <v>2475</v>
      </c>
    </row>
    <row r="1049" spans="1:12" x14ac:dyDescent="0.25">
      <c r="A1049" s="51">
        <v>43412</v>
      </c>
      <c r="C1049" s="52" t="s">
        <v>2483</v>
      </c>
      <c r="D1049" s="49" t="s">
        <v>51</v>
      </c>
      <c r="E1049" s="49" t="s">
        <v>3248</v>
      </c>
      <c r="F1049" s="49" t="str">
        <f>IFERROR(IF(Tabla1[[#This Row],[CONCEPTO mx]]="","",VLOOKUP(Tabla1[[#This Row],[CONCEPTO mx]],Tabla2[#All],2,0)),"")</f>
        <v>CM1</v>
      </c>
      <c r="G1049" s="49" t="str">
        <f>IFERROR(IF(Tabla1[[#This Row],[CONCEPTO mx]]="","",VLOOKUP(Tabla1[[#This Row],[CONCEPTO mx]],Tabla2[#All],3,0)),"")</f>
        <v>Gestión Humana</v>
      </c>
      <c r="H1049" s="49" t="s">
        <v>438</v>
      </c>
      <c r="I1049" s="49" t="s">
        <v>2339</v>
      </c>
      <c r="J1049" s="53"/>
    </row>
    <row r="1050" spans="1:12" x14ac:dyDescent="0.25">
      <c r="A1050" s="51">
        <v>43412</v>
      </c>
      <c r="C1050" s="52" t="s">
        <v>2473</v>
      </c>
      <c r="D1050" s="49" t="s">
        <v>2273</v>
      </c>
      <c r="E1050" s="49" t="s">
        <v>2472</v>
      </c>
      <c r="F1050" s="49" t="str">
        <f>IFERROR(IF(Tabla1[[#This Row],[CONCEPTO mx]]="","",VLOOKUP(Tabla1[[#This Row],[CONCEPTO mx]],Tabla2[#All],2,0)),"")</f>
        <v/>
      </c>
      <c r="G1050" s="49" t="str">
        <f>IFERROR(IF(Tabla1[[#This Row],[CONCEPTO mx]]="","",VLOOKUP(Tabla1[[#This Row],[CONCEPTO mx]],Tabla2[#All],3,0)),"")</f>
        <v/>
      </c>
      <c r="H1050" s="49" t="s">
        <v>388</v>
      </c>
      <c r="I1050" s="49" t="s">
        <v>2298</v>
      </c>
      <c r="J1050" s="53" t="s">
        <v>2351</v>
      </c>
    </row>
    <row r="1051" spans="1:12" x14ac:dyDescent="0.25">
      <c r="A1051" s="51">
        <v>43412</v>
      </c>
      <c r="C1051" s="52" t="s">
        <v>2491</v>
      </c>
      <c r="D1051" s="49" t="s">
        <v>2360</v>
      </c>
      <c r="F1051" s="49" t="str">
        <f>IFERROR(IF(Tabla1[[#This Row],[CONCEPTO mx]]="","",VLOOKUP(Tabla1[[#This Row],[CONCEPTO mx]],Tabla2[#All],2,0)),"")</f>
        <v/>
      </c>
      <c r="G1051" s="49" t="str">
        <f>IFERROR(IF(Tabla1[[#This Row],[CONCEPTO mx]]="","",VLOOKUP(Tabla1[[#This Row],[CONCEPTO mx]],Tabla2[#All],3,0)),"")</f>
        <v/>
      </c>
      <c r="H1051" s="49" t="s">
        <v>438</v>
      </c>
      <c r="I1051" s="49" t="s">
        <v>2298</v>
      </c>
      <c r="J1051" s="53"/>
    </row>
    <row r="1052" spans="1:12" x14ac:dyDescent="0.25">
      <c r="A1052" s="51">
        <v>43412</v>
      </c>
      <c r="C1052" s="52" t="s">
        <v>2480</v>
      </c>
      <c r="D1052" s="49" t="s">
        <v>2273</v>
      </c>
      <c r="E1052" s="49" t="s">
        <v>2478</v>
      </c>
      <c r="F1052" s="49" t="str">
        <f>IFERROR(IF(Tabla1[[#This Row],[CONCEPTO mx]]="","",VLOOKUP(Tabla1[[#This Row],[CONCEPTO mx]],Tabla2[#All],2,0)),"")</f>
        <v/>
      </c>
      <c r="G1052" s="49" t="str">
        <f>IFERROR(IF(Tabla1[[#This Row],[CONCEPTO mx]]="","",VLOOKUP(Tabla1[[#This Row],[CONCEPTO mx]],Tabla2[#All],3,0)),"")</f>
        <v/>
      </c>
      <c r="H1052" s="49" t="s">
        <v>406</v>
      </c>
      <c r="I1052" s="49" t="s">
        <v>2298</v>
      </c>
      <c r="J1052" s="53" t="s">
        <v>2479</v>
      </c>
    </row>
    <row r="1053" spans="1:12" x14ac:dyDescent="0.25">
      <c r="A1053" s="51">
        <v>43419</v>
      </c>
      <c r="C1053" s="49" t="s">
        <v>2500</v>
      </c>
      <c r="D1053" s="49" t="s">
        <v>2505</v>
      </c>
      <c r="E1053" s="52" t="s">
        <v>2501</v>
      </c>
      <c r="F1053" s="52" t="str">
        <f>IFERROR(IF(Tabla1[[#This Row],[CONCEPTO mx]]="","",VLOOKUP(Tabla1[[#This Row],[CONCEPTO mx]],Tabla2[#All],2,0)),"")</f>
        <v/>
      </c>
      <c r="G1053" s="52" t="str">
        <f>IFERROR(IF(Tabla1[[#This Row],[CONCEPTO mx]]="","",VLOOKUP(Tabla1[[#This Row],[CONCEPTO mx]],Tabla2[#All],3,0)),"")</f>
        <v/>
      </c>
      <c r="H1053" s="49" t="s">
        <v>406</v>
      </c>
      <c r="I1053" s="49" t="s">
        <v>2339</v>
      </c>
      <c r="J1053" s="53"/>
    </row>
    <row r="1054" spans="1:12" x14ac:dyDescent="0.25">
      <c r="A1054" s="51">
        <v>43419</v>
      </c>
      <c r="C1054" s="52" t="s">
        <v>2496</v>
      </c>
      <c r="D1054" s="49" t="s">
        <v>2273</v>
      </c>
      <c r="E1054" s="52" t="s">
        <v>2497</v>
      </c>
      <c r="F1054" s="52" t="str">
        <f>IFERROR(IF(Tabla1[[#This Row],[CONCEPTO mx]]="","",VLOOKUP(Tabla1[[#This Row],[CONCEPTO mx]],Tabla2[#All],2,0)),"")</f>
        <v/>
      </c>
      <c r="G1054" s="52" t="str">
        <f>IFERROR(IF(Tabla1[[#This Row],[CONCEPTO mx]]="","",VLOOKUP(Tabla1[[#This Row],[CONCEPTO mx]],Tabla2[#All],3,0)),"")</f>
        <v/>
      </c>
      <c r="H1054" s="49" t="s">
        <v>387</v>
      </c>
      <c r="I1054" s="49" t="s">
        <v>2298</v>
      </c>
      <c r="J1054" s="53" t="s">
        <v>2498</v>
      </c>
    </row>
    <row r="1055" spans="1:12" x14ac:dyDescent="0.25">
      <c r="A1055" s="51">
        <v>43419</v>
      </c>
      <c r="C1055" s="52" t="s">
        <v>2499</v>
      </c>
      <c r="D1055" s="49" t="s">
        <v>51</v>
      </c>
      <c r="E1055" s="49" t="s">
        <v>3248</v>
      </c>
      <c r="F1055" s="49" t="str">
        <f>IFERROR(IF(Tabla1[[#This Row],[CONCEPTO mx]]="","",VLOOKUP(Tabla1[[#This Row],[CONCEPTO mx]],Tabla2[#All],2,0)),"")</f>
        <v>CM1</v>
      </c>
      <c r="G1055" s="49" t="str">
        <f>IFERROR(IF(Tabla1[[#This Row],[CONCEPTO mx]]="","",VLOOKUP(Tabla1[[#This Row],[CONCEPTO mx]],Tabla2[#All],3,0)),"")</f>
        <v>Gestión Humana</v>
      </c>
      <c r="H1055" s="49" t="s">
        <v>343</v>
      </c>
      <c r="I1055" s="49" t="s">
        <v>2298</v>
      </c>
      <c r="J1055" s="53" t="s">
        <v>2319</v>
      </c>
    </row>
    <row r="1056" spans="1:12" x14ac:dyDescent="0.25">
      <c r="A1056" s="51">
        <v>43419</v>
      </c>
      <c r="C1056" s="52" t="s">
        <v>1201</v>
      </c>
      <c r="D1056" s="49" t="s">
        <v>2404</v>
      </c>
      <c r="E1056" s="52" t="s">
        <v>2494</v>
      </c>
      <c r="F1056" s="52" t="str">
        <f>IFERROR(IF(Tabla1[[#This Row],[CONCEPTO mx]]="","",VLOOKUP(Tabla1[[#This Row],[CONCEPTO mx]],Tabla2[#All],2,0)),"")</f>
        <v/>
      </c>
      <c r="G1056" s="52" t="str">
        <f>IFERROR(IF(Tabla1[[#This Row],[CONCEPTO mx]]="","",VLOOKUP(Tabla1[[#This Row],[CONCEPTO mx]],Tabla2[#All],3,0)),"")</f>
        <v/>
      </c>
      <c r="H1056" s="49" t="s">
        <v>441</v>
      </c>
      <c r="I1056" s="49" t="s">
        <v>2318</v>
      </c>
      <c r="J1056" s="53"/>
    </row>
    <row r="1057" spans="1:12" x14ac:dyDescent="0.25">
      <c r="A1057" s="51">
        <v>43419</v>
      </c>
      <c r="C1057" s="52" t="s">
        <v>2502</v>
      </c>
      <c r="D1057" s="49" t="s">
        <v>51</v>
      </c>
      <c r="E1057" s="49" t="s">
        <v>3248</v>
      </c>
      <c r="F1057" s="49" t="str">
        <f>IFERROR(IF(Tabla1[[#This Row],[CONCEPTO mx]]="","",VLOOKUP(Tabla1[[#This Row],[CONCEPTO mx]],Tabla2[#All],2,0)),"")</f>
        <v>CM1</v>
      </c>
      <c r="G1057" s="49" t="str">
        <f>IFERROR(IF(Tabla1[[#This Row],[CONCEPTO mx]]="","",VLOOKUP(Tabla1[[#This Row],[CONCEPTO mx]],Tabla2[#All],3,0)),"")</f>
        <v>Gestión Humana</v>
      </c>
      <c r="H1057" s="49" t="s">
        <v>388</v>
      </c>
      <c r="I1057" s="49" t="s">
        <v>2298</v>
      </c>
      <c r="J1057" s="53" t="s">
        <v>2353</v>
      </c>
    </row>
    <row r="1058" spans="1:12" x14ac:dyDescent="0.25">
      <c r="A1058" s="51">
        <v>43419</v>
      </c>
      <c r="C1058" s="52" t="s">
        <v>2503</v>
      </c>
      <c r="D1058" s="67"/>
      <c r="E1058" s="49" t="s">
        <v>2355</v>
      </c>
      <c r="F1058" s="49" t="str">
        <f>IFERROR(IF(Tabla1[[#This Row],[CONCEPTO mx]]="","",VLOOKUP(Tabla1[[#This Row],[CONCEPTO mx]],Tabla2[#All],2,0)),"")</f>
        <v>CM13</v>
      </c>
      <c r="G1058" s="49" t="str">
        <f>IFERROR(IF(Tabla1[[#This Row],[CONCEPTO mx]]="","",VLOOKUP(Tabla1[[#This Row],[CONCEPTO mx]],Tabla2[#All],3,0)),"")</f>
        <v>Gestión Humana</v>
      </c>
      <c r="H1058" s="57" t="s">
        <v>486</v>
      </c>
      <c r="I1058" s="57" t="s">
        <v>2298</v>
      </c>
      <c r="J1058" s="53" t="s">
        <v>2504</v>
      </c>
      <c r="K1058" s="51">
        <v>43430</v>
      </c>
      <c r="L1058" s="49" t="s">
        <v>2360</v>
      </c>
    </row>
    <row r="1059" spans="1:12" x14ac:dyDescent="0.25">
      <c r="A1059" s="51">
        <v>43420</v>
      </c>
      <c r="C1059" s="52" t="s">
        <v>2511</v>
      </c>
      <c r="D1059" s="49" t="s">
        <v>51</v>
      </c>
      <c r="E1059" s="49" t="s">
        <v>3248</v>
      </c>
      <c r="F1059" s="49" t="str">
        <f>IFERROR(IF(Tabla1[[#This Row],[CONCEPTO mx]]="","",VLOOKUP(Tabla1[[#This Row],[CONCEPTO mx]],Tabla2[#All],2,0)),"")</f>
        <v>CM1</v>
      </c>
      <c r="G1059" s="49" t="str">
        <f>IFERROR(IF(Tabla1[[#This Row],[CONCEPTO mx]]="","",VLOOKUP(Tabla1[[#This Row],[CONCEPTO mx]],Tabla2[#All],3,0)),"")</f>
        <v>Gestión Humana</v>
      </c>
      <c r="H1059" s="49" t="s">
        <v>486</v>
      </c>
      <c r="I1059" s="49" t="s">
        <v>2512</v>
      </c>
      <c r="J1059" s="53"/>
    </row>
    <row r="1060" spans="1:12" x14ac:dyDescent="0.25">
      <c r="A1060" s="51">
        <v>43420</v>
      </c>
      <c r="C1060" s="52" t="s">
        <v>2507</v>
      </c>
      <c r="D1060" s="49" t="s">
        <v>2273</v>
      </c>
      <c r="E1060" s="52" t="s">
        <v>2506</v>
      </c>
      <c r="F1060" s="52" t="str">
        <f>IFERROR(IF(Tabla1[[#This Row],[CONCEPTO mx]]="","",VLOOKUP(Tabla1[[#This Row],[CONCEPTO mx]],Tabla2[#All],2,0)),"")</f>
        <v/>
      </c>
      <c r="G1060" s="52" t="str">
        <f>IFERROR(IF(Tabla1[[#This Row],[CONCEPTO mx]]="","",VLOOKUP(Tabla1[[#This Row],[CONCEPTO mx]],Tabla2[#All],3,0)),"")</f>
        <v/>
      </c>
      <c r="H1060" s="49" t="s">
        <v>352</v>
      </c>
      <c r="I1060" s="49" t="s">
        <v>2298</v>
      </c>
      <c r="J1060" s="53" t="s">
        <v>2297</v>
      </c>
    </row>
    <row r="1061" spans="1:12" x14ac:dyDescent="0.25">
      <c r="A1061" s="51">
        <v>43420</v>
      </c>
      <c r="C1061" s="52" t="s">
        <v>2509</v>
      </c>
      <c r="D1061" s="49" t="s">
        <v>2273</v>
      </c>
      <c r="E1061" s="52" t="s">
        <v>2508</v>
      </c>
      <c r="F1061" s="52" t="str">
        <f>IFERROR(IF(Tabla1[[#This Row],[CONCEPTO mx]]="","",VLOOKUP(Tabla1[[#This Row],[CONCEPTO mx]],Tabla2[#All],2,0)),"")</f>
        <v/>
      </c>
      <c r="G1061" s="52" t="str">
        <f>IFERROR(IF(Tabla1[[#This Row],[CONCEPTO mx]]="","",VLOOKUP(Tabla1[[#This Row],[CONCEPTO mx]],Tabla2[#All],3,0)),"")</f>
        <v/>
      </c>
      <c r="H1061" s="49" t="s">
        <v>388</v>
      </c>
      <c r="I1061" s="49" t="s">
        <v>2298</v>
      </c>
      <c r="J1061" s="53" t="s">
        <v>2510</v>
      </c>
    </row>
    <row r="1062" spans="1:12" x14ac:dyDescent="0.25">
      <c r="A1062" s="51">
        <v>43423</v>
      </c>
      <c r="C1062" s="49" t="s">
        <v>2515</v>
      </c>
      <c r="D1062" s="49" t="s">
        <v>2505</v>
      </c>
      <c r="E1062" s="71" t="s">
        <v>2516</v>
      </c>
      <c r="F1062" s="71" t="str">
        <f>IFERROR(IF(Tabla1[[#This Row],[CONCEPTO mx]]="","",VLOOKUP(Tabla1[[#This Row],[CONCEPTO mx]],Tabla2[#All],2,0)),"")</f>
        <v/>
      </c>
      <c r="G1062" s="71" t="str">
        <f>IFERROR(IF(Tabla1[[#This Row],[CONCEPTO mx]]="","",VLOOKUP(Tabla1[[#This Row],[CONCEPTO mx]],Tabla2[#All],3,0)),"")</f>
        <v/>
      </c>
      <c r="H1062" s="49" t="s">
        <v>438</v>
      </c>
      <c r="I1062" s="49" t="s">
        <v>2298</v>
      </c>
      <c r="J1062" s="53" t="s">
        <v>2314</v>
      </c>
    </row>
    <row r="1063" spans="1:12" x14ac:dyDescent="0.25">
      <c r="A1063" s="51">
        <v>43425</v>
      </c>
      <c r="C1063" s="52" t="s">
        <v>2519</v>
      </c>
      <c r="D1063" s="49" t="s">
        <v>51</v>
      </c>
      <c r="E1063" s="49" t="s">
        <v>3248</v>
      </c>
      <c r="F1063" s="49" t="str">
        <f>IFERROR(IF(Tabla1[[#This Row],[CONCEPTO mx]]="","",VLOOKUP(Tabla1[[#This Row],[CONCEPTO mx]],Tabla2[#All],2,0)),"")</f>
        <v>CM1</v>
      </c>
      <c r="G1063" s="49" t="str">
        <f>IFERROR(IF(Tabla1[[#This Row],[CONCEPTO mx]]="","",VLOOKUP(Tabla1[[#This Row],[CONCEPTO mx]],Tabla2[#All],3,0)),"")</f>
        <v>Gestión Humana</v>
      </c>
      <c r="H1063" s="49" t="s">
        <v>438</v>
      </c>
      <c r="I1063" s="49" t="s">
        <v>2512</v>
      </c>
      <c r="J1063" s="53" t="s">
        <v>2875</v>
      </c>
    </row>
    <row r="1064" spans="1:12" x14ac:dyDescent="0.25">
      <c r="A1064" s="51">
        <v>43425</v>
      </c>
      <c r="C1064" s="52" t="s">
        <v>2517</v>
      </c>
      <c r="D1064" s="67" t="s">
        <v>2355</v>
      </c>
      <c r="E1064" s="49" t="s">
        <v>2518</v>
      </c>
      <c r="F1064" s="49" t="str">
        <f>IFERROR(IF(Tabla1[[#This Row],[CONCEPTO mx]]="","",VLOOKUP(Tabla1[[#This Row],[CONCEPTO mx]],Tabla2[#All],2,0)),"")</f>
        <v/>
      </c>
      <c r="G1064" s="49" t="str">
        <f>IFERROR(IF(Tabla1[[#This Row],[CONCEPTO mx]]="","",VLOOKUP(Tabla1[[#This Row],[CONCEPTO mx]],Tabla2[#All],3,0)),"")</f>
        <v/>
      </c>
      <c r="H1064" s="49" t="s">
        <v>2391</v>
      </c>
      <c r="I1064" s="57" t="s">
        <v>2512</v>
      </c>
      <c r="J1064" s="53" t="s">
        <v>2874</v>
      </c>
      <c r="K1064" s="51">
        <v>43433</v>
      </c>
      <c r="L1064" s="49" t="s">
        <v>2547</v>
      </c>
    </row>
    <row r="1065" spans="1:12" x14ac:dyDescent="0.25">
      <c r="A1065" s="51">
        <v>43430</v>
      </c>
      <c r="C1065" s="52" t="s">
        <v>2523</v>
      </c>
      <c r="D1065" s="49" t="s">
        <v>2404</v>
      </c>
      <c r="E1065" s="52" t="s">
        <v>2524</v>
      </c>
      <c r="F1065" s="52" t="str">
        <f>IFERROR(IF(Tabla1[[#This Row],[CONCEPTO mx]]="","",VLOOKUP(Tabla1[[#This Row],[CONCEPTO mx]],Tabla2[#All],2,0)),"")</f>
        <v/>
      </c>
      <c r="G1065" s="52" t="str">
        <f>IFERROR(IF(Tabla1[[#This Row],[CONCEPTO mx]]="","",VLOOKUP(Tabla1[[#This Row],[CONCEPTO mx]],Tabla2[#All],3,0)),"")</f>
        <v/>
      </c>
      <c r="H1065" s="49" t="s">
        <v>387</v>
      </c>
      <c r="I1065" s="49" t="s">
        <v>2298</v>
      </c>
      <c r="J1065" s="53" t="s">
        <v>2876</v>
      </c>
    </row>
    <row r="1066" spans="1:12" x14ac:dyDescent="0.25">
      <c r="A1066" s="51">
        <v>43430</v>
      </c>
      <c r="C1066" s="52" t="s">
        <v>2530</v>
      </c>
      <c r="D1066" s="49" t="s">
        <v>2360</v>
      </c>
      <c r="E1066" s="52" t="s">
        <v>2526</v>
      </c>
      <c r="F1066" s="52" t="str">
        <f>IFERROR(IF(Tabla1[[#This Row],[CONCEPTO mx]]="","",VLOOKUP(Tabla1[[#This Row],[CONCEPTO mx]],Tabla2[#All],2,0)),"")</f>
        <v/>
      </c>
      <c r="G1066" s="52" t="str">
        <f>IFERROR(IF(Tabla1[[#This Row],[CONCEPTO mx]]="","",VLOOKUP(Tabla1[[#This Row],[CONCEPTO mx]],Tabla2[#All],3,0)),"")</f>
        <v/>
      </c>
      <c r="H1066" s="49" t="s">
        <v>388</v>
      </c>
      <c r="I1066" s="49" t="s">
        <v>2298</v>
      </c>
      <c r="J1066" s="53" t="s">
        <v>2510</v>
      </c>
    </row>
    <row r="1067" spans="1:12" x14ac:dyDescent="0.25">
      <c r="A1067" s="51">
        <v>43430</v>
      </c>
      <c r="C1067" s="52" t="s">
        <v>2527</v>
      </c>
      <c r="D1067" s="49" t="s">
        <v>2273</v>
      </c>
      <c r="E1067" s="49" t="s">
        <v>2528</v>
      </c>
      <c r="F1067" s="49" t="str">
        <f>IFERROR(IF(Tabla1[[#This Row],[CONCEPTO mx]]="","",VLOOKUP(Tabla1[[#This Row],[CONCEPTO mx]],Tabla2[#All],2,0)),"")</f>
        <v/>
      </c>
      <c r="G1067" s="49" t="str">
        <f>IFERROR(IF(Tabla1[[#This Row],[CONCEPTO mx]]="","",VLOOKUP(Tabla1[[#This Row],[CONCEPTO mx]],Tabla2[#All],3,0)),"")</f>
        <v/>
      </c>
      <c r="H1067" s="49" t="s">
        <v>352</v>
      </c>
      <c r="I1067" s="49" t="s">
        <v>2298</v>
      </c>
      <c r="J1067" s="53" t="s">
        <v>2422</v>
      </c>
    </row>
    <row r="1068" spans="1:12" x14ac:dyDescent="0.25">
      <c r="A1068" s="51">
        <v>43430</v>
      </c>
      <c r="C1068" s="52" t="s">
        <v>2531</v>
      </c>
      <c r="D1068" s="49" t="s">
        <v>2273</v>
      </c>
      <c r="E1068" s="52" t="s">
        <v>2532</v>
      </c>
      <c r="F1068" s="52" t="str">
        <f>IFERROR(IF(Tabla1[[#This Row],[CONCEPTO mx]]="","",VLOOKUP(Tabla1[[#This Row],[CONCEPTO mx]],Tabla2[#All],2,0)),"")</f>
        <v/>
      </c>
      <c r="G1068" s="52" t="str">
        <f>IFERROR(IF(Tabla1[[#This Row],[CONCEPTO mx]]="","",VLOOKUP(Tabla1[[#This Row],[CONCEPTO mx]],Tabla2[#All],3,0)),"")</f>
        <v/>
      </c>
      <c r="H1068" s="49" t="s">
        <v>438</v>
      </c>
      <c r="I1068" s="49" t="s">
        <v>2512</v>
      </c>
      <c r="J1068" s="53" t="s">
        <v>2878</v>
      </c>
    </row>
    <row r="1069" spans="1:12" x14ac:dyDescent="0.25">
      <c r="A1069" s="51">
        <v>43430</v>
      </c>
      <c r="C1069" s="52" t="s">
        <v>2520</v>
      </c>
      <c r="D1069" s="49" t="s">
        <v>2273</v>
      </c>
      <c r="E1069" s="53" t="s">
        <v>2521</v>
      </c>
      <c r="F1069" s="53" t="str">
        <f>IFERROR(IF(Tabla1[[#This Row],[CONCEPTO mx]]="","",VLOOKUP(Tabla1[[#This Row],[CONCEPTO mx]],Tabla2[#All],2,0)),"")</f>
        <v/>
      </c>
      <c r="G1069" s="53" t="str">
        <f>IFERROR(IF(Tabla1[[#This Row],[CONCEPTO mx]]="","",VLOOKUP(Tabla1[[#This Row],[CONCEPTO mx]],Tabla2[#All],3,0)),"")</f>
        <v/>
      </c>
      <c r="H1069" s="49" t="s">
        <v>334</v>
      </c>
      <c r="I1069" s="49" t="s">
        <v>2298</v>
      </c>
      <c r="J1069" s="53" t="s">
        <v>2510</v>
      </c>
    </row>
    <row r="1070" spans="1:12" x14ac:dyDescent="0.25">
      <c r="A1070" s="51">
        <v>43430</v>
      </c>
      <c r="C1070" s="52" t="s">
        <v>2529</v>
      </c>
      <c r="D1070" s="49" t="s">
        <v>51</v>
      </c>
      <c r="E1070" s="49" t="s">
        <v>3248</v>
      </c>
      <c r="F1070" s="49" t="str">
        <f>IFERROR(IF(Tabla1[[#This Row],[CONCEPTO mx]]="","",VLOOKUP(Tabla1[[#This Row],[CONCEPTO mx]],Tabla2[#All],2,0)),"")</f>
        <v>CM1</v>
      </c>
      <c r="G1070" s="49" t="str">
        <f>IFERROR(IF(Tabla1[[#This Row],[CONCEPTO mx]]="","",VLOOKUP(Tabla1[[#This Row],[CONCEPTO mx]],Tabla2[#All],3,0)),"")</f>
        <v>Gestión Humana</v>
      </c>
      <c r="H1070" s="49" t="s">
        <v>2393</v>
      </c>
      <c r="I1070" s="49" t="s">
        <v>2298</v>
      </c>
      <c r="J1070" s="53" t="s">
        <v>2319</v>
      </c>
    </row>
    <row r="1071" spans="1:12" x14ac:dyDescent="0.25">
      <c r="A1071" s="51">
        <v>43430</v>
      </c>
      <c r="C1071" s="52" t="s">
        <v>1815</v>
      </c>
      <c r="D1071" s="49" t="s">
        <v>51</v>
      </c>
      <c r="E1071" s="49" t="s">
        <v>3248</v>
      </c>
      <c r="F1071" s="49" t="str">
        <f>IFERROR(IF(Tabla1[[#This Row],[CONCEPTO mx]]="","",VLOOKUP(Tabla1[[#This Row],[CONCEPTO mx]],Tabla2[#All],2,0)),"")</f>
        <v>CM1</v>
      </c>
      <c r="G1071" s="49" t="str">
        <f>IFERROR(IF(Tabla1[[#This Row],[CONCEPTO mx]]="","",VLOOKUP(Tabla1[[#This Row],[CONCEPTO mx]],Tabla2[#All],3,0)),"")</f>
        <v>Gestión Humana</v>
      </c>
      <c r="H1071" s="49" t="s">
        <v>2391</v>
      </c>
      <c r="I1071" s="49" t="s">
        <v>2318</v>
      </c>
      <c r="J1071" s="53"/>
    </row>
    <row r="1072" spans="1:12" x14ac:dyDescent="0.25">
      <c r="A1072" s="51">
        <v>43430</v>
      </c>
      <c r="C1072" s="52" t="s">
        <v>2522</v>
      </c>
      <c r="D1072" s="49" t="s">
        <v>51</v>
      </c>
      <c r="E1072" s="53" t="s">
        <v>3248</v>
      </c>
      <c r="F1072" s="53" t="str">
        <f>IFERROR(IF(Tabla1[[#This Row],[CONCEPTO mx]]="","",VLOOKUP(Tabla1[[#This Row],[CONCEPTO mx]],Tabla2[#All],2,0)),"")</f>
        <v>CM1</v>
      </c>
      <c r="G1072" s="53" t="str">
        <f>IFERROR(IF(Tabla1[[#This Row],[CONCEPTO mx]]="","",VLOOKUP(Tabla1[[#This Row],[CONCEPTO mx]],Tabla2[#All],3,0)),"")</f>
        <v>Gestión Humana</v>
      </c>
      <c r="H1072" s="49" t="s">
        <v>388</v>
      </c>
      <c r="I1072" s="49" t="s">
        <v>2298</v>
      </c>
      <c r="J1072" s="53" t="s">
        <v>2475</v>
      </c>
    </row>
    <row r="1073" spans="1:12" x14ac:dyDescent="0.25">
      <c r="A1073" s="51">
        <v>43430</v>
      </c>
      <c r="C1073" s="52" t="s">
        <v>2525</v>
      </c>
      <c r="D1073" s="49" t="s">
        <v>2360</v>
      </c>
      <c r="E1073" s="52" t="s">
        <v>2526</v>
      </c>
      <c r="F1073" s="52" t="str">
        <f>IFERROR(IF(Tabla1[[#This Row],[CONCEPTO mx]]="","",VLOOKUP(Tabla1[[#This Row],[CONCEPTO mx]],Tabla2[#All],2,0)),"")</f>
        <v/>
      </c>
      <c r="G1073" s="52" t="str">
        <f>IFERROR(IF(Tabla1[[#This Row],[CONCEPTO mx]]="","",VLOOKUP(Tabla1[[#This Row],[CONCEPTO mx]],Tabla2[#All],3,0)),"")</f>
        <v/>
      </c>
      <c r="H1073" s="49" t="s">
        <v>387</v>
      </c>
      <c r="I1073" s="49" t="s">
        <v>2298</v>
      </c>
      <c r="J1073" s="53" t="s">
        <v>2877</v>
      </c>
    </row>
    <row r="1074" spans="1:12" x14ac:dyDescent="0.25">
      <c r="A1074" s="51">
        <v>43433</v>
      </c>
      <c r="C1074" s="52" t="s">
        <v>2540</v>
      </c>
      <c r="D1074" s="49" t="s">
        <v>2404</v>
      </c>
      <c r="E1074" s="52" t="s">
        <v>2541</v>
      </c>
      <c r="F1074" s="52" t="str">
        <f>IFERROR(IF(Tabla1[[#This Row],[CONCEPTO mx]]="","",VLOOKUP(Tabla1[[#This Row],[CONCEPTO mx]],Tabla2[#All],2,0)),"")</f>
        <v/>
      </c>
      <c r="G1074" s="52" t="str">
        <f>IFERROR(IF(Tabla1[[#This Row],[CONCEPTO mx]]="","",VLOOKUP(Tabla1[[#This Row],[CONCEPTO mx]],Tabla2[#All],3,0)),"")</f>
        <v/>
      </c>
      <c r="H1074" s="49" t="s">
        <v>438</v>
      </c>
      <c r="I1074" s="49" t="s">
        <v>2298</v>
      </c>
      <c r="J1074" s="53" t="s">
        <v>2353</v>
      </c>
    </row>
    <row r="1075" spans="1:12" x14ac:dyDescent="0.25">
      <c r="A1075" s="51">
        <v>43433</v>
      </c>
      <c r="C1075" s="52" t="s">
        <v>2535</v>
      </c>
      <c r="D1075" s="67" t="s">
        <v>2355</v>
      </c>
      <c r="E1075" s="72" t="s">
        <v>2572</v>
      </c>
      <c r="F1075" s="72" t="str">
        <f>IFERROR(IF(Tabla1[[#This Row],[CONCEPTO mx]]="","",VLOOKUP(Tabla1[[#This Row],[CONCEPTO mx]],Tabla2[#All],2,0)),"")</f>
        <v/>
      </c>
      <c r="G1075" s="72" t="str">
        <f>IFERROR(IF(Tabla1[[#This Row],[CONCEPTO mx]]="","",VLOOKUP(Tabla1[[#This Row],[CONCEPTO mx]],Tabla2[#All],3,0)),"")</f>
        <v/>
      </c>
      <c r="H1075" s="49" t="s">
        <v>438</v>
      </c>
      <c r="I1075" s="57" t="s">
        <v>2298</v>
      </c>
      <c r="J1075" s="53" t="s">
        <v>2536</v>
      </c>
      <c r="K1075" s="51">
        <v>43440</v>
      </c>
      <c r="L1075" s="70" t="s">
        <v>2404</v>
      </c>
    </row>
    <row r="1076" spans="1:12" x14ac:dyDescent="0.25">
      <c r="A1076" s="51">
        <v>43433</v>
      </c>
      <c r="C1076" s="52" t="s">
        <v>2553</v>
      </c>
      <c r="D1076" s="49" t="s">
        <v>2273</v>
      </c>
      <c r="E1076" s="52" t="s">
        <v>2554</v>
      </c>
      <c r="F1076" s="52" t="str">
        <f>IFERROR(IF(Tabla1[[#This Row],[CONCEPTO mx]]="","",VLOOKUP(Tabla1[[#This Row],[CONCEPTO mx]],Tabla2[#All],2,0)),"")</f>
        <v/>
      </c>
      <c r="G1076" s="52" t="str">
        <f>IFERROR(IF(Tabla1[[#This Row],[CONCEPTO mx]]="","",VLOOKUP(Tabla1[[#This Row],[CONCEPTO mx]],Tabla2[#All],3,0)),"")</f>
        <v/>
      </c>
      <c r="H1076" s="49" t="s">
        <v>2394</v>
      </c>
      <c r="I1076" s="49" t="s">
        <v>2298</v>
      </c>
      <c r="J1076" s="53" t="s">
        <v>2351</v>
      </c>
    </row>
    <row r="1077" spans="1:12" x14ac:dyDescent="0.25">
      <c r="A1077" s="51">
        <v>43433</v>
      </c>
      <c r="C1077" s="52" t="s">
        <v>2533</v>
      </c>
      <c r="D1077" s="49" t="s">
        <v>2404</v>
      </c>
      <c r="E1077" s="52" t="s">
        <v>2534</v>
      </c>
      <c r="F1077" s="52" t="str">
        <f>IFERROR(IF(Tabla1[[#This Row],[CONCEPTO mx]]="","",VLOOKUP(Tabla1[[#This Row],[CONCEPTO mx]],Tabla2[#All],2,0)),"")</f>
        <v/>
      </c>
      <c r="G1077" s="52" t="str">
        <f>IFERROR(IF(Tabla1[[#This Row],[CONCEPTO mx]]="","",VLOOKUP(Tabla1[[#This Row],[CONCEPTO mx]],Tabla2[#All],3,0)),"")</f>
        <v/>
      </c>
      <c r="H1077" s="49" t="s">
        <v>413</v>
      </c>
      <c r="I1077" s="49" t="s">
        <v>2298</v>
      </c>
      <c r="J1077" s="53" t="s">
        <v>2422</v>
      </c>
    </row>
    <row r="1078" spans="1:12" x14ac:dyDescent="0.25">
      <c r="A1078" s="51">
        <v>43433</v>
      </c>
      <c r="C1078" s="52" t="s">
        <v>2552</v>
      </c>
      <c r="D1078" s="49" t="s">
        <v>2404</v>
      </c>
      <c r="E1078" s="52" t="s">
        <v>2401</v>
      </c>
      <c r="F1078" s="52" t="str">
        <f>IFERROR(IF(Tabla1[[#This Row],[CONCEPTO mx]]="","",VLOOKUP(Tabla1[[#This Row],[CONCEPTO mx]],Tabla2[#All],2,0)),"")</f>
        <v>CM28</v>
      </c>
      <c r="G1078" s="52" t="str">
        <f>IFERROR(IF(Tabla1[[#This Row],[CONCEPTO mx]]="","",VLOOKUP(Tabla1[[#This Row],[CONCEPTO mx]],Tabla2[#All],3,0)),"")</f>
        <v>SST</v>
      </c>
      <c r="H1078" s="49" t="s">
        <v>438</v>
      </c>
      <c r="I1078" s="49" t="s">
        <v>2298</v>
      </c>
      <c r="J1078" s="53" t="s">
        <v>2351</v>
      </c>
    </row>
    <row r="1079" spans="1:12" x14ac:dyDescent="0.25">
      <c r="A1079" s="51">
        <v>43433</v>
      </c>
      <c r="C1079" s="52" t="s">
        <v>2542</v>
      </c>
      <c r="D1079" s="49" t="s">
        <v>2273</v>
      </c>
      <c r="E1079" s="52" t="s">
        <v>2543</v>
      </c>
      <c r="F1079" s="52" t="str">
        <f>IFERROR(IF(Tabla1[[#This Row],[CONCEPTO mx]]="","",VLOOKUP(Tabla1[[#This Row],[CONCEPTO mx]],Tabla2[#All],2,0)),"")</f>
        <v/>
      </c>
      <c r="G1079" s="52" t="str">
        <f>IFERROR(IF(Tabla1[[#This Row],[CONCEPTO mx]]="","",VLOOKUP(Tabla1[[#This Row],[CONCEPTO mx]],Tabla2[#All],3,0)),"")</f>
        <v/>
      </c>
      <c r="H1079" s="49" t="s">
        <v>486</v>
      </c>
      <c r="I1079" s="49" t="s">
        <v>2298</v>
      </c>
      <c r="J1079" s="53" t="s">
        <v>2544</v>
      </c>
    </row>
    <row r="1080" spans="1:12" x14ac:dyDescent="0.25">
      <c r="A1080" s="51">
        <v>43433</v>
      </c>
      <c r="C1080" s="52" t="s">
        <v>2555</v>
      </c>
      <c r="D1080" s="49" t="s">
        <v>2505</v>
      </c>
      <c r="E1080" s="52" t="s">
        <v>2556</v>
      </c>
      <c r="F1080" s="52" t="str">
        <f>IFERROR(IF(Tabla1[[#This Row],[CONCEPTO mx]]="","",VLOOKUP(Tabla1[[#This Row],[CONCEPTO mx]],Tabla2[#All],2,0)),"")</f>
        <v/>
      </c>
      <c r="G1080" s="52" t="str">
        <f>IFERROR(IF(Tabla1[[#This Row],[CONCEPTO mx]]="","",VLOOKUP(Tabla1[[#This Row],[CONCEPTO mx]],Tabla2[#All],3,0)),"")</f>
        <v/>
      </c>
      <c r="H1080" s="49" t="s">
        <v>2391</v>
      </c>
      <c r="I1080" s="49" t="s">
        <v>2512</v>
      </c>
      <c r="J1080" s="53" t="s">
        <v>2879</v>
      </c>
    </row>
    <row r="1081" spans="1:12" x14ac:dyDescent="0.25">
      <c r="A1081" s="51">
        <v>43433</v>
      </c>
      <c r="C1081" s="52" t="s">
        <v>2558</v>
      </c>
      <c r="D1081" s="49" t="s">
        <v>2360</v>
      </c>
      <c r="E1081" s="52" t="s">
        <v>2559</v>
      </c>
      <c r="F1081" s="52" t="str">
        <f>IFERROR(IF(Tabla1[[#This Row],[CONCEPTO mx]]="","",VLOOKUP(Tabla1[[#This Row],[CONCEPTO mx]],Tabla2[#All],2,0)),"")</f>
        <v/>
      </c>
      <c r="G1081" s="52" t="str">
        <f>IFERROR(IF(Tabla1[[#This Row],[CONCEPTO mx]]="","",VLOOKUP(Tabla1[[#This Row],[CONCEPTO mx]],Tabla2[#All],3,0)),"")</f>
        <v/>
      </c>
      <c r="H1081" s="49" t="s">
        <v>528</v>
      </c>
      <c r="I1081" s="52" t="s">
        <v>2560</v>
      </c>
      <c r="J1081" s="53"/>
    </row>
    <row r="1082" spans="1:12" x14ac:dyDescent="0.25">
      <c r="A1082" s="51">
        <v>43433</v>
      </c>
      <c r="C1082" s="52" t="s">
        <v>2537</v>
      </c>
      <c r="D1082" s="49" t="s">
        <v>2273</v>
      </c>
      <c r="E1082" s="52" t="s">
        <v>2538</v>
      </c>
      <c r="F1082" s="52" t="str">
        <f>IFERROR(IF(Tabla1[[#This Row],[CONCEPTO mx]]="","",VLOOKUP(Tabla1[[#This Row],[CONCEPTO mx]],Tabla2[#All],2,0)),"")</f>
        <v/>
      </c>
      <c r="G1082" s="52" t="str">
        <f>IFERROR(IF(Tabla1[[#This Row],[CONCEPTO mx]]="","",VLOOKUP(Tabla1[[#This Row],[CONCEPTO mx]],Tabla2[#All],3,0)),"")</f>
        <v/>
      </c>
      <c r="H1082" s="49" t="s">
        <v>438</v>
      </c>
      <c r="I1082" s="49" t="s">
        <v>2298</v>
      </c>
      <c r="J1082" s="53" t="s">
        <v>2539</v>
      </c>
    </row>
    <row r="1083" spans="1:12" x14ac:dyDescent="0.25">
      <c r="A1083" s="51">
        <v>43433</v>
      </c>
      <c r="C1083" s="52" t="s">
        <v>2557</v>
      </c>
      <c r="D1083" s="49" t="s">
        <v>51</v>
      </c>
      <c r="E1083" s="49" t="s">
        <v>3248</v>
      </c>
      <c r="F1083" s="49" t="str">
        <f>IFERROR(IF(Tabla1[[#This Row],[CONCEPTO mx]]="","",VLOOKUP(Tabla1[[#This Row],[CONCEPTO mx]],Tabla2[#All],2,0)),"")</f>
        <v>CM1</v>
      </c>
      <c r="G1083" s="49" t="str">
        <f>IFERROR(IF(Tabla1[[#This Row],[CONCEPTO mx]]="","",VLOOKUP(Tabla1[[#This Row],[CONCEPTO mx]],Tabla2[#All],3,0)),"")</f>
        <v>Gestión Humana</v>
      </c>
      <c r="H1083" s="49" t="s">
        <v>2391</v>
      </c>
      <c r="I1083" s="49" t="s">
        <v>2512</v>
      </c>
      <c r="J1083" s="53" t="s">
        <v>2880</v>
      </c>
    </row>
    <row r="1084" spans="1:12" x14ac:dyDescent="0.25">
      <c r="A1084" s="51">
        <v>43433</v>
      </c>
      <c r="C1084" s="52" t="s">
        <v>2549</v>
      </c>
      <c r="D1084" s="68" t="s">
        <v>2550</v>
      </c>
      <c r="E1084" s="52" t="s">
        <v>2551</v>
      </c>
      <c r="F1084" s="52" t="str">
        <f>IFERROR(IF(Tabla1[[#This Row],[CONCEPTO mx]]="","",VLOOKUP(Tabla1[[#This Row],[CONCEPTO mx]],Tabla2[#All],2,0)),"")</f>
        <v/>
      </c>
      <c r="G1084" s="52" t="str">
        <f>IFERROR(IF(Tabla1[[#This Row],[CONCEPTO mx]]="","",VLOOKUP(Tabla1[[#This Row],[CONCEPTO mx]],Tabla2[#All],3,0)),"")</f>
        <v/>
      </c>
      <c r="H1084" s="49" t="s">
        <v>413</v>
      </c>
      <c r="I1084" s="49" t="s">
        <v>2298</v>
      </c>
      <c r="J1084" s="53" t="s">
        <v>2858</v>
      </c>
    </row>
    <row r="1085" spans="1:12" x14ac:dyDescent="0.25">
      <c r="A1085" s="51">
        <v>43433</v>
      </c>
      <c r="C1085" s="52" t="s">
        <v>1854</v>
      </c>
      <c r="D1085" s="49" t="s">
        <v>51</v>
      </c>
      <c r="E1085" s="49" t="s">
        <v>3248</v>
      </c>
      <c r="F1085" s="49" t="str">
        <f>IFERROR(IF(Tabla1[[#This Row],[CONCEPTO mx]]="","",VLOOKUP(Tabla1[[#This Row],[CONCEPTO mx]],Tabla2[#All],2,0)),"")</f>
        <v>CM1</v>
      </c>
      <c r="G1085" s="49" t="str">
        <f>IFERROR(IF(Tabla1[[#This Row],[CONCEPTO mx]]="","",VLOOKUP(Tabla1[[#This Row],[CONCEPTO mx]],Tabla2[#All],3,0)),"")</f>
        <v>Gestión Humana</v>
      </c>
      <c r="H1085" s="49" t="s">
        <v>438</v>
      </c>
      <c r="I1085" s="49" t="s">
        <v>2320</v>
      </c>
      <c r="J1085" s="53"/>
    </row>
    <row r="1086" spans="1:12" x14ac:dyDescent="0.25">
      <c r="A1086" s="51">
        <v>43433</v>
      </c>
      <c r="C1086" s="52" t="s">
        <v>2548</v>
      </c>
      <c r="D1086" s="49" t="s">
        <v>2360</v>
      </c>
      <c r="E1086" s="52" t="s">
        <v>2526</v>
      </c>
      <c r="F1086" s="52" t="str">
        <f>IFERROR(IF(Tabla1[[#This Row],[CONCEPTO mx]]="","",VLOOKUP(Tabla1[[#This Row],[CONCEPTO mx]],Tabla2[#All],2,0)),"")</f>
        <v/>
      </c>
      <c r="G1086" s="52" t="str">
        <f>IFERROR(IF(Tabla1[[#This Row],[CONCEPTO mx]]="","",VLOOKUP(Tabla1[[#This Row],[CONCEPTO mx]],Tabla2[#All],3,0)),"")</f>
        <v/>
      </c>
      <c r="H1086" s="49" t="s">
        <v>2394</v>
      </c>
      <c r="I1086" s="49" t="s">
        <v>2298</v>
      </c>
      <c r="J1086" s="53" t="s">
        <v>2353</v>
      </c>
    </row>
    <row r="1087" spans="1:12" x14ac:dyDescent="0.25">
      <c r="A1087" s="51">
        <v>43433</v>
      </c>
      <c r="C1087" s="52" t="s">
        <v>2545</v>
      </c>
      <c r="D1087" s="49" t="s">
        <v>2547</v>
      </c>
      <c r="E1087" s="52" t="s">
        <v>2546</v>
      </c>
      <c r="F1087" s="52" t="str">
        <f>IFERROR(IF(Tabla1[[#This Row],[CONCEPTO mx]]="","",VLOOKUP(Tabla1[[#This Row],[CONCEPTO mx]],Tabla2[#All],2,0)),"")</f>
        <v/>
      </c>
      <c r="G1087" s="52" t="str">
        <f>IFERROR(IF(Tabla1[[#This Row],[CONCEPTO mx]]="","",VLOOKUP(Tabla1[[#This Row],[CONCEPTO mx]],Tabla2[#All],3,0)),"")</f>
        <v/>
      </c>
      <c r="H1087" s="49" t="s">
        <v>2393</v>
      </c>
      <c r="I1087" s="49" t="s">
        <v>2512</v>
      </c>
      <c r="J1087" s="53" t="s">
        <v>2879</v>
      </c>
    </row>
    <row r="1088" spans="1:12" x14ac:dyDescent="0.25">
      <c r="A1088" s="51">
        <v>43437</v>
      </c>
      <c r="C1088" s="52" t="s">
        <v>2568</v>
      </c>
      <c r="D1088" s="49" t="s">
        <v>2360</v>
      </c>
      <c r="E1088" s="52" t="s">
        <v>2559</v>
      </c>
      <c r="F1088" s="52" t="str">
        <f>IFERROR(IF(Tabla1[[#This Row],[CONCEPTO mx]]="","",VLOOKUP(Tabla1[[#This Row],[CONCEPTO mx]],Tabla2[#All],2,0)),"")</f>
        <v/>
      </c>
      <c r="G1088" s="52" t="str">
        <f>IFERROR(IF(Tabla1[[#This Row],[CONCEPTO mx]]="","",VLOOKUP(Tabla1[[#This Row],[CONCEPTO mx]],Tabla2[#All],3,0)),"")</f>
        <v/>
      </c>
      <c r="H1088" s="49" t="s">
        <v>441</v>
      </c>
      <c r="I1088" s="49" t="s">
        <v>2298</v>
      </c>
      <c r="J1088" s="53" t="s">
        <v>2353</v>
      </c>
    </row>
    <row r="1089" spans="1:12" x14ac:dyDescent="0.25">
      <c r="A1089" s="51">
        <v>43437</v>
      </c>
      <c r="C1089" s="52" t="s">
        <v>2566</v>
      </c>
      <c r="D1089" s="49" t="s">
        <v>51</v>
      </c>
      <c r="E1089" s="49" t="s">
        <v>3248</v>
      </c>
      <c r="F1089" s="49" t="str">
        <f>IFERROR(IF(Tabla1[[#This Row],[CONCEPTO mx]]="","",VLOOKUP(Tabla1[[#This Row],[CONCEPTO mx]],Tabla2[#All],2,0)),"")</f>
        <v>CM1</v>
      </c>
      <c r="G1089" s="49" t="str">
        <f>IFERROR(IF(Tabla1[[#This Row],[CONCEPTO mx]]="","",VLOOKUP(Tabla1[[#This Row],[CONCEPTO mx]],Tabla2[#All],3,0)),"")</f>
        <v>Gestión Humana</v>
      </c>
      <c r="H1089" s="49" t="s">
        <v>2391</v>
      </c>
      <c r="I1089" s="49" t="s">
        <v>2512</v>
      </c>
      <c r="J1089" s="53" t="s">
        <v>2879</v>
      </c>
    </row>
    <row r="1090" spans="1:12" x14ac:dyDescent="0.25">
      <c r="A1090" s="51">
        <v>43437</v>
      </c>
      <c r="C1090" s="52" t="s">
        <v>2569</v>
      </c>
      <c r="D1090" s="49" t="s">
        <v>2273</v>
      </c>
      <c r="E1090" s="52" t="s">
        <v>2570</v>
      </c>
      <c r="F1090" s="52" t="str">
        <f>IFERROR(IF(Tabla1[[#This Row],[CONCEPTO mx]]="","",VLOOKUP(Tabla1[[#This Row],[CONCEPTO mx]],Tabla2[#All],2,0)),"")</f>
        <v/>
      </c>
      <c r="G1090" s="52" t="str">
        <f>IFERROR(IF(Tabla1[[#This Row],[CONCEPTO mx]]="","",VLOOKUP(Tabla1[[#This Row],[CONCEPTO mx]],Tabla2[#All],3,0)),"")</f>
        <v/>
      </c>
      <c r="H1090" s="49" t="s">
        <v>413</v>
      </c>
      <c r="I1090" s="49" t="s">
        <v>2320</v>
      </c>
      <c r="J1090" s="53"/>
    </row>
    <row r="1091" spans="1:12" x14ac:dyDescent="0.25">
      <c r="A1091" s="51">
        <v>43437</v>
      </c>
      <c r="C1091" s="52" t="s">
        <v>2561</v>
      </c>
      <c r="D1091" s="49" t="s">
        <v>2404</v>
      </c>
      <c r="E1091" s="52" t="s">
        <v>2562</v>
      </c>
      <c r="F1091" s="52" t="str">
        <f>IFERROR(IF(Tabla1[[#This Row],[CONCEPTO mx]]="","",VLOOKUP(Tabla1[[#This Row],[CONCEPTO mx]],Tabla2[#All],2,0)),"")</f>
        <v/>
      </c>
      <c r="G1091" s="52" t="str">
        <f>IFERROR(IF(Tabla1[[#This Row],[CONCEPTO mx]]="","",VLOOKUP(Tabla1[[#This Row],[CONCEPTO mx]],Tabla2[#All],3,0)),"")</f>
        <v/>
      </c>
      <c r="H1091" s="49" t="s">
        <v>406</v>
      </c>
      <c r="I1091" s="49" t="s">
        <v>2298</v>
      </c>
      <c r="J1091" s="53" t="s">
        <v>2563</v>
      </c>
    </row>
    <row r="1092" spans="1:12" x14ac:dyDescent="0.25">
      <c r="A1092" s="51">
        <v>43437</v>
      </c>
      <c r="C1092" s="52" t="s">
        <v>2565</v>
      </c>
      <c r="D1092" s="49" t="s">
        <v>51</v>
      </c>
      <c r="E1092" s="49" t="s">
        <v>3248</v>
      </c>
      <c r="F1092" s="49" t="str">
        <f>IFERROR(IF(Tabla1[[#This Row],[CONCEPTO mx]]="","",VLOOKUP(Tabla1[[#This Row],[CONCEPTO mx]],Tabla2[#All],2,0)),"")</f>
        <v>CM1</v>
      </c>
      <c r="G1092" s="49" t="str">
        <f>IFERROR(IF(Tabla1[[#This Row],[CONCEPTO mx]]="","",VLOOKUP(Tabla1[[#This Row],[CONCEPTO mx]],Tabla2[#All],3,0)),"")</f>
        <v>Gestión Humana</v>
      </c>
      <c r="H1092" s="49" t="s">
        <v>2391</v>
      </c>
      <c r="I1092" s="49" t="s">
        <v>2512</v>
      </c>
      <c r="J1092" s="53" t="s">
        <v>2879</v>
      </c>
    </row>
    <row r="1093" spans="1:12" x14ac:dyDescent="0.25">
      <c r="A1093" s="51">
        <v>43437</v>
      </c>
      <c r="C1093" s="52" t="s">
        <v>1334</v>
      </c>
      <c r="D1093" s="49" t="s">
        <v>2360</v>
      </c>
      <c r="E1093" s="52" t="s">
        <v>2559</v>
      </c>
      <c r="F1093" s="52" t="str">
        <f>IFERROR(IF(Tabla1[[#This Row],[CONCEPTO mx]]="","",VLOOKUP(Tabla1[[#This Row],[CONCEPTO mx]],Tabla2[#All],2,0)),"")</f>
        <v/>
      </c>
      <c r="G1093" s="52" t="str">
        <f>IFERROR(IF(Tabla1[[#This Row],[CONCEPTO mx]]="","",VLOOKUP(Tabla1[[#This Row],[CONCEPTO mx]],Tabla2[#All],3,0)),"")</f>
        <v/>
      </c>
      <c r="H1093" s="49" t="s">
        <v>388</v>
      </c>
      <c r="I1093" s="49" t="s">
        <v>2298</v>
      </c>
      <c r="J1093" s="53" t="s">
        <v>2567</v>
      </c>
    </row>
    <row r="1094" spans="1:12" x14ac:dyDescent="0.25">
      <c r="A1094" s="51">
        <v>43437</v>
      </c>
      <c r="C1094" s="52" t="s">
        <v>2564</v>
      </c>
      <c r="D1094" s="67"/>
      <c r="E1094" s="49" t="s">
        <v>2355</v>
      </c>
      <c r="F1094" s="49" t="str">
        <f>IFERROR(IF(Tabla1[[#This Row],[CONCEPTO mx]]="","",VLOOKUP(Tabla1[[#This Row],[CONCEPTO mx]],Tabla2[#All],2,0)),"")</f>
        <v>CM13</v>
      </c>
      <c r="G1094" s="49" t="str">
        <f>IFERROR(IF(Tabla1[[#This Row],[CONCEPTO mx]]="","",VLOOKUP(Tabla1[[#This Row],[CONCEPTO mx]],Tabla2[#All],3,0)),"")</f>
        <v>Gestión Humana</v>
      </c>
      <c r="H1094" s="49" t="s">
        <v>388</v>
      </c>
      <c r="I1094" s="49" t="s">
        <v>2298</v>
      </c>
      <c r="J1094" s="53" t="s">
        <v>2881</v>
      </c>
    </row>
    <row r="1095" spans="1:12" x14ac:dyDescent="0.25">
      <c r="A1095" s="51">
        <v>43440</v>
      </c>
      <c r="C1095" s="52" t="s">
        <v>2571</v>
      </c>
      <c r="D1095" s="67"/>
      <c r="E1095" s="49" t="s">
        <v>2355</v>
      </c>
      <c r="F1095" s="49" t="str">
        <f>IFERROR(IF(Tabla1[[#This Row],[CONCEPTO mx]]="","",VLOOKUP(Tabla1[[#This Row],[CONCEPTO mx]],Tabla2[#All],2,0)),"")</f>
        <v>CM13</v>
      </c>
      <c r="G1095" s="49" t="str">
        <f>IFERROR(IF(Tabla1[[#This Row],[CONCEPTO mx]]="","",VLOOKUP(Tabla1[[#This Row],[CONCEPTO mx]],Tabla2[#All],3,0)),"")</f>
        <v>Gestión Humana</v>
      </c>
      <c r="H1095" s="49" t="s">
        <v>406</v>
      </c>
      <c r="I1095" s="49" t="s">
        <v>2298</v>
      </c>
      <c r="J1095" s="53" t="s">
        <v>2563</v>
      </c>
    </row>
    <row r="1096" spans="1:12" x14ac:dyDescent="0.25">
      <c r="A1096" s="51">
        <v>43441</v>
      </c>
      <c r="C1096" s="52" t="s">
        <v>2573</v>
      </c>
      <c r="D1096" s="49" t="s">
        <v>2505</v>
      </c>
      <c r="E1096" s="52" t="s">
        <v>2574</v>
      </c>
      <c r="F1096" s="52" t="str">
        <f>IFERROR(IF(Tabla1[[#This Row],[CONCEPTO mx]]="","",VLOOKUP(Tabla1[[#This Row],[CONCEPTO mx]],Tabla2[#All],2,0)),"")</f>
        <v/>
      </c>
      <c r="G1096" s="52" t="str">
        <f>IFERROR(IF(Tabla1[[#This Row],[CONCEPTO mx]]="","",VLOOKUP(Tabla1[[#This Row],[CONCEPTO mx]],Tabla2[#All],3,0)),"")</f>
        <v/>
      </c>
      <c r="H1096" s="49" t="s">
        <v>413</v>
      </c>
      <c r="I1096" s="49" t="s">
        <v>2298</v>
      </c>
      <c r="J1096" s="53" t="s">
        <v>2536</v>
      </c>
    </row>
    <row r="1097" spans="1:12" x14ac:dyDescent="0.25">
      <c r="A1097" s="51">
        <v>43441</v>
      </c>
      <c r="C1097" s="52" t="s">
        <v>1088</v>
      </c>
      <c r="E1097" s="52" t="s">
        <v>2577</v>
      </c>
      <c r="F1097" s="52" t="str">
        <f>IFERROR(IF(Tabla1[[#This Row],[CONCEPTO mx]]="","",VLOOKUP(Tabla1[[#This Row],[CONCEPTO mx]],Tabla2[#All],2,0)),"")</f>
        <v/>
      </c>
      <c r="G1097" s="52" t="str">
        <f>IFERROR(IF(Tabla1[[#This Row],[CONCEPTO mx]]="","",VLOOKUP(Tabla1[[#This Row],[CONCEPTO mx]],Tabla2[#All],3,0)),"")</f>
        <v/>
      </c>
      <c r="H1097" s="49" t="s">
        <v>470</v>
      </c>
      <c r="I1097" s="49" t="s">
        <v>2316</v>
      </c>
      <c r="J1097" s="53"/>
    </row>
    <row r="1098" spans="1:12" x14ac:dyDescent="0.25">
      <c r="A1098" s="51">
        <v>43441</v>
      </c>
      <c r="C1098" s="52" t="s">
        <v>2575</v>
      </c>
      <c r="D1098" s="67"/>
      <c r="E1098" s="49" t="s">
        <v>2355</v>
      </c>
      <c r="F1098" s="49" t="str">
        <f>IFERROR(IF(Tabla1[[#This Row],[CONCEPTO mx]]="","",VLOOKUP(Tabla1[[#This Row],[CONCEPTO mx]],Tabla2[#All],2,0)),"")</f>
        <v>CM13</v>
      </c>
      <c r="G1098" s="49" t="str">
        <f>IFERROR(IF(Tabla1[[#This Row],[CONCEPTO mx]]="","",VLOOKUP(Tabla1[[#This Row],[CONCEPTO mx]],Tabla2[#All],3,0)),"")</f>
        <v>Gestión Humana</v>
      </c>
      <c r="H1098" s="49" t="s">
        <v>2576</v>
      </c>
      <c r="I1098" s="57" t="s">
        <v>2298</v>
      </c>
      <c r="J1098" s="53" t="s">
        <v>2319</v>
      </c>
      <c r="K1098" s="51">
        <v>43450</v>
      </c>
      <c r="L1098" s="73" t="s">
        <v>3346</v>
      </c>
    </row>
    <row r="1099" spans="1:12" x14ac:dyDescent="0.25">
      <c r="A1099" s="51">
        <v>43441</v>
      </c>
      <c r="C1099" s="52" t="s">
        <v>2583</v>
      </c>
      <c r="D1099" s="49" t="s">
        <v>51</v>
      </c>
      <c r="E1099" s="49" t="s">
        <v>3248</v>
      </c>
      <c r="F1099" s="49" t="str">
        <f>IFERROR(IF(Tabla1[[#This Row],[CONCEPTO mx]]="","",VLOOKUP(Tabla1[[#This Row],[CONCEPTO mx]],Tabla2[#All],2,0)),"")</f>
        <v>CM1</v>
      </c>
      <c r="G1099" s="49" t="str">
        <f>IFERROR(IF(Tabla1[[#This Row],[CONCEPTO mx]]="","",VLOOKUP(Tabla1[[#This Row],[CONCEPTO mx]],Tabla2[#All],3,0)),"")</f>
        <v>Gestión Humana</v>
      </c>
      <c r="H1099" s="49" t="s">
        <v>438</v>
      </c>
      <c r="I1099" s="49" t="s">
        <v>2298</v>
      </c>
      <c r="J1099" s="53" t="s">
        <v>2302</v>
      </c>
    </row>
    <row r="1100" spans="1:12" x14ac:dyDescent="0.25">
      <c r="A1100" s="51">
        <v>43441</v>
      </c>
      <c r="C1100" s="52" t="s">
        <v>2582</v>
      </c>
      <c r="D1100" s="49" t="s">
        <v>2404</v>
      </c>
      <c r="E1100" s="52" t="s">
        <v>2581</v>
      </c>
      <c r="F1100" s="52" t="str">
        <f>IFERROR(IF(Tabla1[[#This Row],[CONCEPTO mx]]="","",VLOOKUP(Tabla1[[#This Row],[CONCEPTO mx]],Tabla2[#All],2,0)),"")</f>
        <v/>
      </c>
      <c r="G1100" s="52" t="str">
        <f>IFERROR(IF(Tabla1[[#This Row],[CONCEPTO mx]]="","",VLOOKUP(Tabla1[[#This Row],[CONCEPTO mx]],Tabla2[#All],3,0)),"")</f>
        <v/>
      </c>
      <c r="H1100" s="49" t="s">
        <v>438</v>
      </c>
      <c r="I1100" s="49" t="s">
        <v>2298</v>
      </c>
      <c r="J1100" s="53" t="s">
        <v>2422</v>
      </c>
    </row>
    <row r="1101" spans="1:12" x14ac:dyDescent="0.25">
      <c r="A1101" s="51">
        <v>43441</v>
      </c>
      <c r="C1101" s="52" t="s">
        <v>2578</v>
      </c>
      <c r="D1101" s="49" t="s">
        <v>51</v>
      </c>
      <c r="E1101" s="49" t="s">
        <v>3248</v>
      </c>
      <c r="F1101" s="49" t="str">
        <f>IFERROR(IF(Tabla1[[#This Row],[CONCEPTO mx]]="","",VLOOKUP(Tabla1[[#This Row],[CONCEPTO mx]],Tabla2[#All],2,0)),"")</f>
        <v>CM1</v>
      </c>
      <c r="G1101" s="49" t="str">
        <f>IFERROR(IF(Tabla1[[#This Row],[CONCEPTO mx]]="","",VLOOKUP(Tabla1[[#This Row],[CONCEPTO mx]],Tabla2[#All],3,0)),"")</f>
        <v>Gestión Humana</v>
      </c>
      <c r="H1101" s="49" t="s">
        <v>2393</v>
      </c>
      <c r="I1101" s="49" t="s">
        <v>2298</v>
      </c>
      <c r="J1101" s="53" t="s">
        <v>2579</v>
      </c>
    </row>
    <row r="1102" spans="1:12" x14ac:dyDescent="0.25">
      <c r="A1102" s="51">
        <v>43441</v>
      </c>
      <c r="C1102" s="52" t="s">
        <v>2580</v>
      </c>
      <c r="D1102" s="49" t="s">
        <v>2273</v>
      </c>
      <c r="E1102" s="52" t="s">
        <v>2386</v>
      </c>
      <c r="F1102" s="52" t="str">
        <f>IFERROR(IF(Tabla1[[#This Row],[CONCEPTO mx]]="","",VLOOKUP(Tabla1[[#This Row],[CONCEPTO mx]],Tabla2[#All],2,0)),"")</f>
        <v/>
      </c>
      <c r="G1102" s="52" t="str">
        <f>IFERROR(IF(Tabla1[[#This Row],[CONCEPTO mx]]="","",VLOOKUP(Tabla1[[#This Row],[CONCEPTO mx]],Tabla2[#All],3,0)),"")</f>
        <v/>
      </c>
      <c r="H1102" s="49" t="s">
        <v>486</v>
      </c>
      <c r="I1102" s="49" t="s">
        <v>2298</v>
      </c>
      <c r="J1102" s="53" t="s">
        <v>2302</v>
      </c>
    </row>
    <row r="1103" spans="1:12" x14ac:dyDescent="0.25">
      <c r="A1103" s="51">
        <v>43444</v>
      </c>
      <c r="C1103" s="52" t="s">
        <v>2592</v>
      </c>
      <c r="D1103" s="49" t="s">
        <v>2273</v>
      </c>
      <c r="E1103" s="52" t="s">
        <v>2593</v>
      </c>
      <c r="F1103" s="52" t="str">
        <f>IFERROR(IF(Tabla1[[#This Row],[CONCEPTO mx]]="","",VLOOKUP(Tabla1[[#This Row],[CONCEPTO mx]],Tabla2[#All],2,0)),"")</f>
        <v/>
      </c>
      <c r="G1103" s="52" t="str">
        <f>IFERROR(IF(Tabla1[[#This Row],[CONCEPTO mx]]="","",VLOOKUP(Tabla1[[#This Row],[CONCEPTO mx]],Tabla2[#All],3,0)),"")</f>
        <v/>
      </c>
      <c r="H1103" s="49" t="s">
        <v>2391</v>
      </c>
      <c r="I1103" s="49" t="s">
        <v>2512</v>
      </c>
      <c r="J1103" s="53" t="s">
        <v>2588</v>
      </c>
    </row>
    <row r="1104" spans="1:12" x14ac:dyDescent="0.25">
      <c r="A1104" s="51">
        <v>43444</v>
      </c>
      <c r="C1104" s="52" t="s">
        <v>2586</v>
      </c>
      <c r="D1104" s="67"/>
      <c r="E1104" s="49" t="s">
        <v>2355</v>
      </c>
      <c r="F1104" s="49" t="str">
        <f>IFERROR(IF(Tabla1[[#This Row],[CONCEPTO mx]]="","",VLOOKUP(Tabla1[[#This Row],[CONCEPTO mx]],Tabla2[#All],2,0)),"")</f>
        <v>CM13</v>
      </c>
      <c r="G1104" s="49" t="str">
        <f>IFERROR(IF(Tabla1[[#This Row],[CONCEPTO mx]]="","",VLOOKUP(Tabla1[[#This Row],[CONCEPTO mx]],Tabla2[#All],3,0)),"")</f>
        <v>Gestión Humana</v>
      </c>
      <c r="H1104" s="49" t="s">
        <v>406</v>
      </c>
      <c r="I1104" s="57" t="s">
        <v>2298</v>
      </c>
      <c r="J1104" s="53" t="s">
        <v>2882</v>
      </c>
      <c r="K1104" s="51">
        <v>43448</v>
      </c>
      <c r="L1104" s="70" t="s">
        <v>2404</v>
      </c>
    </row>
    <row r="1105" spans="1:12" x14ac:dyDescent="0.25">
      <c r="A1105" s="51">
        <v>43444</v>
      </c>
      <c r="C1105" s="52" t="s">
        <v>2591</v>
      </c>
      <c r="D1105" s="49" t="s">
        <v>51</v>
      </c>
      <c r="E1105" s="49" t="s">
        <v>3248</v>
      </c>
      <c r="F1105" s="49" t="str">
        <f>IFERROR(IF(Tabla1[[#This Row],[CONCEPTO mx]]="","",VLOOKUP(Tabla1[[#This Row],[CONCEPTO mx]],Tabla2[#All],2,0)),"")</f>
        <v>CM1</v>
      </c>
      <c r="G1105" s="49" t="str">
        <f>IFERROR(IF(Tabla1[[#This Row],[CONCEPTO mx]]="","",VLOOKUP(Tabla1[[#This Row],[CONCEPTO mx]],Tabla2[#All],3,0)),"")</f>
        <v>Gestión Humana</v>
      </c>
      <c r="H1105" s="49" t="s">
        <v>2393</v>
      </c>
      <c r="I1105" s="49" t="s">
        <v>2512</v>
      </c>
      <c r="J1105" s="53" t="s">
        <v>2883</v>
      </c>
    </row>
    <row r="1106" spans="1:12" x14ac:dyDescent="0.25">
      <c r="A1106" s="51">
        <v>43444</v>
      </c>
      <c r="C1106" s="52" t="s">
        <v>2587</v>
      </c>
      <c r="D1106" s="67"/>
      <c r="E1106" s="49" t="s">
        <v>2355</v>
      </c>
      <c r="F1106" s="49" t="str">
        <f>IFERROR(IF(Tabla1[[#This Row],[CONCEPTO mx]]="","",VLOOKUP(Tabla1[[#This Row],[CONCEPTO mx]],Tabla2[#All],2,0)),"")</f>
        <v>CM13</v>
      </c>
      <c r="G1106" s="49" t="str">
        <f>IFERROR(IF(Tabla1[[#This Row],[CONCEPTO mx]]="","",VLOOKUP(Tabla1[[#This Row],[CONCEPTO mx]],Tabla2[#All],3,0)),"")</f>
        <v>Gestión Humana</v>
      </c>
      <c r="H1106" s="49" t="s">
        <v>2391</v>
      </c>
      <c r="I1106" s="57" t="s">
        <v>2512</v>
      </c>
      <c r="J1106" s="53" t="s">
        <v>2588</v>
      </c>
      <c r="K1106" s="51">
        <v>43448</v>
      </c>
      <c r="L1106" s="49" t="s">
        <v>2275</v>
      </c>
    </row>
    <row r="1107" spans="1:12" x14ac:dyDescent="0.25">
      <c r="A1107" s="51">
        <v>43444</v>
      </c>
      <c r="C1107" s="52" t="s">
        <v>2589</v>
      </c>
      <c r="D1107" s="49" t="s">
        <v>2505</v>
      </c>
      <c r="E1107" s="52" t="s">
        <v>2590</v>
      </c>
      <c r="F1107" s="52" t="str">
        <f>IFERROR(IF(Tabla1[[#This Row],[CONCEPTO mx]]="","",VLOOKUP(Tabla1[[#This Row],[CONCEPTO mx]],Tabla2[#All],2,0)),"")</f>
        <v/>
      </c>
      <c r="G1107" s="52" t="str">
        <f>IFERROR(IF(Tabla1[[#This Row],[CONCEPTO mx]]="","",VLOOKUP(Tabla1[[#This Row],[CONCEPTO mx]],Tabla2[#All],3,0)),"")</f>
        <v/>
      </c>
      <c r="H1107" s="49" t="s">
        <v>2391</v>
      </c>
      <c r="I1107" s="49" t="s">
        <v>2512</v>
      </c>
      <c r="J1107" s="53" t="s">
        <v>2883</v>
      </c>
    </row>
    <row r="1108" spans="1:12" x14ac:dyDescent="0.25">
      <c r="A1108" s="51">
        <v>43444</v>
      </c>
      <c r="C1108" s="52" t="s">
        <v>2585</v>
      </c>
      <c r="D1108" s="49" t="s">
        <v>2273</v>
      </c>
      <c r="E1108" s="52" t="s">
        <v>2584</v>
      </c>
      <c r="F1108" s="52" t="str">
        <f>IFERROR(IF(Tabla1[[#This Row],[CONCEPTO mx]]="","",VLOOKUP(Tabla1[[#This Row],[CONCEPTO mx]],Tabla2[#All],2,0)),"")</f>
        <v/>
      </c>
      <c r="G1108" s="52" t="str">
        <f>IFERROR(IF(Tabla1[[#This Row],[CONCEPTO mx]]="","",VLOOKUP(Tabla1[[#This Row],[CONCEPTO mx]],Tabla2[#All],3,0)),"")</f>
        <v/>
      </c>
      <c r="H1108" s="49" t="s">
        <v>388</v>
      </c>
      <c r="I1108" s="49" t="s">
        <v>2298</v>
      </c>
      <c r="J1108" s="53" t="s">
        <v>2302</v>
      </c>
    </row>
    <row r="1109" spans="1:12" x14ac:dyDescent="0.25">
      <c r="A1109" s="51">
        <v>43445</v>
      </c>
      <c r="C1109" s="52" t="s">
        <v>2601</v>
      </c>
      <c r="D1109" s="49" t="s">
        <v>2404</v>
      </c>
      <c r="E1109" s="52" t="s">
        <v>2602</v>
      </c>
      <c r="F1109" s="52" t="str">
        <f>IFERROR(IF(Tabla1[[#This Row],[CONCEPTO mx]]="","",VLOOKUP(Tabla1[[#This Row],[CONCEPTO mx]],Tabla2[#All],2,0)),"")</f>
        <v/>
      </c>
      <c r="G1109" s="52" t="str">
        <f>IFERROR(IF(Tabla1[[#This Row],[CONCEPTO mx]]="","",VLOOKUP(Tabla1[[#This Row],[CONCEPTO mx]],Tabla2[#All],3,0)),"")</f>
        <v/>
      </c>
      <c r="H1109" s="49" t="s">
        <v>439</v>
      </c>
      <c r="I1109" s="49" t="s">
        <v>2298</v>
      </c>
      <c r="J1109" s="53" t="s">
        <v>2302</v>
      </c>
    </row>
    <row r="1110" spans="1:12" x14ac:dyDescent="0.25">
      <c r="A1110" s="51">
        <v>43445</v>
      </c>
      <c r="C1110" s="52" t="s">
        <v>2599</v>
      </c>
      <c r="D1110" s="49" t="s">
        <v>51</v>
      </c>
      <c r="E1110" s="52" t="s">
        <v>2401</v>
      </c>
      <c r="F1110" s="52" t="str">
        <f>IFERROR(IF(Tabla1[[#This Row],[CONCEPTO mx]]="","",VLOOKUP(Tabla1[[#This Row],[CONCEPTO mx]],Tabla2[#All],2,0)),"")</f>
        <v>CM28</v>
      </c>
      <c r="G1110" s="52" t="str">
        <f>IFERROR(IF(Tabla1[[#This Row],[CONCEPTO mx]]="","",VLOOKUP(Tabla1[[#This Row],[CONCEPTO mx]],Tabla2[#All],3,0)),"")</f>
        <v>SST</v>
      </c>
      <c r="H1110" s="49" t="s">
        <v>388</v>
      </c>
      <c r="I1110" s="49" t="s">
        <v>2298</v>
      </c>
      <c r="J1110" s="53" t="s">
        <v>2353</v>
      </c>
      <c r="L1110" s="49" t="s">
        <v>2600</v>
      </c>
    </row>
    <row r="1111" spans="1:12" x14ac:dyDescent="0.25">
      <c r="A1111" s="51">
        <v>43445</v>
      </c>
      <c r="C1111" s="52" t="s">
        <v>2594</v>
      </c>
      <c r="D1111" s="49" t="s">
        <v>2596</v>
      </c>
      <c r="E1111" s="52" t="s">
        <v>2595</v>
      </c>
      <c r="F1111" s="52" t="str">
        <f>IFERROR(IF(Tabla1[[#This Row],[CONCEPTO mx]]="","",VLOOKUP(Tabla1[[#This Row],[CONCEPTO mx]],Tabla2[#All],2,0)),"")</f>
        <v/>
      </c>
      <c r="G1111" s="52" t="str">
        <f>IFERROR(IF(Tabla1[[#This Row],[CONCEPTO mx]]="","",VLOOKUP(Tabla1[[#This Row],[CONCEPTO mx]],Tabla2[#All],3,0)),"")</f>
        <v/>
      </c>
      <c r="H1111" s="49" t="s">
        <v>2391</v>
      </c>
      <c r="I1111" s="49" t="s">
        <v>2512</v>
      </c>
      <c r="J1111" s="53" t="s">
        <v>2884</v>
      </c>
    </row>
    <row r="1112" spans="1:12" x14ac:dyDescent="0.25">
      <c r="A1112" s="51">
        <v>43445</v>
      </c>
      <c r="C1112" s="52" t="s">
        <v>2598</v>
      </c>
      <c r="D1112" s="49" t="s">
        <v>51</v>
      </c>
      <c r="E1112" s="49" t="s">
        <v>3248</v>
      </c>
      <c r="F1112" s="49" t="str">
        <f>IFERROR(IF(Tabla1[[#This Row],[CONCEPTO mx]]="","",VLOOKUP(Tabla1[[#This Row],[CONCEPTO mx]],Tabla2[#All],2,0)),"")</f>
        <v>CM1</v>
      </c>
      <c r="G1112" s="49" t="str">
        <f>IFERROR(IF(Tabla1[[#This Row],[CONCEPTO mx]]="","",VLOOKUP(Tabla1[[#This Row],[CONCEPTO mx]],Tabla2[#All],3,0)),"")</f>
        <v>Gestión Humana</v>
      </c>
      <c r="H1112" s="49" t="s">
        <v>2394</v>
      </c>
      <c r="I1112" s="49" t="s">
        <v>2512</v>
      </c>
      <c r="J1112" s="53" t="s">
        <v>2875</v>
      </c>
    </row>
    <row r="1113" spans="1:12" x14ac:dyDescent="0.25">
      <c r="A1113" s="51">
        <v>43445</v>
      </c>
      <c r="C1113" s="52" t="s">
        <v>2564</v>
      </c>
      <c r="D1113" s="49" t="s">
        <v>2404</v>
      </c>
      <c r="E1113" s="52" t="s">
        <v>2597</v>
      </c>
      <c r="F1113" s="52" t="str">
        <f>IFERROR(IF(Tabla1[[#This Row],[CONCEPTO mx]]="","",VLOOKUP(Tabla1[[#This Row],[CONCEPTO mx]],Tabla2[#All],2,0)),"")</f>
        <v/>
      </c>
      <c r="G1113" s="52" t="str">
        <f>IFERROR(IF(Tabla1[[#This Row],[CONCEPTO mx]]="","",VLOOKUP(Tabla1[[#This Row],[CONCEPTO mx]],Tabla2[#All],3,0)),"")</f>
        <v/>
      </c>
      <c r="H1113" s="49" t="s">
        <v>388</v>
      </c>
      <c r="I1113" s="49" t="s">
        <v>2298</v>
      </c>
      <c r="J1113" s="53" t="s">
        <v>2881</v>
      </c>
    </row>
    <row r="1114" spans="1:12" x14ac:dyDescent="0.25">
      <c r="A1114" s="51">
        <v>43446</v>
      </c>
      <c r="C1114" s="52" t="s">
        <v>2604</v>
      </c>
      <c r="D1114" s="49" t="s">
        <v>2273</v>
      </c>
      <c r="E1114" s="52" t="s">
        <v>2605</v>
      </c>
      <c r="F1114" s="52" t="str">
        <f>IFERROR(IF(Tabla1[[#This Row],[CONCEPTO mx]]="","",VLOOKUP(Tabla1[[#This Row],[CONCEPTO mx]],Tabla2[#All],2,0)),"")</f>
        <v/>
      </c>
      <c r="G1114" s="52" t="str">
        <f>IFERROR(IF(Tabla1[[#This Row],[CONCEPTO mx]]="","",VLOOKUP(Tabla1[[#This Row],[CONCEPTO mx]],Tabla2[#All],3,0)),"")</f>
        <v/>
      </c>
      <c r="H1114" s="49" t="s">
        <v>2391</v>
      </c>
      <c r="I1114" s="49" t="s">
        <v>2512</v>
      </c>
      <c r="J1114" s="53" t="s">
        <v>2885</v>
      </c>
    </row>
    <row r="1115" spans="1:12" x14ac:dyDescent="0.25">
      <c r="A1115" s="51">
        <v>43446</v>
      </c>
      <c r="C1115" s="69" t="s">
        <v>2603</v>
      </c>
      <c r="D1115" s="49" t="s">
        <v>2505</v>
      </c>
      <c r="E1115" s="52" t="s">
        <v>2386</v>
      </c>
      <c r="F1115" s="52" t="str">
        <f>IFERROR(IF(Tabla1[[#This Row],[CONCEPTO mx]]="","",VLOOKUP(Tabla1[[#This Row],[CONCEPTO mx]],Tabla2[#All],2,0)),"")</f>
        <v/>
      </c>
      <c r="G1115" s="52" t="str">
        <f>IFERROR(IF(Tabla1[[#This Row],[CONCEPTO mx]]="","",VLOOKUP(Tabla1[[#This Row],[CONCEPTO mx]],Tabla2[#All],3,0)),"")</f>
        <v/>
      </c>
      <c r="H1115" s="49" t="s">
        <v>2391</v>
      </c>
      <c r="I1115" s="49" t="s">
        <v>2512</v>
      </c>
      <c r="J1115" s="53" t="s">
        <v>2909</v>
      </c>
    </row>
    <row r="1116" spans="1:12" x14ac:dyDescent="0.25">
      <c r="A1116" s="51">
        <v>43448</v>
      </c>
      <c r="C1116" s="52" t="s">
        <v>2612</v>
      </c>
      <c r="D1116" s="49" t="s">
        <v>51</v>
      </c>
      <c r="E1116" s="49" t="s">
        <v>3248</v>
      </c>
      <c r="F1116" s="49" t="str">
        <f>IFERROR(IF(Tabla1[[#This Row],[CONCEPTO mx]]="","",VLOOKUP(Tabla1[[#This Row],[CONCEPTO mx]],Tabla2[#All],2,0)),"")</f>
        <v>CM1</v>
      </c>
      <c r="G1116" s="49" t="str">
        <f>IFERROR(IF(Tabla1[[#This Row],[CONCEPTO mx]]="","",VLOOKUP(Tabla1[[#This Row],[CONCEPTO mx]],Tabla2[#All],3,0)),"")</f>
        <v>Gestión Humana</v>
      </c>
      <c r="H1116" s="49" t="s">
        <v>388</v>
      </c>
      <c r="I1116" s="49" t="s">
        <v>2298</v>
      </c>
      <c r="J1116" s="53" t="s">
        <v>2889</v>
      </c>
    </row>
    <row r="1117" spans="1:12" x14ac:dyDescent="0.25">
      <c r="A1117" s="51">
        <v>43448</v>
      </c>
      <c r="C1117" s="69" t="s">
        <v>2616</v>
      </c>
      <c r="D1117" s="49" t="s">
        <v>2273</v>
      </c>
      <c r="E1117" s="52" t="s">
        <v>2617</v>
      </c>
      <c r="F1117" s="52" t="str">
        <f>IFERROR(IF(Tabla1[[#This Row],[CONCEPTO mx]]="","",VLOOKUP(Tabla1[[#This Row],[CONCEPTO mx]],Tabla2[#All],2,0)),"")</f>
        <v/>
      </c>
      <c r="G1117" s="52" t="str">
        <f>IFERROR(IF(Tabla1[[#This Row],[CONCEPTO mx]]="","",VLOOKUP(Tabla1[[#This Row],[CONCEPTO mx]],Tabla2[#All],3,0)),"")</f>
        <v/>
      </c>
      <c r="H1117" s="49" t="s">
        <v>470</v>
      </c>
      <c r="I1117" s="49" t="s">
        <v>2298</v>
      </c>
      <c r="J1117" s="53" t="s">
        <v>2314</v>
      </c>
    </row>
    <row r="1118" spans="1:12" x14ac:dyDescent="0.25">
      <c r="A1118" s="51">
        <v>43448</v>
      </c>
      <c r="C1118" s="52" t="s">
        <v>2609</v>
      </c>
      <c r="D1118" s="49" t="s">
        <v>2273</v>
      </c>
      <c r="E1118" s="52" t="s">
        <v>2610</v>
      </c>
      <c r="F1118" s="52" t="str">
        <f>IFERROR(IF(Tabla1[[#This Row],[CONCEPTO mx]]="","",VLOOKUP(Tabla1[[#This Row],[CONCEPTO mx]],Tabla2[#All],2,0)),"")</f>
        <v/>
      </c>
      <c r="G1118" s="52" t="str">
        <f>IFERROR(IF(Tabla1[[#This Row],[CONCEPTO mx]]="","",VLOOKUP(Tabla1[[#This Row],[CONCEPTO mx]],Tabla2[#All],3,0)),"")</f>
        <v/>
      </c>
      <c r="H1118" s="49" t="s">
        <v>387</v>
      </c>
      <c r="I1118" s="49" t="s">
        <v>2298</v>
      </c>
      <c r="J1118" s="53" t="s">
        <v>2353</v>
      </c>
    </row>
    <row r="1119" spans="1:12" x14ac:dyDescent="0.25">
      <c r="A1119" s="51">
        <v>43448</v>
      </c>
      <c r="C1119" s="52" t="s">
        <v>2611</v>
      </c>
      <c r="D1119" s="49" t="s">
        <v>51</v>
      </c>
      <c r="E1119" s="49" t="s">
        <v>3248</v>
      </c>
      <c r="F1119" s="49" t="str">
        <f>IFERROR(IF(Tabla1[[#This Row],[CONCEPTO mx]]="","",VLOOKUP(Tabla1[[#This Row],[CONCEPTO mx]],Tabla2[#All],2,0)),"")</f>
        <v>CM1</v>
      </c>
      <c r="G1119" s="49" t="str">
        <f>IFERROR(IF(Tabla1[[#This Row],[CONCEPTO mx]]="","",VLOOKUP(Tabla1[[#This Row],[CONCEPTO mx]],Tabla2[#All],3,0)),"")</f>
        <v>Gestión Humana</v>
      </c>
      <c r="H1119" s="49" t="s">
        <v>2394</v>
      </c>
      <c r="I1119" s="49" t="s">
        <v>2512</v>
      </c>
      <c r="J1119" s="53" t="s">
        <v>2908</v>
      </c>
    </row>
    <row r="1120" spans="1:12" x14ac:dyDescent="0.25">
      <c r="A1120" s="51">
        <v>43448</v>
      </c>
      <c r="C1120" s="52" t="s">
        <v>2614</v>
      </c>
      <c r="D1120" s="49" t="s">
        <v>2273</v>
      </c>
      <c r="E1120" s="52" t="s">
        <v>2465</v>
      </c>
      <c r="F1120" s="52" t="str">
        <f>IFERROR(IF(Tabla1[[#This Row],[CONCEPTO mx]]="","",VLOOKUP(Tabla1[[#This Row],[CONCEPTO mx]],Tabla2[#All],2,0)),"")</f>
        <v/>
      </c>
      <c r="G1120" s="52" t="str">
        <f>IFERROR(IF(Tabla1[[#This Row],[CONCEPTO mx]]="","",VLOOKUP(Tabla1[[#This Row],[CONCEPTO mx]],Tabla2[#All],3,0)),"")</f>
        <v/>
      </c>
      <c r="H1120" s="49" t="s">
        <v>486</v>
      </c>
      <c r="I1120" s="49" t="s">
        <v>2512</v>
      </c>
      <c r="J1120" s="53" t="s">
        <v>2351</v>
      </c>
    </row>
    <row r="1121" spans="1:12" x14ac:dyDescent="0.25">
      <c r="A1121" s="51">
        <v>43448</v>
      </c>
      <c r="C1121" s="52" t="s">
        <v>2599</v>
      </c>
      <c r="D1121" s="70" t="s">
        <v>2404</v>
      </c>
      <c r="E1121" s="52" t="s">
        <v>2600</v>
      </c>
      <c r="F1121" s="52" t="str">
        <f>IFERROR(IF(Tabla1[[#This Row],[CONCEPTO mx]]="","",VLOOKUP(Tabla1[[#This Row],[CONCEPTO mx]],Tabla2[#All],2,0)),"")</f>
        <v/>
      </c>
      <c r="G1121" s="52" t="str">
        <f>IFERROR(IF(Tabla1[[#This Row],[CONCEPTO mx]]="","",VLOOKUP(Tabla1[[#This Row],[CONCEPTO mx]],Tabla2[#All],3,0)),"")</f>
        <v/>
      </c>
      <c r="H1121" s="49" t="s">
        <v>388</v>
      </c>
      <c r="I1121" s="49" t="s">
        <v>2298</v>
      </c>
      <c r="J1121" s="53" t="s">
        <v>2353</v>
      </c>
    </row>
    <row r="1122" spans="1:12" x14ac:dyDescent="0.25">
      <c r="A1122" s="51">
        <v>43448</v>
      </c>
      <c r="C1122" s="52" t="s">
        <v>2615</v>
      </c>
      <c r="D1122" s="67" t="s">
        <v>2355</v>
      </c>
      <c r="E1122" s="52" t="s">
        <v>2637</v>
      </c>
      <c r="F1122" s="52" t="str">
        <f>IFERROR(IF(Tabla1[[#This Row],[CONCEPTO mx]]="","",VLOOKUP(Tabla1[[#This Row],[CONCEPTO mx]],Tabla2[#All],2,0)),"")</f>
        <v/>
      </c>
      <c r="G1122" s="52" t="str">
        <f>IFERROR(IF(Tabla1[[#This Row],[CONCEPTO mx]]="","",VLOOKUP(Tabla1[[#This Row],[CONCEPTO mx]],Tabla2[#All],3,0)),"")</f>
        <v/>
      </c>
      <c r="H1122" s="57" t="s">
        <v>439</v>
      </c>
      <c r="I1122" s="57" t="s">
        <v>2298</v>
      </c>
      <c r="J1122" s="53" t="s">
        <v>2314</v>
      </c>
      <c r="K1122" s="51">
        <v>43461</v>
      </c>
      <c r="L1122" s="49" t="s">
        <v>2273</v>
      </c>
    </row>
    <row r="1123" spans="1:12" x14ac:dyDescent="0.25">
      <c r="A1123" s="51">
        <v>43448</v>
      </c>
      <c r="C1123" s="52" t="s">
        <v>2607</v>
      </c>
      <c r="D1123" s="49" t="s">
        <v>2273</v>
      </c>
      <c r="E1123" s="52" t="s">
        <v>2608</v>
      </c>
      <c r="F1123" s="52" t="str">
        <f>IFERROR(IF(Tabla1[[#This Row],[CONCEPTO mx]]="","",VLOOKUP(Tabla1[[#This Row],[CONCEPTO mx]],Tabla2[#All],2,0)),"")</f>
        <v/>
      </c>
      <c r="G1123" s="52" t="str">
        <f>IFERROR(IF(Tabla1[[#This Row],[CONCEPTO mx]]="","",VLOOKUP(Tabla1[[#This Row],[CONCEPTO mx]],Tabla2[#All],3,0)),"")</f>
        <v/>
      </c>
      <c r="H1123" s="49" t="s">
        <v>2394</v>
      </c>
      <c r="I1123" s="49" t="s">
        <v>2512</v>
      </c>
      <c r="J1123" s="53" t="s">
        <v>2887</v>
      </c>
    </row>
    <row r="1124" spans="1:12" x14ac:dyDescent="0.25">
      <c r="A1124" s="51">
        <v>43448</v>
      </c>
      <c r="C1124" s="52" t="s">
        <v>2618</v>
      </c>
      <c r="D1124" s="67"/>
      <c r="E1124" s="49" t="s">
        <v>2355</v>
      </c>
      <c r="F1124" s="49" t="str">
        <f>IFERROR(IF(Tabla1[[#This Row],[CONCEPTO mx]]="","",VLOOKUP(Tabla1[[#This Row],[CONCEPTO mx]],Tabla2[#All],2,0)),"")</f>
        <v>CM13</v>
      </c>
      <c r="G1124" s="49" t="str">
        <f>IFERROR(IF(Tabla1[[#This Row],[CONCEPTO mx]]="","",VLOOKUP(Tabla1[[#This Row],[CONCEPTO mx]],Tabla2[#All],3,0)),"")</f>
        <v>Gestión Humana</v>
      </c>
      <c r="H1124" s="49" t="s">
        <v>486</v>
      </c>
      <c r="I1124" s="49" t="s">
        <v>2512</v>
      </c>
      <c r="J1124" s="53" t="s">
        <v>2888</v>
      </c>
    </row>
    <row r="1125" spans="1:12" x14ac:dyDescent="0.25">
      <c r="A1125" s="51">
        <v>43448</v>
      </c>
      <c r="C1125" s="52" t="s">
        <v>2606</v>
      </c>
      <c r="D1125" s="67"/>
      <c r="E1125" s="49" t="s">
        <v>2355</v>
      </c>
      <c r="F1125" s="49" t="str">
        <f>IFERROR(IF(Tabla1[[#This Row],[CONCEPTO mx]]="","",VLOOKUP(Tabla1[[#This Row],[CONCEPTO mx]],Tabla2[#All],2,0)),"")</f>
        <v>CM13</v>
      </c>
      <c r="G1125" s="49" t="str">
        <f>IFERROR(IF(Tabla1[[#This Row],[CONCEPTO mx]]="","",VLOOKUP(Tabla1[[#This Row],[CONCEPTO mx]],Tabla2[#All],3,0)),"")</f>
        <v>Gestión Humana</v>
      </c>
      <c r="H1125" s="57" t="s">
        <v>486</v>
      </c>
      <c r="I1125" s="57" t="s">
        <v>2512</v>
      </c>
      <c r="J1125" s="53" t="s">
        <v>2886</v>
      </c>
      <c r="K1125" s="51">
        <v>43454</v>
      </c>
      <c r="L1125" s="70" t="s">
        <v>2505</v>
      </c>
    </row>
    <row r="1126" spans="1:12" x14ac:dyDescent="0.25">
      <c r="A1126" s="51">
        <v>43448</v>
      </c>
      <c r="C1126" s="52" t="s">
        <v>2613</v>
      </c>
      <c r="D1126" s="70" t="s">
        <v>2404</v>
      </c>
      <c r="E1126" s="52" t="s">
        <v>2546</v>
      </c>
      <c r="F1126" s="52" t="str">
        <f>IFERROR(IF(Tabla1[[#This Row],[CONCEPTO mx]]="","",VLOOKUP(Tabla1[[#This Row],[CONCEPTO mx]],Tabla2[#All],2,0)),"")</f>
        <v/>
      </c>
      <c r="G1126" s="52" t="str">
        <f>IFERROR(IF(Tabla1[[#This Row],[CONCEPTO mx]]="","",VLOOKUP(Tabla1[[#This Row],[CONCEPTO mx]],Tabla2[#All],3,0)),"")</f>
        <v/>
      </c>
      <c r="H1126" s="49" t="s">
        <v>406</v>
      </c>
      <c r="I1126" s="49" t="s">
        <v>2298</v>
      </c>
      <c r="J1126" s="53" t="s">
        <v>2890</v>
      </c>
    </row>
    <row r="1127" spans="1:12" x14ac:dyDescent="0.25">
      <c r="A1127" s="51">
        <v>43451</v>
      </c>
      <c r="C1127" s="52" t="s">
        <v>2619</v>
      </c>
      <c r="D1127" s="49" t="s">
        <v>51</v>
      </c>
      <c r="E1127" s="49" t="s">
        <v>3248</v>
      </c>
      <c r="F1127" s="49" t="str">
        <f>IFERROR(IF(Tabla1[[#This Row],[CONCEPTO mx]]="","",VLOOKUP(Tabla1[[#This Row],[CONCEPTO mx]],Tabla2[#All],2,0)),"")</f>
        <v>CM1</v>
      </c>
      <c r="G1127" s="49" t="str">
        <f>IFERROR(IF(Tabla1[[#This Row],[CONCEPTO mx]]="","",VLOOKUP(Tabla1[[#This Row],[CONCEPTO mx]],Tabla2[#All],3,0)),"")</f>
        <v>Gestión Humana</v>
      </c>
      <c r="H1127" s="49" t="s">
        <v>628</v>
      </c>
      <c r="I1127" s="49" t="s">
        <v>2298</v>
      </c>
      <c r="J1127" s="53" t="s">
        <v>2353</v>
      </c>
    </row>
    <row r="1128" spans="1:12" x14ac:dyDescent="0.25">
      <c r="A1128" s="51">
        <v>43451</v>
      </c>
      <c r="C1128" s="52" t="s">
        <v>2620</v>
      </c>
      <c r="D1128" s="49" t="s">
        <v>2273</v>
      </c>
      <c r="E1128" s="52" t="s">
        <v>2621</v>
      </c>
      <c r="F1128" s="52" t="str">
        <f>IFERROR(IF(Tabla1[[#This Row],[CONCEPTO mx]]="","",VLOOKUP(Tabla1[[#This Row],[CONCEPTO mx]],Tabla2[#All],2,0)),"")</f>
        <v/>
      </c>
      <c r="G1128" s="52" t="str">
        <f>IFERROR(IF(Tabla1[[#This Row],[CONCEPTO mx]]="","",VLOOKUP(Tabla1[[#This Row],[CONCEPTO mx]],Tabla2[#All],3,0)),"")</f>
        <v/>
      </c>
      <c r="H1128" s="49" t="s">
        <v>406</v>
      </c>
      <c r="I1128" s="49" t="s">
        <v>2298</v>
      </c>
      <c r="J1128" s="53" t="s">
        <v>2314</v>
      </c>
    </row>
    <row r="1129" spans="1:12" x14ac:dyDescent="0.25">
      <c r="A1129" s="51">
        <v>43452</v>
      </c>
      <c r="C1129" s="52" t="s">
        <v>2622</v>
      </c>
      <c r="D1129" s="70" t="s">
        <v>2404</v>
      </c>
      <c r="E1129" s="52" t="s">
        <v>2574</v>
      </c>
      <c r="F1129" s="52" t="str">
        <f>IFERROR(IF(Tabla1[[#This Row],[CONCEPTO mx]]="","",VLOOKUP(Tabla1[[#This Row],[CONCEPTO mx]],Tabla2[#All],2,0)),"")</f>
        <v/>
      </c>
      <c r="G1129" s="52" t="str">
        <f>IFERROR(IF(Tabla1[[#This Row],[CONCEPTO mx]]="","",VLOOKUP(Tabla1[[#This Row],[CONCEPTO mx]],Tabla2[#All],3,0)),"")</f>
        <v/>
      </c>
      <c r="H1129" s="49" t="s">
        <v>628</v>
      </c>
      <c r="I1129" s="49" t="s">
        <v>2298</v>
      </c>
      <c r="J1129" s="53" t="s">
        <v>2353</v>
      </c>
    </row>
    <row r="1130" spans="1:12" x14ac:dyDescent="0.25">
      <c r="A1130" s="51">
        <v>43454</v>
      </c>
      <c r="C1130" s="52" t="s">
        <v>2628</v>
      </c>
      <c r="D1130" s="49" t="s">
        <v>51</v>
      </c>
      <c r="E1130" s="49" t="s">
        <v>3248</v>
      </c>
      <c r="F1130" s="49" t="str">
        <f>IFERROR(IF(Tabla1[[#This Row],[CONCEPTO mx]]="","",VLOOKUP(Tabla1[[#This Row],[CONCEPTO mx]],Tabla2[#All],2,0)),"")</f>
        <v>CM1</v>
      </c>
      <c r="G1130" s="49" t="str">
        <f>IFERROR(IF(Tabla1[[#This Row],[CONCEPTO mx]]="","",VLOOKUP(Tabla1[[#This Row],[CONCEPTO mx]],Tabla2[#All],3,0)),"")</f>
        <v>Gestión Humana</v>
      </c>
      <c r="H1130" s="49" t="s">
        <v>387</v>
      </c>
      <c r="I1130" s="49" t="s">
        <v>2298</v>
      </c>
      <c r="J1130" s="53" t="s">
        <v>2892</v>
      </c>
    </row>
    <row r="1131" spans="1:12" x14ac:dyDescent="0.25">
      <c r="A1131" s="51">
        <v>43454</v>
      </c>
      <c r="C1131" s="52" t="s">
        <v>2629</v>
      </c>
      <c r="D1131" s="49" t="s">
        <v>2652</v>
      </c>
      <c r="E1131" s="49" t="s">
        <v>2651</v>
      </c>
      <c r="F1131" s="49" t="str">
        <f>IFERROR(IF(Tabla1[[#This Row],[CONCEPTO mx]]="","",VLOOKUP(Tabla1[[#This Row],[CONCEPTO mx]],Tabla2[#All],2,0)),"")</f>
        <v>CM3</v>
      </c>
      <c r="G1131" s="49" t="str">
        <f>IFERROR(IF(Tabla1[[#This Row],[CONCEPTO mx]]="","",VLOOKUP(Tabla1[[#This Row],[CONCEPTO mx]],Tabla2[#All],3,0)),"")</f>
        <v>SST</v>
      </c>
      <c r="H1131" s="49" t="s">
        <v>439</v>
      </c>
      <c r="I1131" s="49" t="s">
        <v>2298</v>
      </c>
      <c r="J1131" s="53" t="s">
        <v>2630</v>
      </c>
    </row>
    <row r="1132" spans="1:12" x14ac:dyDescent="0.25">
      <c r="A1132" s="51">
        <v>43454</v>
      </c>
      <c r="C1132" s="52" t="s">
        <v>2626</v>
      </c>
      <c r="D1132" s="49" t="s">
        <v>2273</v>
      </c>
      <c r="E1132" s="52" t="s">
        <v>2625</v>
      </c>
      <c r="F1132" s="52" t="str">
        <f>IFERROR(IF(Tabla1[[#This Row],[CONCEPTO mx]]="","",VLOOKUP(Tabla1[[#This Row],[CONCEPTO mx]],Tabla2[#All],2,0)),"")</f>
        <v/>
      </c>
      <c r="G1132" s="52" t="str">
        <f>IFERROR(IF(Tabla1[[#This Row],[CONCEPTO mx]]="","",VLOOKUP(Tabla1[[#This Row],[CONCEPTO mx]],Tabla2[#All],3,0)),"")</f>
        <v/>
      </c>
      <c r="H1132" s="49" t="s">
        <v>439</v>
      </c>
      <c r="I1132" s="49" t="s">
        <v>2298</v>
      </c>
      <c r="J1132" s="53" t="s">
        <v>2353</v>
      </c>
    </row>
    <row r="1133" spans="1:12" x14ac:dyDescent="0.25">
      <c r="A1133" s="51">
        <v>43454</v>
      </c>
      <c r="C1133" s="52" t="s">
        <v>2627</v>
      </c>
      <c r="D1133" s="49" t="s">
        <v>51</v>
      </c>
      <c r="E1133" s="49" t="s">
        <v>3248</v>
      </c>
      <c r="F1133" s="49" t="str">
        <f>IFERROR(IF(Tabla1[[#This Row],[CONCEPTO mx]]="","",VLOOKUP(Tabla1[[#This Row],[CONCEPTO mx]],Tabla2[#All],2,0)),"")</f>
        <v>CM1</v>
      </c>
      <c r="G1133" s="49" t="str">
        <f>IFERROR(IF(Tabla1[[#This Row],[CONCEPTO mx]]="","",VLOOKUP(Tabla1[[#This Row],[CONCEPTO mx]],Tabla2[#All],3,0)),"")</f>
        <v>Gestión Humana</v>
      </c>
      <c r="H1133" s="49" t="s">
        <v>2394</v>
      </c>
      <c r="I1133" s="49" t="s">
        <v>2512</v>
      </c>
      <c r="J1133" s="53" t="s">
        <v>2891</v>
      </c>
    </row>
    <row r="1134" spans="1:12" x14ac:dyDescent="0.25">
      <c r="A1134" s="51">
        <v>43454</v>
      </c>
      <c r="C1134" s="52" t="s">
        <v>2631</v>
      </c>
      <c r="D1134" s="70" t="s">
        <v>2505</v>
      </c>
      <c r="E1134" s="52" t="s">
        <v>2632</v>
      </c>
      <c r="F1134" s="52" t="str">
        <f>IFERROR(IF(Tabla1[[#This Row],[CONCEPTO mx]]="","",VLOOKUP(Tabla1[[#This Row],[CONCEPTO mx]],Tabla2[#All],2,0)),"")</f>
        <v/>
      </c>
      <c r="G1134" s="52" t="str">
        <f>IFERROR(IF(Tabla1[[#This Row],[CONCEPTO mx]]="","",VLOOKUP(Tabla1[[#This Row],[CONCEPTO mx]],Tabla2[#All],3,0)),"")</f>
        <v/>
      </c>
      <c r="H1134" s="49" t="s">
        <v>2393</v>
      </c>
      <c r="I1134" s="49" t="s">
        <v>2512</v>
      </c>
      <c r="J1134" s="53" t="s">
        <v>2891</v>
      </c>
    </row>
    <row r="1135" spans="1:12" x14ac:dyDescent="0.25">
      <c r="A1135" s="51">
        <v>43454</v>
      </c>
      <c r="C1135" s="52" t="s">
        <v>2633</v>
      </c>
      <c r="D1135" s="70" t="s">
        <v>2505</v>
      </c>
      <c r="E1135" s="52" t="s">
        <v>2574</v>
      </c>
      <c r="F1135" s="52" t="str">
        <f>IFERROR(IF(Tabla1[[#This Row],[CONCEPTO mx]]="","",VLOOKUP(Tabla1[[#This Row],[CONCEPTO mx]],Tabla2[#All],2,0)),"")</f>
        <v/>
      </c>
      <c r="G1135" s="52" t="str">
        <f>IFERROR(IF(Tabla1[[#This Row],[CONCEPTO mx]]="","",VLOOKUP(Tabla1[[#This Row],[CONCEPTO mx]],Tabla2[#All],3,0)),"")</f>
        <v/>
      </c>
      <c r="H1135" s="49" t="s">
        <v>486</v>
      </c>
      <c r="I1135" s="49" t="s">
        <v>2512</v>
      </c>
      <c r="J1135" s="53" t="s">
        <v>2893</v>
      </c>
    </row>
    <row r="1136" spans="1:12" x14ac:dyDescent="0.25">
      <c r="A1136" s="51">
        <v>43454</v>
      </c>
      <c r="C1136" s="52" t="s">
        <v>2623</v>
      </c>
      <c r="D1136" s="70" t="s">
        <v>2404</v>
      </c>
      <c r="E1136" s="52" t="s">
        <v>2624</v>
      </c>
      <c r="F1136" s="52" t="str">
        <f>IFERROR(IF(Tabla1[[#This Row],[CONCEPTO mx]]="","",VLOOKUP(Tabla1[[#This Row],[CONCEPTO mx]],Tabla2[#All],2,0)),"")</f>
        <v/>
      </c>
      <c r="G1136" s="52" t="str">
        <f>IFERROR(IF(Tabla1[[#This Row],[CONCEPTO mx]]="","",VLOOKUP(Tabla1[[#This Row],[CONCEPTO mx]],Tabla2[#All],3,0)),"")</f>
        <v/>
      </c>
      <c r="H1136" s="49" t="s">
        <v>406</v>
      </c>
      <c r="I1136" s="49" t="s">
        <v>2298</v>
      </c>
      <c r="J1136" s="53" t="s">
        <v>2353</v>
      </c>
    </row>
    <row r="1137" spans="1:12" x14ac:dyDescent="0.25">
      <c r="A1137" s="51">
        <v>43461</v>
      </c>
      <c r="C1137" s="52" t="s">
        <v>2647</v>
      </c>
      <c r="D1137" s="49" t="s">
        <v>51</v>
      </c>
      <c r="E1137" s="49" t="s">
        <v>3248</v>
      </c>
      <c r="F1137" s="49" t="str">
        <f>IFERROR(IF(Tabla1[[#This Row],[CONCEPTO mx]]="","",VLOOKUP(Tabla1[[#This Row],[CONCEPTO mx]],Tabla2[#All],2,0)),"")</f>
        <v>CM1</v>
      </c>
      <c r="G1137" s="49" t="str">
        <f>IFERROR(IF(Tabla1[[#This Row],[CONCEPTO mx]]="","",VLOOKUP(Tabla1[[#This Row],[CONCEPTO mx]],Tabla2[#All],3,0)),"")</f>
        <v>Gestión Humana</v>
      </c>
      <c r="H1137" s="49" t="s">
        <v>2391</v>
      </c>
      <c r="I1137" s="49" t="s">
        <v>2298</v>
      </c>
      <c r="J1137" s="53" t="s">
        <v>2898</v>
      </c>
    </row>
    <row r="1138" spans="1:12" x14ac:dyDescent="0.25">
      <c r="A1138" s="51">
        <v>43461</v>
      </c>
      <c r="C1138" s="52" t="s">
        <v>2660</v>
      </c>
      <c r="D1138" s="49" t="s">
        <v>2273</v>
      </c>
      <c r="E1138" s="52" t="s">
        <v>2659</v>
      </c>
      <c r="F1138" s="52" t="str">
        <f>IFERROR(IF(Tabla1[[#This Row],[CONCEPTO mx]]="","",VLOOKUP(Tabla1[[#This Row],[CONCEPTO mx]],Tabla2[#All],2,0)),"")</f>
        <v/>
      </c>
      <c r="G1138" s="52" t="str">
        <f>IFERROR(IF(Tabla1[[#This Row],[CONCEPTO mx]]="","",VLOOKUP(Tabla1[[#This Row],[CONCEPTO mx]],Tabla2[#All],3,0)),"")</f>
        <v/>
      </c>
      <c r="H1138" s="49" t="s">
        <v>2391</v>
      </c>
      <c r="I1138" s="49" t="s">
        <v>2298</v>
      </c>
      <c r="J1138" s="53" t="s">
        <v>2353</v>
      </c>
    </row>
    <row r="1139" spans="1:12" x14ac:dyDescent="0.25">
      <c r="A1139" s="51">
        <v>43461</v>
      </c>
      <c r="C1139" s="52" t="s">
        <v>2634</v>
      </c>
      <c r="D1139" s="49" t="s">
        <v>51</v>
      </c>
      <c r="E1139" s="52" t="s">
        <v>2635</v>
      </c>
      <c r="F1139" s="52" t="str">
        <f>IFERROR(IF(Tabla1[[#This Row],[CONCEPTO mx]]="","",VLOOKUP(Tabla1[[#This Row],[CONCEPTO mx]],Tabla2[#All],2,0)),"")</f>
        <v>CM21</v>
      </c>
      <c r="G1139" s="52" t="str">
        <f>IFERROR(IF(Tabla1[[#This Row],[CONCEPTO mx]]="","",VLOOKUP(Tabla1[[#This Row],[CONCEPTO mx]],Tabla2[#All],3,0)),"")</f>
        <v>SST</v>
      </c>
      <c r="H1139" s="49" t="s">
        <v>486</v>
      </c>
      <c r="I1139" s="49" t="s">
        <v>2298</v>
      </c>
      <c r="J1139" s="53" t="s">
        <v>2341</v>
      </c>
    </row>
    <row r="1140" spans="1:12" x14ac:dyDescent="0.25">
      <c r="A1140" s="51">
        <v>43461</v>
      </c>
      <c r="C1140" s="52" t="s">
        <v>2646</v>
      </c>
      <c r="D1140" s="49" t="s">
        <v>51</v>
      </c>
      <c r="E1140" s="49" t="s">
        <v>3248</v>
      </c>
      <c r="F1140" s="49" t="str">
        <f>IFERROR(IF(Tabla1[[#This Row],[CONCEPTO mx]]="","",VLOOKUP(Tabla1[[#This Row],[CONCEPTO mx]],Tabla2[#All],2,0)),"")</f>
        <v>CM1</v>
      </c>
      <c r="G1140" s="49" t="str">
        <f>IFERROR(IF(Tabla1[[#This Row],[CONCEPTO mx]]="","",VLOOKUP(Tabla1[[#This Row],[CONCEPTO mx]],Tabla2[#All],3,0)),"")</f>
        <v>Gestión Humana</v>
      </c>
      <c r="H1140" s="49" t="s">
        <v>2391</v>
      </c>
      <c r="I1140" s="49" t="s">
        <v>2298</v>
      </c>
      <c r="J1140" s="53" t="s">
        <v>2353</v>
      </c>
    </row>
    <row r="1141" spans="1:12" x14ac:dyDescent="0.25">
      <c r="A1141" s="51">
        <v>43461</v>
      </c>
      <c r="C1141" s="52" t="s">
        <v>2648</v>
      </c>
      <c r="D1141" s="49" t="s">
        <v>2273</v>
      </c>
      <c r="E1141" s="52" t="s">
        <v>2649</v>
      </c>
      <c r="F1141" s="52" t="str">
        <f>IFERROR(IF(Tabla1[[#This Row],[CONCEPTO mx]]="","",VLOOKUP(Tabla1[[#This Row],[CONCEPTO mx]],Tabla2[#All],2,0)),"")</f>
        <v/>
      </c>
      <c r="G1141" s="52" t="str">
        <f>IFERROR(IF(Tabla1[[#This Row],[CONCEPTO mx]]="","",VLOOKUP(Tabla1[[#This Row],[CONCEPTO mx]],Tabla2[#All],3,0)),"")</f>
        <v/>
      </c>
      <c r="H1141" s="49" t="s">
        <v>388</v>
      </c>
      <c r="I1141" s="49" t="s">
        <v>2298</v>
      </c>
      <c r="J1141" s="53" t="s">
        <v>2899</v>
      </c>
    </row>
    <row r="1142" spans="1:12" x14ac:dyDescent="0.25">
      <c r="A1142" s="51">
        <v>43461</v>
      </c>
      <c r="C1142" s="52" t="s">
        <v>2641</v>
      </c>
      <c r="D1142" s="70" t="s">
        <v>2505</v>
      </c>
      <c r="E1142" s="52" t="s">
        <v>2642</v>
      </c>
      <c r="F1142" s="52" t="str">
        <f>IFERROR(IF(Tabla1[[#This Row],[CONCEPTO mx]]="","",VLOOKUP(Tabla1[[#This Row],[CONCEPTO mx]],Tabla2[#All],2,0)),"")</f>
        <v/>
      </c>
      <c r="G1142" s="52" t="str">
        <f>IFERROR(IF(Tabla1[[#This Row],[CONCEPTO mx]]="","",VLOOKUP(Tabla1[[#This Row],[CONCEPTO mx]],Tabla2[#All],3,0)),"")</f>
        <v/>
      </c>
      <c r="H1142" s="49" t="s">
        <v>628</v>
      </c>
      <c r="I1142" s="49" t="s">
        <v>2512</v>
      </c>
      <c r="J1142" s="53" t="s">
        <v>2896</v>
      </c>
    </row>
    <row r="1143" spans="1:12" x14ac:dyDescent="0.25">
      <c r="A1143" s="51">
        <v>43461</v>
      </c>
      <c r="C1143" s="52" t="s">
        <v>2665</v>
      </c>
      <c r="D1143" s="49" t="s">
        <v>2273</v>
      </c>
      <c r="E1143" s="52" t="s">
        <v>2664</v>
      </c>
      <c r="F1143" s="52" t="str">
        <f>IFERROR(IF(Tabla1[[#This Row],[CONCEPTO mx]]="","",VLOOKUP(Tabla1[[#This Row],[CONCEPTO mx]],Tabla2[#All],2,0)),"")</f>
        <v/>
      </c>
      <c r="G1143" s="52" t="str">
        <f>IFERROR(IF(Tabla1[[#This Row],[CONCEPTO mx]]="","",VLOOKUP(Tabla1[[#This Row],[CONCEPTO mx]],Tabla2[#All],3,0)),"")</f>
        <v/>
      </c>
      <c r="H1143" s="49" t="s">
        <v>439</v>
      </c>
      <c r="I1143" s="49" t="s">
        <v>2298</v>
      </c>
      <c r="J1143" s="53" t="s">
        <v>2903</v>
      </c>
    </row>
    <row r="1144" spans="1:12" x14ac:dyDescent="0.25">
      <c r="A1144" s="51">
        <v>43461</v>
      </c>
      <c r="C1144" s="52" t="s">
        <v>2662</v>
      </c>
      <c r="D1144" s="70" t="s">
        <v>2404</v>
      </c>
      <c r="E1144" s="52" t="s">
        <v>2574</v>
      </c>
      <c r="F1144" s="52" t="str">
        <f>IFERROR(IF(Tabla1[[#This Row],[CONCEPTO mx]]="","",VLOOKUP(Tabla1[[#This Row],[CONCEPTO mx]],Tabla2[#All],2,0)),"")</f>
        <v/>
      </c>
      <c r="G1144" s="52" t="str">
        <f>IFERROR(IF(Tabla1[[#This Row],[CONCEPTO mx]]="","",VLOOKUP(Tabla1[[#This Row],[CONCEPTO mx]],Tabla2[#All],3,0)),"")</f>
        <v/>
      </c>
      <c r="H1144" s="49" t="s">
        <v>486</v>
      </c>
      <c r="I1144" s="49" t="s">
        <v>2298</v>
      </c>
      <c r="J1144" s="53" t="s">
        <v>2902</v>
      </c>
    </row>
    <row r="1145" spans="1:12" x14ac:dyDescent="0.25">
      <c r="A1145" s="51">
        <v>43461</v>
      </c>
      <c r="C1145" s="52" t="s">
        <v>2638</v>
      </c>
      <c r="D1145" s="49" t="s">
        <v>2273</v>
      </c>
      <c r="E1145" s="52" t="s">
        <v>2644</v>
      </c>
      <c r="F1145" s="52" t="str">
        <f>IFERROR(IF(Tabla1[[#This Row],[CONCEPTO mx]]="","",VLOOKUP(Tabla1[[#This Row],[CONCEPTO mx]],Tabla2[#All],2,0)),"")</f>
        <v/>
      </c>
      <c r="G1145" s="52" t="str">
        <f>IFERROR(IF(Tabla1[[#This Row],[CONCEPTO mx]]="","",VLOOKUP(Tabla1[[#This Row],[CONCEPTO mx]],Tabla2[#All],3,0)),"")</f>
        <v/>
      </c>
      <c r="H1145" s="49" t="s">
        <v>439</v>
      </c>
      <c r="I1145" s="49" t="s">
        <v>2298</v>
      </c>
      <c r="J1145" s="53" t="s">
        <v>2767</v>
      </c>
    </row>
    <row r="1146" spans="1:12" x14ac:dyDescent="0.25">
      <c r="A1146" s="51">
        <v>43461</v>
      </c>
      <c r="C1146" s="52" t="s">
        <v>2636</v>
      </c>
      <c r="D1146" s="49" t="s">
        <v>2273</v>
      </c>
      <c r="E1146" s="52" t="s">
        <v>2667</v>
      </c>
      <c r="F1146" s="52" t="str">
        <f>IFERROR(IF(Tabla1[[#This Row],[CONCEPTO mx]]="","",VLOOKUP(Tabla1[[#This Row],[CONCEPTO mx]],Tabla2[#All],2,0)),"")</f>
        <v/>
      </c>
      <c r="G1146" s="52" t="str">
        <f>IFERROR(IF(Tabla1[[#This Row],[CONCEPTO mx]]="","",VLOOKUP(Tabla1[[#This Row],[CONCEPTO mx]],Tabla2[#All],3,0)),"")</f>
        <v/>
      </c>
      <c r="H1146" s="49" t="s">
        <v>484</v>
      </c>
      <c r="I1146" s="49" t="s">
        <v>2298</v>
      </c>
      <c r="J1146" s="53" t="s">
        <v>2894</v>
      </c>
    </row>
    <row r="1147" spans="1:12" x14ac:dyDescent="0.25">
      <c r="A1147" s="51">
        <v>43461</v>
      </c>
      <c r="C1147" s="52" t="s">
        <v>2639</v>
      </c>
      <c r="D1147" s="74" t="s">
        <v>2273</v>
      </c>
      <c r="E1147" s="52" t="s">
        <v>2643</v>
      </c>
      <c r="F1147" s="52" t="str">
        <f>IFERROR(IF(Tabla1[[#This Row],[CONCEPTO mx]]="","",VLOOKUP(Tabla1[[#This Row],[CONCEPTO mx]],Tabla2[#All],2,0)),"")</f>
        <v/>
      </c>
      <c r="G1147" s="52" t="str">
        <f>IFERROR(IF(Tabla1[[#This Row],[CONCEPTO mx]]="","",VLOOKUP(Tabla1[[#This Row],[CONCEPTO mx]],Tabla2[#All],3,0)),"")</f>
        <v/>
      </c>
      <c r="H1147" s="49" t="s">
        <v>406</v>
      </c>
      <c r="I1147" s="52" t="s">
        <v>1639</v>
      </c>
      <c r="J1147" s="53"/>
    </row>
    <row r="1148" spans="1:12" x14ac:dyDescent="0.25">
      <c r="A1148" s="51">
        <v>43461</v>
      </c>
      <c r="C1148" s="52" t="s">
        <v>2653</v>
      </c>
      <c r="D1148" s="52" t="s">
        <v>2654</v>
      </c>
      <c r="F1148" s="49" t="str">
        <f>IFERROR(IF(Tabla1[[#This Row],[CONCEPTO mx]]="","",VLOOKUP(Tabla1[[#This Row],[CONCEPTO mx]],Tabla2[#All],2,0)),"")</f>
        <v/>
      </c>
      <c r="G1148" s="49" t="str">
        <f>IFERROR(IF(Tabla1[[#This Row],[CONCEPTO mx]]="","",VLOOKUP(Tabla1[[#This Row],[CONCEPTO mx]],Tabla2[#All],3,0)),"")</f>
        <v/>
      </c>
      <c r="H1148" s="49" t="s">
        <v>334</v>
      </c>
      <c r="I1148" s="49" t="s">
        <v>2298</v>
      </c>
      <c r="J1148" s="53" t="s">
        <v>2900</v>
      </c>
    </row>
    <row r="1149" spans="1:12" x14ac:dyDescent="0.25">
      <c r="A1149" s="51">
        <v>43461</v>
      </c>
      <c r="C1149" s="52" t="s">
        <v>2656</v>
      </c>
      <c r="D1149" s="67" t="s">
        <v>2355</v>
      </c>
      <c r="E1149" s="52" t="s">
        <v>2655</v>
      </c>
      <c r="F1149" s="52" t="str">
        <f>IFERROR(IF(Tabla1[[#This Row],[CONCEPTO mx]]="","",VLOOKUP(Tabla1[[#This Row],[CONCEPTO mx]],Tabla2[#All],2,0)),"")</f>
        <v/>
      </c>
      <c r="G1149" s="52" t="str">
        <f>IFERROR(IF(Tabla1[[#This Row],[CONCEPTO mx]]="","",VLOOKUP(Tabla1[[#This Row],[CONCEPTO mx]],Tabla2[#All],3,0)),"")</f>
        <v/>
      </c>
      <c r="H1149" s="49" t="s">
        <v>413</v>
      </c>
      <c r="I1149" s="57" t="s">
        <v>2298</v>
      </c>
      <c r="J1149" s="66" t="s">
        <v>2901</v>
      </c>
      <c r="K1149" s="51">
        <v>43468</v>
      </c>
      <c r="L1149" s="49" t="s">
        <v>2275</v>
      </c>
    </row>
    <row r="1150" spans="1:12" x14ac:dyDescent="0.25">
      <c r="A1150" s="51">
        <v>43461</v>
      </c>
      <c r="C1150" s="52" t="s">
        <v>2640</v>
      </c>
      <c r="D1150" s="49" t="s">
        <v>51</v>
      </c>
      <c r="E1150" s="49" t="s">
        <v>3248</v>
      </c>
      <c r="F1150" s="49" t="str">
        <f>IFERROR(IF(Tabla1[[#This Row],[CONCEPTO mx]]="","",VLOOKUP(Tabla1[[#This Row],[CONCEPTO mx]],Tabla2[#All],2,0)),"")</f>
        <v>CM1</v>
      </c>
      <c r="G1150" s="49" t="str">
        <f>IFERROR(IF(Tabla1[[#This Row],[CONCEPTO mx]]="","",VLOOKUP(Tabla1[[#This Row],[CONCEPTO mx]],Tabla2[#All],3,0)),"")</f>
        <v>Gestión Humana</v>
      </c>
      <c r="H1150" s="49" t="s">
        <v>470</v>
      </c>
      <c r="I1150" s="49" t="s">
        <v>2298</v>
      </c>
      <c r="J1150" s="53" t="s">
        <v>2895</v>
      </c>
    </row>
    <row r="1151" spans="1:12" x14ac:dyDescent="0.25">
      <c r="A1151" s="51">
        <v>43461</v>
      </c>
      <c r="C1151" s="52" t="s">
        <v>2657</v>
      </c>
      <c r="D1151" s="49" t="s">
        <v>2273</v>
      </c>
      <c r="E1151" s="52" t="s">
        <v>2658</v>
      </c>
      <c r="F1151" s="52" t="str">
        <f>IFERROR(IF(Tabla1[[#This Row],[CONCEPTO mx]]="","",VLOOKUP(Tabla1[[#This Row],[CONCEPTO mx]],Tabla2[#All],2,0)),"")</f>
        <v/>
      </c>
      <c r="G1151" s="52" t="str">
        <f>IFERROR(IF(Tabla1[[#This Row],[CONCEPTO mx]]="","",VLOOKUP(Tabla1[[#This Row],[CONCEPTO mx]],Tabla2[#All],3,0)),"")</f>
        <v/>
      </c>
      <c r="H1151" s="49" t="s">
        <v>2391</v>
      </c>
      <c r="I1151" s="49" t="s">
        <v>2298</v>
      </c>
      <c r="J1151" s="53" t="s">
        <v>2353</v>
      </c>
    </row>
    <row r="1152" spans="1:12" x14ac:dyDescent="0.25">
      <c r="A1152" s="51">
        <v>43461</v>
      </c>
      <c r="C1152" s="52" t="s">
        <v>2650</v>
      </c>
      <c r="D1152" s="49" t="s">
        <v>2652</v>
      </c>
      <c r="E1152" s="49" t="s">
        <v>2651</v>
      </c>
      <c r="F1152" s="49" t="str">
        <f>IFERROR(IF(Tabla1[[#This Row],[CONCEPTO mx]]="","",VLOOKUP(Tabla1[[#This Row],[CONCEPTO mx]],Tabla2[#All],2,0)),"")</f>
        <v>CM3</v>
      </c>
      <c r="G1152" s="49" t="str">
        <f>IFERROR(IF(Tabla1[[#This Row],[CONCEPTO mx]]="","",VLOOKUP(Tabla1[[#This Row],[CONCEPTO mx]],Tabla2[#All],3,0)),"")</f>
        <v>SST</v>
      </c>
      <c r="H1152" s="49" t="s">
        <v>486</v>
      </c>
      <c r="I1152" s="49" t="s">
        <v>2298</v>
      </c>
      <c r="J1152" s="53" t="s">
        <v>2353</v>
      </c>
    </row>
    <row r="1153" spans="1:12" x14ac:dyDescent="0.25">
      <c r="A1153" s="51">
        <v>43461</v>
      </c>
      <c r="C1153" s="52" t="s">
        <v>2663</v>
      </c>
      <c r="D1153" s="70" t="s">
        <v>2404</v>
      </c>
      <c r="E1153" s="52" t="s">
        <v>2666</v>
      </c>
      <c r="F1153" s="52" t="str">
        <f>IFERROR(IF(Tabla1[[#This Row],[CONCEPTO mx]]="","",VLOOKUP(Tabla1[[#This Row],[CONCEPTO mx]],Tabla2[#All],2,0)),"")</f>
        <v/>
      </c>
      <c r="G1153" s="52" t="str">
        <f>IFERROR(IF(Tabla1[[#This Row],[CONCEPTO mx]]="","",VLOOKUP(Tabla1[[#This Row],[CONCEPTO mx]],Tabla2[#All],3,0)),"")</f>
        <v/>
      </c>
      <c r="H1153" s="49" t="s">
        <v>439</v>
      </c>
      <c r="I1153" s="49" t="s">
        <v>2298</v>
      </c>
      <c r="J1153" s="53" t="s">
        <v>2767</v>
      </c>
    </row>
    <row r="1154" spans="1:12" x14ac:dyDescent="0.25">
      <c r="A1154" s="51">
        <v>43461</v>
      </c>
      <c r="C1154" s="52" t="s">
        <v>2661</v>
      </c>
      <c r="D1154" s="67"/>
      <c r="E1154" s="49" t="s">
        <v>2355</v>
      </c>
      <c r="F1154" s="49" t="str">
        <f>IFERROR(IF(Tabla1[[#This Row],[CONCEPTO mx]]="","",VLOOKUP(Tabla1[[#This Row],[CONCEPTO mx]],Tabla2[#All],2,0)),"")</f>
        <v>CM13</v>
      </c>
      <c r="G1154" s="49" t="str">
        <f>IFERROR(IF(Tabla1[[#This Row],[CONCEPTO mx]]="","",VLOOKUP(Tabla1[[#This Row],[CONCEPTO mx]],Tabla2[#All],3,0)),"")</f>
        <v>Gestión Humana</v>
      </c>
      <c r="H1154" s="49" t="s">
        <v>406</v>
      </c>
      <c r="I1154" s="57" t="s">
        <v>2512</v>
      </c>
      <c r="J1154" s="53" t="s">
        <v>2588</v>
      </c>
      <c r="K1154" s="51">
        <v>43471</v>
      </c>
      <c r="L1154" s="49" t="s">
        <v>2275</v>
      </c>
    </row>
    <row r="1155" spans="1:12" x14ac:dyDescent="0.25">
      <c r="A1155" s="51">
        <v>43461</v>
      </c>
      <c r="C1155" s="52" t="s">
        <v>2645</v>
      </c>
      <c r="D1155" s="70" t="s">
        <v>2505</v>
      </c>
      <c r="E1155" s="52" t="s">
        <v>2597</v>
      </c>
      <c r="F1155" s="52" t="str">
        <f>IFERROR(IF(Tabla1[[#This Row],[CONCEPTO mx]]="","",VLOOKUP(Tabla1[[#This Row],[CONCEPTO mx]],Tabla2[#All],2,0)),"")</f>
        <v/>
      </c>
      <c r="G1155" s="52" t="str">
        <f>IFERROR(IF(Tabla1[[#This Row],[CONCEPTO mx]]="","",VLOOKUP(Tabla1[[#This Row],[CONCEPTO mx]],Tabla2[#All],3,0)),"")</f>
        <v/>
      </c>
      <c r="H1155" s="49" t="s">
        <v>542</v>
      </c>
      <c r="I1155" s="49" t="s">
        <v>2512</v>
      </c>
      <c r="J1155" s="53" t="s">
        <v>2897</v>
      </c>
    </row>
    <row r="1156" spans="1:12" x14ac:dyDescent="0.25">
      <c r="A1156" s="51">
        <v>43461</v>
      </c>
      <c r="C1156" s="52" t="s">
        <v>2668</v>
      </c>
      <c r="D1156" s="49" t="s">
        <v>51</v>
      </c>
      <c r="E1156" s="49" t="s">
        <v>3248</v>
      </c>
      <c r="F1156" s="49" t="str">
        <f>IFERROR(IF(Tabla1[[#This Row],[CONCEPTO mx]]="","",VLOOKUP(Tabla1[[#This Row],[CONCEPTO mx]],Tabla2[#All],2,0)),"")</f>
        <v>CM1</v>
      </c>
      <c r="G1156" s="49" t="str">
        <f>IFERROR(IF(Tabla1[[#This Row],[CONCEPTO mx]]="","",VLOOKUP(Tabla1[[#This Row],[CONCEPTO mx]],Tabla2[#All],3,0)),"")</f>
        <v>Gestión Humana</v>
      </c>
      <c r="H1156" s="49" t="s">
        <v>542</v>
      </c>
      <c r="I1156" s="49" t="s">
        <v>2512</v>
      </c>
      <c r="J1156" s="53" t="s">
        <v>2904</v>
      </c>
    </row>
    <row r="1157" spans="1:12" x14ac:dyDescent="0.25">
      <c r="A1157" s="51">
        <v>43468</v>
      </c>
      <c r="C1157" s="72" t="s">
        <v>2912</v>
      </c>
      <c r="D1157" s="67" t="s">
        <v>2355</v>
      </c>
      <c r="E1157" s="52" t="s">
        <v>2914</v>
      </c>
      <c r="F1157" s="52" t="str">
        <f>IFERROR(IF(Tabla1[[#This Row],[CONCEPTO mx]]="","",VLOOKUP(Tabla1[[#This Row],[CONCEPTO mx]],Tabla2[#All],2,0)),"")</f>
        <v/>
      </c>
      <c r="G1157" s="52" t="str">
        <f>IFERROR(IF(Tabla1[[#This Row],[CONCEPTO mx]]="","",VLOOKUP(Tabla1[[#This Row],[CONCEPTO mx]],Tabla2[#All],3,0)),"")</f>
        <v/>
      </c>
      <c r="H1157" s="49" t="s">
        <v>406</v>
      </c>
      <c r="I1157" s="49" t="s">
        <v>2512</v>
      </c>
      <c r="J1157" s="53" t="s">
        <v>2887</v>
      </c>
      <c r="K1157" s="60" t="s">
        <v>2954</v>
      </c>
      <c r="L1157" s="52" t="s">
        <v>2953</v>
      </c>
    </row>
    <row r="1158" spans="1:12" x14ac:dyDescent="0.25">
      <c r="A1158" s="51">
        <v>43468</v>
      </c>
      <c r="C1158" s="52" t="s">
        <v>2910</v>
      </c>
      <c r="D1158" s="70" t="s">
        <v>2505</v>
      </c>
      <c r="E1158" s="52" t="s">
        <v>2911</v>
      </c>
      <c r="F1158" s="52" t="str">
        <f>IFERROR(IF(Tabla1[[#This Row],[CONCEPTO mx]]="","",VLOOKUP(Tabla1[[#This Row],[CONCEPTO mx]],Tabla2[#All],2,0)),"")</f>
        <v/>
      </c>
      <c r="G1158" s="52" t="str">
        <f>IFERROR(IF(Tabla1[[#This Row],[CONCEPTO mx]]="","",VLOOKUP(Tabla1[[#This Row],[CONCEPTO mx]],Tabla2[#All],3,0)),"")</f>
        <v/>
      </c>
      <c r="H1158" s="49" t="s">
        <v>334</v>
      </c>
      <c r="I1158" s="49" t="s">
        <v>2512</v>
      </c>
      <c r="J1158" s="53" t="s">
        <v>2874</v>
      </c>
    </row>
    <row r="1159" spans="1:12" x14ac:dyDescent="0.25">
      <c r="A1159" s="51">
        <v>43468</v>
      </c>
      <c r="C1159" s="52" t="s">
        <v>2907</v>
      </c>
      <c r="D1159" s="49" t="s">
        <v>51</v>
      </c>
      <c r="E1159" s="49" t="s">
        <v>3248</v>
      </c>
      <c r="F1159" s="49" t="str">
        <f>IFERROR(IF(Tabla1[[#This Row],[CONCEPTO mx]]="","",VLOOKUP(Tabla1[[#This Row],[CONCEPTO mx]],Tabla2[#All],2,0)),"")</f>
        <v>CM1</v>
      </c>
      <c r="G1159" s="49" t="str">
        <f>IFERROR(IF(Tabla1[[#This Row],[CONCEPTO mx]]="","",VLOOKUP(Tabla1[[#This Row],[CONCEPTO mx]],Tabla2[#All],3,0)),"")</f>
        <v>Gestión Humana</v>
      </c>
      <c r="H1159" s="49" t="s">
        <v>628</v>
      </c>
      <c r="I1159" s="49" t="s">
        <v>2298</v>
      </c>
      <c r="J1159" s="53" t="s">
        <v>2302</v>
      </c>
    </row>
    <row r="1160" spans="1:12" x14ac:dyDescent="0.25">
      <c r="A1160" s="51">
        <v>43468</v>
      </c>
      <c r="C1160" s="52" t="s">
        <v>2905</v>
      </c>
      <c r="D1160" s="49" t="s">
        <v>51</v>
      </c>
      <c r="E1160" s="49" t="s">
        <v>3248</v>
      </c>
      <c r="F1160" s="49" t="str">
        <f>IFERROR(IF(Tabla1[[#This Row],[CONCEPTO mx]]="","",VLOOKUP(Tabla1[[#This Row],[CONCEPTO mx]],Tabla2[#All],2,0)),"")</f>
        <v>CM1</v>
      </c>
      <c r="G1160" s="49" t="str">
        <f>IFERROR(IF(Tabla1[[#This Row],[CONCEPTO mx]]="","",VLOOKUP(Tabla1[[#This Row],[CONCEPTO mx]],Tabla2[#All],3,0)),"")</f>
        <v>Gestión Humana</v>
      </c>
      <c r="H1160" s="49" t="s">
        <v>2394</v>
      </c>
      <c r="I1160" s="49" t="s">
        <v>3392</v>
      </c>
      <c r="J1160" s="49" t="s">
        <v>2906</v>
      </c>
    </row>
    <row r="1161" spans="1:12" x14ac:dyDescent="0.25">
      <c r="A1161" s="51">
        <v>43471</v>
      </c>
      <c r="C1161" s="52" t="s">
        <v>2930</v>
      </c>
      <c r="D1161" s="49" t="s">
        <v>2652</v>
      </c>
      <c r="E1161" s="49" t="s">
        <v>2651</v>
      </c>
      <c r="F1161" s="49" t="str">
        <f>IFERROR(IF(Tabla1[[#This Row],[CONCEPTO mx]]="","",VLOOKUP(Tabla1[[#This Row],[CONCEPTO mx]],Tabla2[#All],2,0)),"")</f>
        <v>CM3</v>
      </c>
      <c r="G1161" s="49" t="str">
        <f>IFERROR(IF(Tabla1[[#This Row],[CONCEPTO mx]]="","",VLOOKUP(Tabla1[[#This Row],[CONCEPTO mx]],Tabla2[#All],3,0)),"")</f>
        <v>SST</v>
      </c>
      <c r="H1161" s="49" t="s">
        <v>439</v>
      </c>
      <c r="I1161" s="49" t="s">
        <v>2298</v>
      </c>
      <c r="J1161" s="52" t="s">
        <v>1931</v>
      </c>
    </row>
    <row r="1162" spans="1:12" x14ac:dyDescent="0.25">
      <c r="A1162" s="51">
        <v>43471</v>
      </c>
      <c r="C1162" s="52" t="s">
        <v>2926</v>
      </c>
      <c r="D1162" s="49" t="s">
        <v>51</v>
      </c>
      <c r="E1162" s="49" t="s">
        <v>3248</v>
      </c>
      <c r="F1162" s="49" t="str">
        <f>IFERROR(IF(Tabla1[[#This Row],[CONCEPTO mx]]="","",VLOOKUP(Tabla1[[#This Row],[CONCEPTO mx]],Tabla2[#All],2,0)),"")</f>
        <v>CM1</v>
      </c>
      <c r="G1162" s="49" t="str">
        <f>IFERROR(IF(Tabla1[[#This Row],[CONCEPTO mx]]="","",VLOOKUP(Tabla1[[#This Row],[CONCEPTO mx]],Tabla2[#All],3,0)),"")</f>
        <v>Gestión Humana</v>
      </c>
      <c r="H1162" s="49" t="s">
        <v>486</v>
      </c>
      <c r="I1162" s="49" t="s">
        <v>2298</v>
      </c>
      <c r="J1162" s="53" t="s">
        <v>2302</v>
      </c>
    </row>
    <row r="1163" spans="1:12" x14ac:dyDescent="0.25">
      <c r="A1163" s="51">
        <v>43471</v>
      </c>
      <c r="C1163" s="52" t="s">
        <v>2925</v>
      </c>
      <c r="D1163" s="70" t="s">
        <v>2404</v>
      </c>
      <c r="E1163" s="52" t="s">
        <v>2924</v>
      </c>
      <c r="F1163" s="52" t="str">
        <f>IFERROR(IF(Tabla1[[#This Row],[CONCEPTO mx]]="","",VLOOKUP(Tabla1[[#This Row],[CONCEPTO mx]],Tabla2[#All],2,0)),"")</f>
        <v/>
      </c>
      <c r="G1163" s="52" t="str">
        <f>IFERROR(IF(Tabla1[[#This Row],[CONCEPTO mx]]="","",VLOOKUP(Tabla1[[#This Row],[CONCEPTO mx]],Tabla2[#All],3,0)),"")</f>
        <v/>
      </c>
      <c r="H1163" s="49" t="s">
        <v>439</v>
      </c>
      <c r="I1163" s="49" t="s">
        <v>2298</v>
      </c>
      <c r="J1163" s="53" t="s">
        <v>2353</v>
      </c>
    </row>
    <row r="1164" spans="1:12" x14ac:dyDescent="0.25">
      <c r="A1164" s="51">
        <v>43471</v>
      </c>
      <c r="C1164" s="52" t="s">
        <v>2927</v>
      </c>
      <c r="D1164" s="49" t="s">
        <v>51</v>
      </c>
      <c r="E1164" s="49" t="s">
        <v>3248</v>
      </c>
      <c r="F1164" s="49" t="str">
        <f>IFERROR(IF(Tabla1[[#This Row],[CONCEPTO mx]]="","",VLOOKUP(Tabla1[[#This Row],[CONCEPTO mx]],Tabla2[#All],2,0)),"")</f>
        <v>CM1</v>
      </c>
      <c r="G1164" s="49" t="str">
        <f>IFERROR(IF(Tabla1[[#This Row],[CONCEPTO mx]]="","",VLOOKUP(Tabla1[[#This Row],[CONCEPTO mx]],Tabla2[#All],3,0)),"")</f>
        <v>Gestión Humana</v>
      </c>
      <c r="H1164" s="49" t="s">
        <v>439</v>
      </c>
      <c r="I1164" s="49" t="s">
        <v>2298</v>
      </c>
      <c r="J1164" s="52" t="s">
        <v>2938</v>
      </c>
    </row>
    <row r="1165" spans="1:12" x14ac:dyDescent="0.25">
      <c r="A1165" s="51">
        <v>43471</v>
      </c>
      <c r="C1165" s="52" t="s">
        <v>2928</v>
      </c>
      <c r="D1165" s="49" t="s">
        <v>51</v>
      </c>
      <c r="E1165" s="49" t="s">
        <v>3248</v>
      </c>
      <c r="F1165" s="49" t="str">
        <f>IFERROR(IF(Tabla1[[#This Row],[CONCEPTO mx]]="","",VLOOKUP(Tabla1[[#This Row],[CONCEPTO mx]],Tabla2[#All],2,0)),"")</f>
        <v>CM1</v>
      </c>
      <c r="G1165" s="49" t="str">
        <f>IFERROR(IF(Tabla1[[#This Row],[CONCEPTO mx]]="","",VLOOKUP(Tabla1[[#This Row],[CONCEPTO mx]],Tabla2[#All],3,0)),"")</f>
        <v>Gestión Humana</v>
      </c>
      <c r="H1165" s="49" t="s">
        <v>334</v>
      </c>
      <c r="I1165" s="49" t="s">
        <v>2298</v>
      </c>
      <c r="J1165" s="52" t="s">
        <v>2929</v>
      </c>
    </row>
    <row r="1166" spans="1:12" x14ac:dyDescent="0.25">
      <c r="A1166" s="51">
        <v>43471</v>
      </c>
      <c r="C1166" s="52" t="s">
        <v>2922</v>
      </c>
      <c r="D1166" s="49" t="s">
        <v>2921</v>
      </c>
      <c r="E1166" s="73" t="s">
        <v>2920</v>
      </c>
      <c r="F1166" s="73" t="str">
        <f>IFERROR(IF(Tabla1[[#This Row],[CONCEPTO mx]]="","",VLOOKUP(Tabla1[[#This Row],[CONCEPTO mx]],Tabla2[#All],2,0)),"")</f>
        <v/>
      </c>
      <c r="G1166" s="73" t="str">
        <f>IFERROR(IF(Tabla1[[#This Row],[CONCEPTO mx]]="","",VLOOKUP(Tabla1[[#This Row],[CONCEPTO mx]],Tabla2[#All],3,0)),"")</f>
        <v/>
      </c>
      <c r="H1166" s="49" t="s">
        <v>628</v>
      </c>
      <c r="I1166" s="49" t="s">
        <v>2298</v>
      </c>
      <c r="J1166" s="52" t="s">
        <v>2923</v>
      </c>
    </row>
    <row r="1167" spans="1:12" x14ac:dyDescent="0.25">
      <c r="A1167" s="51">
        <v>43473</v>
      </c>
      <c r="B1167" s="59">
        <v>39321656</v>
      </c>
      <c r="C1167" s="75" t="s">
        <v>3473</v>
      </c>
      <c r="D1167" s="49" t="s">
        <v>180</v>
      </c>
      <c r="E1167" s="49" t="s">
        <v>3174</v>
      </c>
      <c r="F1167" s="76" t="str">
        <f>IFERROR(IF(Tabla1[[#This Row],[CONCEPTO mx]]="","",VLOOKUP(Tabla1[[#This Row],[CONCEPTO mx]],Tabla2[#All],2,0)),"")</f>
        <v>CM2</v>
      </c>
      <c r="G1167" s="76" t="str">
        <f>IFERROR(IF(Tabla1[[#This Row],[CONCEPTO mx]]="","",VLOOKUP(Tabla1[[#This Row],[CONCEPTO mx]],Tabla2[#All],3,0)),"")</f>
        <v>SST</v>
      </c>
      <c r="H1167" s="49" t="s">
        <v>406</v>
      </c>
      <c r="I1167" s="49" t="s">
        <v>2298</v>
      </c>
      <c r="J1167" s="49" t="s">
        <v>2822</v>
      </c>
      <c r="K1167" s="51">
        <v>43523</v>
      </c>
      <c r="L1167" s="77"/>
    </row>
    <row r="1168" spans="1:12" x14ac:dyDescent="0.25">
      <c r="A1168" s="51">
        <v>43473</v>
      </c>
      <c r="C1168" s="52" t="s">
        <v>2916</v>
      </c>
      <c r="D1168" s="70" t="s">
        <v>2404</v>
      </c>
      <c r="E1168" s="52" t="s">
        <v>2597</v>
      </c>
      <c r="F1168" s="52" t="str">
        <f>IFERROR(IF(Tabla1[[#This Row],[CONCEPTO mx]]="","",VLOOKUP(Tabla1[[#This Row],[CONCEPTO mx]],Tabla2[#All],2,0)),"")</f>
        <v/>
      </c>
      <c r="G1168" s="52" t="str">
        <f>IFERROR(IF(Tabla1[[#This Row],[CONCEPTO mx]]="","",VLOOKUP(Tabla1[[#This Row],[CONCEPTO mx]],Tabla2[#All],3,0)),"")</f>
        <v/>
      </c>
      <c r="H1168" s="49" t="s">
        <v>352</v>
      </c>
      <c r="I1168" s="49" t="s">
        <v>2298</v>
      </c>
      <c r="J1168" s="49" t="s">
        <v>2917</v>
      </c>
    </row>
    <row r="1169" spans="1:12" x14ac:dyDescent="0.25">
      <c r="A1169" s="51">
        <v>43473</v>
      </c>
      <c r="C1169" s="52" t="s">
        <v>2915</v>
      </c>
      <c r="D1169" s="49" t="s">
        <v>51</v>
      </c>
      <c r="E1169" s="49" t="s">
        <v>3248</v>
      </c>
      <c r="F1169" s="49" t="str">
        <f>IFERROR(IF(Tabla1[[#This Row],[CONCEPTO mx]]="","",VLOOKUP(Tabla1[[#This Row],[CONCEPTO mx]],Tabla2[#All],2,0)),"")</f>
        <v>CM1</v>
      </c>
      <c r="G1169" s="49" t="str">
        <f>IFERROR(IF(Tabla1[[#This Row],[CONCEPTO mx]]="","",VLOOKUP(Tabla1[[#This Row],[CONCEPTO mx]],Tabla2[#All],3,0)),"")</f>
        <v>Gestión Humana</v>
      </c>
      <c r="H1169" s="49" t="s">
        <v>406</v>
      </c>
      <c r="I1169" s="49" t="s">
        <v>2512</v>
      </c>
      <c r="J1169" s="53" t="s">
        <v>2874</v>
      </c>
    </row>
    <row r="1170" spans="1:12" x14ac:dyDescent="0.25">
      <c r="A1170" s="51">
        <v>43473</v>
      </c>
      <c r="C1170" s="52" t="s">
        <v>2913</v>
      </c>
      <c r="D1170" s="49" t="s">
        <v>51</v>
      </c>
      <c r="E1170" s="49" t="s">
        <v>3248</v>
      </c>
      <c r="F1170" s="49" t="str">
        <f>IFERROR(IF(Tabla1[[#This Row],[CONCEPTO mx]]="","",VLOOKUP(Tabla1[[#This Row],[CONCEPTO mx]],Tabla2[#All],2,0)),"")</f>
        <v>CM1</v>
      </c>
      <c r="G1170" s="49" t="str">
        <f>IFERROR(IF(Tabla1[[#This Row],[CONCEPTO mx]]="","",VLOOKUP(Tabla1[[#This Row],[CONCEPTO mx]],Tabla2[#All],3,0)),"")</f>
        <v>Gestión Humana</v>
      </c>
      <c r="H1170" s="49" t="s">
        <v>486</v>
      </c>
      <c r="I1170" s="49" t="s">
        <v>2298</v>
      </c>
      <c r="J1170" s="49" t="s">
        <v>2845</v>
      </c>
    </row>
    <row r="1171" spans="1:12" x14ac:dyDescent="0.25">
      <c r="A1171" s="51">
        <v>43473</v>
      </c>
      <c r="C1171" s="52" t="s">
        <v>2918</v>
      </c>
      <c r="D1171" s="49" t="s">
        <v>51</v>
      </c>
      <c r="E1171" s="49" t="s">
        <v>3248</v>
      </c>
      <c r="F1171" s="49" t="str">
        <f>IFERROR(IF(Tabla1[[#This Row],[CONCEPTO mx]]="","",VLOOKUP(Tabla1[[#This Row],[CONCEPTO mx]],Tabla2[#All],2,0)),"")</f>
        <v>CM1</v>
      </c>
      <c r="G1171" s="49" t="str">
        <f>IFERROR(IF(Tabla1[[#This Row],[CONCEPTO mx]]="","",VLOOKUP(Tabla1[[#This Row],[CONCEPTO mx]],Tabla2[#All],3,0)),"")</f>
        <v>Gestión Humana</v>
      </c>
      <c r="H1171" s="49" t="s">
        <v>439</v>
      </c>
      <c r="I1171" s="49" t="s">
        <v>2298</v>
      </c>
      <c r="J1171" s="53" t="s">
        <v>2919</v>
      </c>
    </row>
    <row r="1172" spans="1:12" x14ac:dyDescent="0.25">
      <c r="A1172" s="51">
        <v>43477</v>
      </c>
      <c r="C1172" s="52" t="s">
        <v>2935</v>
      </c>
      <c r="D1172" s="49" t="s">
        <v>51</v>
      </c>
      <c r="E1172" s="49" t="s">
        <v>3248</v>
      </c>
      <c r="F1172" s="49" t="str">
        <f>IFERROR(IF(Tabla1[[#This Row],[CONCEPTO mx]]="","",VLOOKUP(Tabla1[[#This Row],[CONCEPTO mx]],Tabla2[#All],2,0)),"")</f>
        <v>CM1</v>
      </c>
      <c r="G1172" s="49" t="str">
        <f>IFERROR(IF(Tabla1[[#This Row],[CONCEPTO mx]]="","",VLOOKUP(Tabla1[[#This Row],[CONCEPTO mx]],Tabla2[#All],3,0)),"")</f>
        <v>Gestión Humana</v>
      </c>
      <c r="H1172" s="49" t="s">
        <v>388</v>
      </c>
      <c r="I1172" s="49" t="s">
        <v>2298</v>
      </c>
      <c r="J1172" s="49" t="s">
        <v>2936</v>
      </c>
    </row>
    <row r="1173" spans="1:12" x14ac:dyDescent="0.25">
      <c r="A1173" s="51">
        <v>43477</v>
      </c>
      <c r="C1173" s="52" t="s">
        <v>2934</v>
      </c>
      <c r="D1173" s="49" t="s">
        <v>51</v>
      </c>
      <c r="E1173" s="49" t="s">
        <v>3248</v>
      </c>
      <c r="F1173" s="49" t="str">
        <f>IFERROR(IF(Tabla1[[#This Row],[CONCEPTO mx]]="","",VLOOKUP(Tabla1[[#This Row],[CONCEPTO mx]],Tabla2[#All],2,0)),"")</f>
        <v>CM1</v>
      </c>
      <c r="G1173" s="49" t="str">
        <f>IFERROR(IF(Tabla1[[#This Row],[CONCEPTO mx]]="","",VLOOKUP(Tabla1[[#This Row],[CONCEPTO mx]],Tabla2[#All],3,0)),"")</f>
        <v>Gestión Humana</v>
      </c>
      <c r="H1173" s="49" t="s">
        <v>486</v>
      </c>
      <c r="I1173" s="49" t="s">
        <v>2298</v>
      </c>
      <c r="J1173" s="53" t="s">
        <v>2353</v>
      </c>
    </row>
    <row r="1174" spans="1:12" x14ac:dyDescent="0.25">
      <c r="A1174" s="51">
        <v>43477</v>
      </c>
      <c r="C1174" s="52" t="s">
        <v>2931</v>
      </c>
      <c r="D1174" s="49" t="s">
        <v>2273</v>
      </c>
      <c r="E1174" s="52" t="s">
        <v>2932</v>
      </c>
      <c r="F1174" s="52" t="str">
        <f>IFERROR(IF(Tabla1[[#This Row],[CONCEPTO mx]]="","",VLOOKUP(Tabla1[[#This Row],[CONCEPTO mx]],Tabla2[#All],2,0)),"")</f>
        <v/>
      </c>
      <c r="G1174" s="52" t="str">
        <f>IFERROR(IF(Tabla1[[#This Row],[CONCEPTO mx]]="","",VLOOKUP(Tabla1[[#This Row],[CONCEPTO mx]],Tabla2[#All],3,0)),"")</f>
        <v/>
      </c>
      <c r="H1174" s="49" t="s">
        <v>516</v>
      </c>
      <c r="I1174" s="49" t="s">
        <v>2298</v>
      </c>
      <c r="J1174" s="53" t="s">
        <v>2933</v>
      </c>
    </row>
    <row r="1175" spans="1:12" x14ac:dyDescent="0.25">
      <c r="A1175" s="51">
        <v>43479</v>
      </c>
      <c r="C1175" s="52" t="s">
        <v>2937</v>
      </c>
      <c r="D1175" s="49" t="s">
        <v>2360</v>
      </c>
      <c r="F1175" s="49" t="str">
        <f>IFERROR(IF(Tabla1[[#This Row],[CONCEPTO mx]]="","",VLOOKUP(Tabla1[[#This Row],[CONCEPTO mx]],Tabla2[#All],2,0)),"")</f>
        <v/>
      </c>
      <c r="G1175" s="49" t="str">
        <f>IFERROR(IF(Tabla1[[#This Row],[CONCEPTO mx]]="","",VLOOKUP(Tabla1[[#This Row],[CONCEPTO mx]],Tabla2[#All],3,0)),"")</f>
        <v/>
      </c>
      <c r="H1175" s="49" t="s">
        <v>439</v>
      </c>
      <c r="I1175" s="49" t="s">
        <v>2298</v>
      </c>
      <c r="J1175" s="52" t="s">
        <v>2939</v>
      </c>
    </row>
    <row r="1176" spans="1:12" x14ac:dyDescent="0.25">
      <c r="A1176" s="51">
        <v>43481</v>
      </c>
      <c r="C1176" s="52" t="s">
        <v>2943</v>
      </c>
      <c r="D1176" s="49" t="s">
        <v>2273</v>
      </c>
      <c r="E1176" s="52" t="s">
        <v>2945</v>
      </c>
      <c r="F1176" s="52" t="str">
        <f>IFERROR(IF(Tabla1[[#This Row],[CONCEPTO mx]]="","",VLOOKUP(Tabla1[[#This Row],[CONCEPTO mx]],Tabla2[#All],2,0)),"")</f>
        <v/>
      </c>
      <c r="G1176" s="52" t="str">
        <f>IFERROR(IF(Tabla1[[#This Row],[CONCEPTO mx]]="","",VLOOKUP(Tabla1[[#This Row],[CONCEPTO mx]],Tabla2[#All],3,0)),"")</f>
        <v/>
      </c>
      <c r="H1176" s="49" t="s">
        <v>439</v>
      </c>
      <c r="I1176" s="49" t="s">
        <v>2298</v>
      </c>
      <c r="J1176" s="52" t="s">
        <v>2944</v>
      </c>
    </row>
    <row r="1177" spans="1:12" x14ac:dyDescent="0.25">
      <c r="A1177" s="51">
        <v>43481</v>
      </c>
      <c r="C1177" s="52" t="s">
        <v>2941</v>
      </c>
      <c r="D1177" s="49" t="s">
        <v>2273</v>
      </c>
      <c r="E1177" s="52" t="s">
        <v>2942</v>
      </c>
      <c r="F1177" s="52" t="str">
        <f>IFERROR(IF(Tabla1[[#This Row],[CONCEPTO mx]]="","",VLOOKUP(Tabla1[[#This Row],[CONCEPTO mx]],Tabla2[#All],2,0)),"")</f>
        <v/>
      </c>
      <c r="G1177" s="52" t="str">
        <f>IFERROR(IF(Tabla1[[#This Row],[CONCEPTO mx]]="","",VLOOKUP(Tabla1[[#This Row],[CONCEPTO mx]],Tabla2[#All],3,0)),"")</f>
        <v/>
      </c>
      <c r="H1177" s="49" t="s">
        <v>387</v>
      </c>
      <c r="I1177" s="49" t="s">
        <v>2512</v>
      </c>
      <c r="J1177" s="52" t="s">
        <v>2940</v>
      </c>
    </row>
    <row r="1178" spans="1:12" x14ac:dyDescent="0.25">
      <c r="A1178" s="51">
        <v>43482</v>
      </c>
      <c r="C1178" s="52" t="s">
        <v>2950</v>
      </c>
      <c r="D1178" s="49" t="s">
        <v>180</v>
      </c>
      <c r="E1178" s="49" t="s">
        <v>3185</v>
      </c>
      <c r="F1178" s="49" t="str">
        <f>IFERROR(IF(Tabla1[[#This Row],[CONCEPTO mx]]="","",VLOOKUP(Tabla1[[#This Row],[CONCEPTO mx]],Tabla2[#All],2,0)),"")</f>
        <v>CM5</v>
      </c>
      <c r="G1178" s="49" t="str">
        <f>IFERROR(IF(Tabla1[[#This Row],[CONCEPTO mx]]="","",VLOOKUP(Tabla1[[#This Row],[CONCEPTO mx]],Tabla2[#All],3,0)),"")</f>
        <v>SST</v>
      </c>
      <c r="H1178" s="49" t="s">
        <v>2394</v>
      </c>
      <c r="I1178" s="49" t="s">
        <v>2298</v>
      </c>
      <c r="J1178" s="52" t="s">
        <v>1931</v>
      </c>
      <c r="K1178" s="67" t="s">
        <v>2355</v>
      </c>
      <c r="L1178" s="49" t="s">
        <v>3298</v>
      </c>
    </row>
    <row r="1179" spans="1:12" x14ac:dyDescent="0.25">
      <c r="A1179" s="51">
        <v>43482</v>
      </c>
      <c r="C1179" s="52" t="s">
        <v>2949</v>
      </c>
      <c r="D1179" s="49" t="s">
        <v>51</v>
      </c>
      <c r="E1179" s="49" t="s">
        <v>3248</v>
      </c>
      <c r="F1179" s="49" t="str">
        <f>IFERROR(IF(Tabla1[[#This Row],[CONCEPTO mx]]="","",VLOOKUP(Tabla1[[#This Row],[CONCEPTO mx]],Tabla2[#All],2,0)),"")</f>
        <v>CM1</v>
      </c>
      <c r="G1179" s="49" t="str">
        <f>IFERROR(IF(Tabla1[[#This Row],[CONCEPTO mx]]="","",VLOOKUP(Tabla1[[#This Row],[CONCEPTO mx]],Tabla2[#All],3,0)),"")</f>
        <v>Gestión Humana</v>
      </c>
      <c r="H1179" s="49" t="s">
        <v>2393</v>
      </c>
      <c r="I1179" s="49" t="s">
        <v>2298</v>
      </c>
      <c r="J1179" s="53" t="s">
        <v>2898</v>
      </c>
    </row>
    <row r="1180" spans="1:12" x14ac:dyDescent="0.25">
      <c r="A1180" s="51">
        <v>43482</v>
      </c>
      <c r="C1180" s="52" t="s">
        <v>2947</v>
      </c>
      <c r="D1180" s="52" t="s">
        <v>2969</v>
      </c>
      <c r="E1180" s="52" t="s">
        <v>2538</v>
      </c>
      <c r="F1180" s="52" t="str">
        <f>IFERROR(IF(Tabla1[[#This Row],[CONCEPTO mx]]="","",VLOOKUP(Tabla1[[#This Row],[CONCEPTO mx]],Tabla2[#All],2,0)),"")</f>
        <v/>
      </c>
      <c r="G1180" s="52" t="str">
        <f>IFERROR(IF(Tabla1[[#This Row],[CONCEPTO mx]]="","",VLOOKUP(Tabla1[[#This Row],[CONCEPTO mx]],Tabla2[#All],3,0)),"")</f>
        <v/>
      </c>
      <c r="H1180" s="49" t="s">
        <v>628</v>
      </c>
      <c r="I1180" s="49" t="s">
        <v>2512</v>
      </c>
      <c r="J1180" s="52" t="s">
        <v>2946</v>
      </c>
    </row>
    <row r="1181" spans="1:12" x14ac:dyDescent="0.25">
      <c r="A1181" s="51">
        <v>43482</v>
      </c>
      <c r="C1181" s="52" t="s">
        <v>2951</v>
      </c>
      <c r="D1181" s="67"/>
      <c r="E1181" s="49" t="s">
        <v>2355</v>
      </c>
      <c r="F1181" s="49" t="str">
        <f>IFERROR(IF(Tabla1[[#This Row],[CONCEPTO mx]]="","",VLOOKUP(Tabla1[[#This Row],[CONCEPTO mx]],Tabla2[#All],2,0)),"")</f>
        <v>CM13</v>
      </c>
      <c r="G1181" s="49" t="str">
        <f>IFERROR(IF(Tabla1[[#This Row],[CONCEPTO mx]]="","",VLOOKUP(Tabla1[[#This Row],[CONCEPTO mx]],Tabla2[#All],3,0)),"")</f>
        <v>Gestión Humana</v>
      </c>
      <c r="H1181" s="57" t="s">
        <v>343</v>
      </c>
      <c r="I1181" s="57" t="s">
        <v>2298</v>
      </c>
      <c r="J1181" s="72" t="s">
        <v>2952</v>
      </c>
      <c r="K1181" s="51">
        <v>43493</v>
      </c>
      <c r="L1181" s="73" t="s">
        <v>3119</v>
      </c>
    </row>
    <row r="1182" spans="1:12" x14ac:dyDescent="0.25">
      <c r="A1182" s="51">
        <v>43483</v>
      </c>
      <c r="C1182" s="52" t="s">
        <v>3006</v>
      </c>
      <c r="D1182" s="49" t="s">
        <v>2273</v>
      </c>
      <c r="E1182" s="52" t="s">
        <v>3005</v>
      </c>
      <c r="F1182" s="52" t="str">
        <f>IFERROR(IF(Tabla1[[#This Row],[CONCEPTO mx]]="","",VLOOKUP(Tabla1[[#This Row],[CONCEPTO mx]],Tabla2[#All],2,0)),"")</f>
        <v/>
      </c>
      <c r="G1182" s="52" t="str">
        <f>IFERROR(IF(Tabla1[[#This Row],[CONCEPTO mx]]="","",VLOOKUP(Tabla1[[#This Row],[CONCEPTO mx]],Tabla2[#All],3,0)),"")</f>
        <v/>
      </c>
      <c r="H1182" s="49" t="s">
        <v>438</v>
      </c>
      <c r="I1182" s="49" t="s">
        <v>2298</v>
      </c>
      <c r="J1182" s="52" t="s">
        <v>3007</v>
      </c>
    </row>
    <row r="1183" spans="1:12" x14ac:dyDescent="0.25">
      <c r="A1183" s="51">
        <v>43483</v>
      </c>
      <c r="C1183" s="52" t="s">
        <v>3020</v>
      </c>
      <c r="D1183" s="52" t="s">
        <v>51</v>
      </c>
      <c r="E1183" s="49" t="s">
        <v>3197</v>
      </c>
      <c r="F1183" s="49" t="str">
        <f>IFERROR(IF(Tabla1[[#This Row],[CONCEPTO mx]]="","",VLOOKUP(Tabla1[[#This Row],[CONCEPTO mx]],Tabla2[#All],2,0)),"")</f>
        <v>CM14</v>
      </c>
      <c r="G1183" s="49" t="str">
        <f>IFERROR(IF(Tabla1[[#This Row],[CONCEPTO mx]]="","",VLOOKUP(Tabla1[[#This Row],[CONCEPTO mx]],Tabla2[#All],3,0)),"")</f>
        <v>SST</v>
      </c>
      <c r="H1183" s="49" t="s">
        <v>516</v>
      </c>
      <c r="I1183" s="49" t="s">
        <v>2512</v>
      </c>
      <c r="J1183" s="52" t="s">
        <v>3021</v>
      </c>
    </row>
    <row r="1184" spans="1:12" x14ac:dyDescent="0.25">
      <c r="A1184" s="51">
        <v>43483</v>
      </c>
      <c r="C1184" s="52" t="s">
        <v>2959</v>
      </c>
      <c r="D1184" s="49" t="s">
        <v>2652</v>
      </c>
      <c r="E1184" s="49" t="s">
        <v>2651</v>
      </c>
      <c r="F1184" s="49" t="str">
        <f>IFERROR(IF(Tabla1[[#This Row],[CONCEPTO mx]]="","",VLOOKUP(Tabla1[[#This Row],[CONCEPTO mx]],Tabla2[#All],2,0)),"")</f>
        <v>CM3</v>
      </c>
      <c r="G1184" s="49" t="str">
        <f>IFERROR(IF(Tabla1[[#This Row],[CONCEPTO mx]]="","",VLOOKUP(Tabla1[[#This Row],[CONCEPTO mx]],Tabla2[#All],3,0)),"")</f>
        <v>SST</v>
      </c>
      <c r="H1184" s="49" t="s">
        <v>2393</v>
      </c>
      <c r="I1184" s="49" t="s">
        <v>2298</v>
      </c>
      <c r="J1184" s="52" t="s">
        <v>2960</v>
      </c>
    </row>
    <row r="1185" spans="1:12" x14ac:dyDescent="0.25">
      <c r="A1185" s="51">
        <v>43483</v>
      </c>
      <c r="C1185" s="52" t="s">
        <v>2961</v>
      </c>
      <c r="D1185" s="67"/>
      <c r="E1185" s="49" t="s">
        <v>2355</v>
      </c>
      <c r="F1185" s="49" t="str">
        <f>IFERROR(IF(Tabla1[[#This Row],[CONCEPTO mx]]="","",VLOOKUP(Tabla1[[#This Row],[CONCEPTO mx]],Tabla2[#All],2,0)),"")</f>
        <v>CM13</v>
      </c>
      <c r="G1185" s="49" t="str">
        <f>IFERROR(IF(Tabla1[[#This Row],[CONCEPTO mx]]="","",VLOOKUP(Tabla1[[#This Row],[CONCEPTO mx]],Tabla2[#All],3,0)),"")</f>
        <v>Gestión Humana</v>
      </c>
      <c r="H1185" s="57" t="s">
        <v>2393</v>
      </c>
      <c r="I1185" s="57" t="s">
        <v>2298</v>
      </c>
      <c r="J1185" s="66" t="s">
        <v>2302</v>
      </c>
      <c r="K1185" s="51">
        <v>43493</v>
      </c>
      <c r="L1185" s="49" t="s">
        <v>2273</v>
      </c>
    </row>
    <row r="1186" spans="1:12" x14ac:dyDescent="0.25">
      <c r="A1186" s="51">
        <v>43483</v>
      </c>
      <c r="C1186" s="52" t="s">
        <v>3027</v>
      </c>
      <c r="D1186" s="49" t="s">
        <v>51</v>
      </c>
      <c r="F1186" s="49" t="str">
        <f>IFERROR(IF(Tabla1[[#This Row],[CONCEPTO mx]]="","",VLOOKUP(Tabla1[[#This Row],[CONCEPTO mx]],Tabla2[#All],2,0)),"")</f>
        <v/>
      </c>
      <c r="G1186" s="49" t="str">
        <f>IFERROR(IF(Tabla1[[#This Row],[CONCEPTO mx]]="","",VLOOKUP(Tabla1[[#This Row],[CONCEPTO mx]],Tabla2[#All],3,0)),"")</f>
        <v/>
      </c>
      <c r="H1186" s="49" t="s">
        <v>438</v>
      </c>
      <c r="I1186" s="49" t="s">
        <v>2298</v>
      </c>
      <c r="J1186" s="52" t="s">
        <v>3007</v>
      </c>
    </row>
    <row r="1187" spans="1:12" x14ac:dyDescent="0.25">
      <c r="A1187" s="51">
        <v>43483</v>
      </c>
      <c r="C1187" s="52" t="s">
        <v>2955</v>
      </c>
      <c r="D1187" s="70" t="s">
        <v>2404</v>
      </c>
      <c r="E1187" s="52" t="s">
        <v>2574</v>
      </c>
      <c r="F1187" s="52" t="str">
        <f>IFERROR(IF(Tabla1[[#This Row],[CONCEPTO mx]]="","",VLOOKUP(Tabla1[[#This Row],[CONCEPTO mx]],Tabla2[#All],2,0)),"")</f>
        <v/>
      </c>
      <c r="G1187" s="52" t="str">
        <f>IFERROR(IF(Tabla1[[#This Row],[CONCEPTO mx]]="","",VLOOKUP(Tabla1[[#This Row],[CONCEPTO mx]],Tabla2[#All],3,0)),"")</f>
        <v/>
      </c>
      <c r="H1187" s="49" t="s">
        <v>441</v>
      </c>
      <c r="I1187" s="49" t="s">
        <v>2298</v>
      </c>
      <c r="J1187" s="52" t="s">
        <v>2956</v>
      </c>
    </row>
    <row r="1188" spans="1:12" x14ac:dyDescent="0.25">
      <c r="A1188" s="51">
        <v>43483</v>
      </c>
      <c r="C1188" s="52" t="s">
        <v>2996</v>
      </c>
      <c r="D1188" s="49" t="s">
        <v>51</v>
      </c>
      <c r="E1188" s="49" t="s">
        <v>3248</v>
      </c>
      <c r="F1188" s="49" t="str">
        <f>IFERROR(IF(Tabla1[[#This Row],[CONCEPTO mx]]="","",VLOOKUP(Tabla1[[#This Row],[CONCEPTO mx]],Tabla2[#All],2,0)),"")</f>
        <v>CM1</v>
      </c>
      <c r="G1188" s="49" t="str">
        <f>IFERROR(IF(Tabla1[[#This Row],[CONCEPTO mx]]="","",VLOOKUP(Tabla1[[#This Row],[CONCEPTO mx]],Tabla2[#All],3,0)),"")</f>
        <v>Gestión Humana</v>
      </c>
      <c r="H1188" s="49" t="s">
        <v>470</v>
      </c>
      <c r="I1188" s="49" t="s">
        <v>2298</v>
      </c>
      <c r="J1188" s="52" t="s">
        <v>2997</v>
      </c>
    </row>
    <row r="1189" spans="1:12" x14ac:dyDescent="0.25">
      <c r="A1189" s="51">
        <v>43483</v>
      </c>
      <c r="C1189" s="52" t="s">
        <v>3023</v>
      </c>
      <c r="D1189" s="70" t="s">
        <v>3024</v>
      </c>
      <c r="E1189" s="52" t="s">
        <v>2597</v>
      </c>
      <c r="F1189" s="52" t="str">
        <f>IFERROR(IF(Tabla1[[#This Row],[CONCEPTO mx]]="","",VLOOKUP(Tabla1[[#This Row],[CONCEPTO mx]],Tabla2[#All],2,0)),"")</f>
        <v/>
      </c>
      <c r="G1189" s="52" t="str">
        <f>IFERROR(IF(Tabla1[[#This Row],[CONCEPTO mx]]="","",VLOOKUP(Tabla1[[#This Row],[CONCEPTO mx]],Tabla2[#All],3,0)),"")</f>
        <v/>
      </c>
      <c r="H1189" s="49" t="s">
        <v>441</v>
      </c>
      <c r="I1189" s="49" t="s">
        <v>2298</v>
      </c>
      <c r="J1189" s="52" t="s">
        <v>2849</v>
      </c>
    </row>
    <row r="1190" spans="1:12" x14ac:dyDescent="0.25">
      <c r="A1190" s="51">
        <v>43483</v>
      </c>
      <c r="C1190" s="52" t="s">
        <v>2989</v>
      </c>
      <c r="D1190" s="70" t="s">
        <v>2404</v>
      </c>
      <c r="E1190" s="52" t="s">
        <v>2987</v>
      </c>
      <c r="F1190" s="52" t="str">
        <f>IFERROR(IF(Tabla1[[#This Row],[CONCEPTO mx]]="","",VLOOKUP(Tabla1[[#This Row],[CONCEPTO mx]],Tabla2[#All],2,0)),"")</f>
        <v/>
      </c>
      <c r="G1190" s="52" t="str">
        <f>IFERROR(IF(Tabla1[[#This Row],[CONCEPTO mx]]="","",VLOOKUP(Tabla1[[#This Row],[CONCEPTO mx]],Tabla2[#All],3,0)),"")</f>
        <v/>
      </c>
      <c r="H1190" s="49" t="s">
        <v>352</v>
      </c>
      <c r="I1190" s="49" t="s">
        <v>2298</v>
      </c>
      <c r="J1190" s="52" t="s">
        <v>2988</v>
      </c>
    </row>
    <row r="1191" spans="1:12" x14ac:dyDescent="0.25">
      <c r="A1191" s="51">
        <v>43483</v>
      </c>
      <c r="C1191" s="52" t="s">
        <v>2967</v>
      </c>
      <c r="D1191" s="49" t="s">
        <v>2652</v>
      </c>
      <c r="E1191" s="49" t="s">
        <v>2651</v>
      </c>
      <c r="F1191" s="49" t="str">
        <f>IFERROR(IF(Tabla1[[#This Row],[CONCEPTO mx]]="","",VLOOKUP(Tabla1[[#This Row],[CONCEPTO mx]],Tabla2[#All],2,0)),"")</f>
        <v>CM3</v>
      </c>
      <c r="G1191" s="49" t="str">
        <f>IFERROR(IF(Tabla1[[#This Row],[CONCEPTO mx]]="","",VLOOKUP(Tabla1[[#This Row],[CONCEPTO mx]],Tabla2[#All],3,0)),"")</f>
        <v>SST</v>
      </c>
      <c r="H1191" s="49" t="s">
        <v>406</v>
      </c>
      <c r="I1191" s="49" t="s">
        <v>2298</v>
      </c>
      <c r="J1191" s="52" t="s">
        <v>2966</v>
      </c>
    </row>
    <row r="1192" spans="1:12" x14ac:dyDescent="0.25">
      <c r="A1192" s="51">
        <v>43483</v>
      </c>
      <c r="C1192" s="52" t="s">
        <v>1441</v>
      </c>
      <c r="D1192" s="67" t="s">
        <v>2355</v>
      </c>
      <c r="E1192" s="52" t="s">
        <v>3016</v>
      </c>
      <c r="F1192" s="52" t="str">
        <f>IFERROR(IF(Tabla1[[#This Row],[CONCEPTO mx]]="","",VLOOKUP(Tabla1[[#This Row],[CONCEPTO mx]],Tabla2[#All],2,0)),"")</f>
        <v/>
      </c>
      <c r="G1192" s="52" t="str">
        <f>IFERROR(IF(Tabla1[[#This Row],[CONCEPTO mx]]="","",VLOOKUP(Tabla1[[#This Row],[CONCEPTO mx]],Tabla2[#All],3,0)),"")</f>
        <v/>
      </c>
      <c r="H1192" s="57" t="s">
        <v>628</v>
      </c>
      <c r="I1192" s="57" t="s">
        <v>2298</v>
      </c>
      <c r="J1192" s="72" t="s">
        <v>3015</v>
      </c>
      <c r="K1192" s="51">
        <v>43493</v>
      </c>
      <c r="L1192" s="70" t="s">
        <v>3112</v>
      </c>
    </row>
    <row r="1193" spans="1:12" x14ac:dyDescent="0.25">
      <c r="A1193" s="51">
        <v>43483</v>
      </c>
      <c r="C1193" s="52" t="s">
        <v>2968</v>
      </c>
      <c r="D1193" s="70" t="s">
        <v>2970</v>
      </c>
      <c r="E1193" s="52" t="s">
        <v>2971</v>
      </c>
      <c r="F1193" s="52" t="str">
        <f>IFERROR(IF(Tabla1[[#This Row],[CONCEPTO mx]]="","",VLOOKUP(Tabla1[[#This Row],[CONCEPTO mx]],Tabla2[#All],2,0)),"")</f>
        <v/>
      </c>
      <c r="G1193" s="52" t="str">
        <f>IFERROR(IF(Tabla1[[#This Row],[CONCEPTO mx]]="","",VLOOKUP(Tabla1[[#This Row],[CONCEPTO mx]],Tabla2[#All],3,0)),"")</f>
        <v/>
      </c>
      <c r="H1193" s="49" t="s">
        <v>550</v>
      </c>
      <c r="I1193" s="52" t="s">
        <v>3392</v>
      </c>
      <c r="J1193" s="49" t="s">
        <v>2316</v>
      </c>
    </row>
    <row r="1194" spans="1:12" x14ac:dyDescent="0.25">
      <c r="A1194" s="51">
        <v>43483</v>
      </c>
      <c r="C1194" s="52" t="s">
        <v>2963</v>
      </c>
      <c r="D1194" s="70" t="s">
        <v>2404</v>
      </c>
      <c r="E1194" s="52" t="s">
        <v>2962</v>
      </c>
      <c r="F1194" s="52" t="str">
        <f>IFERROR(IF(Tabla1[[#This Row],[CONCEPTO mx]]="","",VLOOKUP(Tabla1[[#This Row],[CONCEPTO mx]],Tabla2[#All],2,0)),"")</f>
        <v/>
      </c>
      <c r="G1194" s="52" t="str">
        <f>IFERROR(IF(Tabla1[[#This Row],[CONCEPTO mx]]="","",VLOOKUP(Tabla1[[#This Row],[CONCEPTO mx]],Tabla2[#All],3,0)),"")</f>
        <v/>
      </c>
      <c r="H1194" s="49" t="s">
        <v>628</v>
      </c>
      <c r="I1194" s="49" t="s">
        <v>2298</v>
      </c>
      <c r="J1194" s="53" t="s">
        <v>2933</v>
      </c>
    </row>
    <row r="1195" spans="1:12" x14ac:dyDescent="0.25">
      <c r="A1195" s="51">
        <v>43483</v>
      </c>
      <c r="C1195" s="52" t="s">
        <v>2998</v>
      </c>
      <c r="D1195" s="49" t="s">
        <v>51</v>
      </c>
      <c r="E1195" s="49" t="s">
        <v>3248</v>
      </c>
      <c r="F1195" s="49" t="str">
        <f>IFERROR(IF(Tabla1[[#This Row],[CONCEPTO mx]]="","",VLOOKUP(Tabla1[[#This Row],[CONCEPTO mx]],Tabla2[#All],2,0)),"")</f>
        <v>CM1</v>
      </c>
      <c r="G1195" s="49" t="str">
        <f>IFERROR(IF(Tabla1[[#This Row],[CONCEPTO mx]]="","",VLOOKUP(Tabla1[[#This Row],[CONCEPTO mx]],Tabla2[#All],3,0)),"")</f>
        <v>Gestión Humana</v>
      </c>
      <c r="H1195" s="49" t="s">
        <v>486</v>
      </c>
      <c r="I1195" s="49" t="s">
        <v>2298</v>
      </c>
      <c r="J1195" s="52" t="s">
        <v>2999</v>
      </c>
    </row>
    <row r="1196" spans="1:12" x14ac:dyDescent="0.25">
      <c r="A1196" s="51">
        <v>43483</v>
      </c>
      <c r="C1196" s="52" t="s">
        <v>2991</v>
      </c>
      <c r="D1196" s="49" t="s">
        <v>2652</v>
      </c>
      <c r="E1196" s="49" t="s">
        <v>2651</v>
      </c>
      <c r="F1196" s="49" t="str">
        <f>IFERROR(IF(Tabla1[[#This Row],[CONCEPTO mx]]="","",VLOOKUP(Tabla1[[#This Row],[CONCEPTO mx]],Tabla2[#All],2,0)),"")</f>
        <v>CM3</v>
      </c>
      <c r="G1196" s="49" t="str">
        <f>IFERROR(IF(Tabla1[[#This Row],[CONCEPTO mx]]="","",VLOOKUP(Tabla1[[#This Row],[CONCEPTO mx]],Tabla2[#All],3,0)),"")</f>
        <v>SST</v>
      </c>
      <c r="H1196" s="49" t="s">
        <v>388</v>
      </c>
      <c r="I1196" s="49" t="s">
        <v>2298</v>
      </c>
      <c r="J1196" s="52" t="s">
        <v>2990</v>
      </c>
    </row>
    <row r="1197" spans="1:12" x14ac:dyDescent="0.25">
      <c r="A1197" s="51">
        <v>43483</v>
      </c>
      <c r="C1197" s="52" t="s">
        <v>3009</v>
      </c>
      <c r="D1197" s="70" t="s">
        <v>3008</v>
      </c>
      <c r="F1197" s="49" t="str">
        <f>IFERROR(IF(Tabla1[[#This Row],[CONCEPTO mx]]="","",VLOOKUP(Tabla1[[#This Row],[CONCEPTO mx]],Tabla2[#All],2,0)),"")</f>
        <v/>
      </c>
      <c r="G1197" s="49" t="str">
        <f>IFERROR(IF(Tabla1[[#This Row],[CONCEPTO mx]]="","",VLOOKUP(Tabla1[[#This Row],[CONCEPTO mx]],Tabla2[#All],3,0)),"")</f>
        <v/>
      </c>
      <c r="H1197" s="49" t="s">
        <v>550</v>
      </c>
      <c r="I1197" s="49" t="s">
        <v>2298</v>
      </c>
      <c r="J1197" s="52" t="s">
        <v>1632</v>
      </c>
    </row>
    <row r="1198" spans="1:12" x14ac:dyDescent="0.25">
      <c r="A1198" s="51">
        <v>43483</v>
      </c>
      <c r="C1198" s="52" t="s">
        <v>3012</v>
      </c>
      <c r="D1198" s="67" t="s">
        <v>2355</v>
      </c>
      <c r="E1198" s="52" t="s">
        <v>3014</v>
      </c>
      <c r="F1198" s="52" t="str">
        <f>IFERROR(IF(Tabla1[[#This Row],[CONCEPTO mx]]="","",VLOOKUP(Tabla1[[#This Row],[CONCEPTO mx]],Tabla2[#All],2,0)),"")</f>
        <v/>
      </c>
      <c r="G1198" s="52" t="str">
        <f>IFERROR(IF(Tabla1[[#This Row],[CONCEPTO mx]]="","",VLOOKUP(Tabla1[[#This Row],[CONCEPTO mx]],Tabla2[#All],3,0)),"")</f>
        <v/>
      </c>
      <c r="H1198" s="57" t="s">
        <v>388</v>
      </c>
      <c r="I1198" s="57" t="s">
        <v>2298</v>
      </c>
      <c r="J1198" s="72" t="s">
        <v>3013</v>
      </c>
      <c r="K1198" s="51">
        <v>43493</v>
      </c>
      <c r="L1198" s="73" t="s">
        <v>3119</v>
      </c>
    </row>
    <row r="1199" spans="1:12" x14ac:dyDescent="0.25">
      <c r="A1199" s="51">
        <v>43483</v>
      </c>
      <c r="C1199" s="52" t="s">
        <v>2978</v>
      </c>
      <c r="D1199" s="70" t="s">
        <v>3010</v>
      </c>
      <c r="E1199" s="52" t="s">
        <v>2979</v>
      </c>
      <c r="F1199" s="52" t="str">
        <f>IFERROR(IF(Tabla1[[#This Row],[CONCEPTO mx]]="","",VLOOKUP(Tabla1[[#This Row],[CONCEPTO mx]],Tabla2[#All],2,0)),"")</f>
        <v/>
      </c>
      <c r="G1199" s="52" t="str">
        <f>IFERROR(IF(Tabla1[[#This Row],[CONCEPTO mx]]="","",VLOOKUP(Tabla1[[#This Row],[CONCEPTO mx]],Tabla2[#All],3,0)),"")</f>
        <v/>
      </c>
      <c r="H1199" s="49" t="s">
        <v>550</v>
      </c>
      <c r="I1199" s="49" t="s">
        <v>2298</v>
      </c>
      <c r="J1199" s="52" t="s">
        <v>2977</v>
      </c>
    </row>
    <row r="1200" spans="1:12" x14ac:dyDescent="0.25">
      <c r="A1200" s="51">
        <v>43483</v>
      </c>
      <c r="C1200" s="52" t="s">
        <v>2985</v>
      </c>
      <c r="D1200" s="49" t="s">
        <v>51</v>
      </c>
      <c r="E1200" s="49" t="s">
        <v>3174</v>
      </c>
      <c r="F1200" s="49" t="str">
        <f>IFERROR(IF(Tabla1[[#This Row],[CONCEPTO mx]]="","",VLOOKUP(Tabla1[[#This Row],[CONCEPTO mx]],Tabla2[#All],2,0)),"")</f>
        <v>CM2</v>
      </c>
      <c r="G1200" s="49" t="str">
        <f>IFERROR(IF(Tabla1[[#This Row],[CONCEPTO mx]]="","",VLOOKUP(Tabla1[[#This Row],[CONCEPTO mx]],Tabla2[#All],3,0)),"")</f>
        <v>SST</v>
      </c>
      <c r="H1200" s="49" t="s">
        <v>2576</v>
      </c>
      <c r="I1200" s="49" t="s">
        <v>2512</v>
      </c>
      <c r="J1200" s="52" t="s">
        <v>2986</v>
      </c>
    </row>
    <row r="1201" spans="1:12" x14ac:dyDescent="0.25">
      <c r="A1201" s="51">
        <v>43483</v>
      </c>
      <c r="C1201" s="52" t="s">
        <v>2995</v>
      </c>
      <c r="D1201" s="49" t="s">
        <v>51</v>
      </c>
      <c r="E1201" s="49" t="s">
        <v>3248</v>
      </c>
      <c r="F1201" s="49" t="str">
        <f>IFERROR(IF(Tabla1[[#This Row],[CONCEPTO mx]]="","",VLOOKUP(Tabla1[[#This Row],[CONCEPTO mx]],Tabla2[#All],2,0)),"")</f>
        <v>CM1</v>
      </c>
      <c r="G1201" s="49" t="str">
        <f>IFERROR(IF(Tabla1[[#This Row],[CONCEPTO mx]]="","",VLOOKUP(Tabla1[[#This Row],[CONCEPTO mx]],Tabla2[#All],3,0)),"")</f>
        <v>Gestión Humana</v>
      </c>
      <c r="H1201" s="49" t="s">
        <v>2394</v>
      </c>
      <c r="I1201" s="49" t="s">
        <v>2298</v>
      </c>
      <c r="J1201" s="52" t="s">
        <v>2973</v>
      </c>
    </row>
    <row r="1202" spans="1:12" x14ac:dyDescent="0.25">
      <c r="A1202" s="51">
        <v>43483</v>
      </c>
      <c r="C1202" s="52" t="s">
        <v>3011</v>
      </c>
      <c r="D1202" s="49" t="s">
        <v>51</v>
      </c>
      <c r="E1202" s="49" t="s">
        <v>3248</v>
      </c>
      <c r="F1202" s="49" t="str">
        <f>IFERROR(IF(Tabla1[[#This Row],[CONCEPTO mx]]="","",VLOOKUP(Tabla1[[#This Row],[CONCEPTO mx]],Tabla2[#All],2,0)),"")</f>
        <v>CM1</v>
      </c>
      <c r="G1202" s="49" t="str">
        <f>IFERROR(IF(Tabla1[[#This Row],[CONCEPTO mx]]="","",VLOOKUP(Tabla1[[#This Row],[CONCEPTO mx]],Tabla2[#All],3,0)),"")</f>
        <v>Gestión Humana</v>
      </c>
      <c r="H1202" s="49" t="s">
        <v>441</v>
      </c>
      <c r="I1202" s="49" t="s">
        <v>2298</v>
      </c>
      <c r="J1202" s="52" t="s">
        <v>3007</v>
      </c>
    </row>
    <row r="1203" spans="1:12" x14ac:dyDescent="0.25">
      <c r="A1203" s="51">
        <v>43483</v>
      </c>
      <c r="C1203" s="52" t="s">
        <v>2994</v>
      </c>
      <c r="D1203" s="49" t="s">
        <v>2273</v>
      </c>
      <c r="E1203" s="52" t="s">
        <v>2993</v>
      </c>
      <c r="F1203" s="52" t="str">
        <f>IFERROR(IF(Tabla1[[#This Row],[CONCEPTO mx]]="","",VLOOKUP(Tabla1[[#This Row],[CONCEPTO mx]],Tabla2[#All],2,0)),"")</f>
        <v/>
      </c>
      <c r="G1203" s="52" t="str">
        <f>IFERROR(IF(Tabla1[[#This Row],[CONCEPTO mx]]="","",VLOOKUP(Tabla1[[#This Row],[CONCEPTO mx]],Tabla2[#All],3,0)),"")</f>
        <v/>
      </c>
      <c r="H1203" s="49" t="s">
        <v>387</v>
      </c>
      <c r="I1203" s="49" t="s">
        <v>2298</v>
      </c>
      <c r="J1203" s="52" t="s">
        <v>2992</v>
      </c>
    </row>
    <row r="1204" spans="1:12" x14ac:dyDescent="0.25">
      <c r="A1204" s="51">
        <v>43483</v>
      </c>
      <c r="C1204" s="52" t="s">
        <v>2972</v>
      </c>
      <c r="D1204" s="49" t="s">
        <v>51</v>
      </c>
      <c r="E1204" s="49" t="s">
        <v>3248</v>
      </c>
      <c r="F1204" s="49" t="str">
        <f>IFERROR(IF(Tabla1[[#This Row],[CONCEPTO mx]]="","",VLOOKUP(Tabla1[[#This Row],[CONCEPTO mx]],Tabla2[#All],2,0)),"")</f>
        <v>CM1</v>
      </c>
      <c r="G1204" s="49" t="str">
        <f>IFERROR(IF(Tabla1[[#This Row],[CONCEPTO mx]]="","",VLOOKUP(Tabla1[[#This Row],[CONCEPTO mx]],Tabla2[#All],3,0)),"")</f>
        <v>Gestión Humana</v>
      </c>
      <c r="H1204" s="49" t="s">
        <v>343</v>
      </c>
      <c r="I1204" s="49" t="s">
        <v>2298</v>
      </c>
      <c r="J1204" s="52" t="s">
        <v>2973</v>
      </c>
    </row>
    <row r="1205" spans="1:12" x14ac:dyDescent="0.25">
      <c r="A1205" s="51">
        <v>43483</v>
      </c>
      <c r="C1205" s="52" t="s">
        <v>3004</v>
      </c>
      <c r="D1205" s="49" t="s">
        <v>51</v>
      </c>
      <c r="E1205" s="49" t="s">
        <v>3248</v>
      </c>
      <c r="F1205" s="49" t="str">
        <f>IFERROR(IF(Tabla1[[#This Row],[CONCEPTO mx]]="","",VLOOKUP(Tabla1[[#This Row],[CONCEPTO mx]],Tabla2[#All],2,0)),"")</f>
        <v>CM1</v>
      </c>
      <c r="G1205" s="49" t="str">
        <f>IFERROR(IF(Tabla1[[#This Row],[CONCEPTO mx]]="","",VLOOKUP(Tabla1[[#This Row],[CONCEPTO mx]],Tabla2[#All],3,0)),"")</f>
        <v>Gestión Humana</v>
      </c>
      <c r="H1205" s="49" t="s">
        <v>2394</v>
      </c>
      <c r="I1205" s="49" t="s">
        <v>2512</v>
      </c>
      <c r="J1205" s="52" t="s">
        <v>3040</v>
      </c>
    </row>
    <row r="1206" spans="1:12" x14ac:dyDescent="0.25">
      <c r="A1206" s="51">
        <v>43483</v>
      </c>
      <c r="C1206" s="52" t="s">
        <v>2980</v>
      </c>
      <c r="D1206" s="70" t="s">
        <v>2404</v>
      </c>
      <c r="E1206" s="52" t="s">
        <v>2981</v>
      </c>
      <c r="F1206" s="52" t="str">
        <f>IFERROR(IF(Tabla1[[#This Row],[CONCEPTO mx]]="","",VLOOKUP(Tabla1[[#This Row],[CONCEPTO mx]],Tabla2[#All],2,0)),"")</f>
        <v/>
      </c>
      <c r="G1206" s="52" t="str">
        <f>IFERROR(IF(Tabla1[[#This Row],[CONCEPTO mx]]="","",VLOOKUP(Tabla1[[#This Row],[CONCEPTO mx]],Tabla2[#All],3,0)),"")</f>
        <v/>
      </c>
      <c r="H1206" s="49" t="s">
        <v>438</v>
      </c>
      <c r="I1206" s="49" t="s">
        <v>2298</v>
      </c>
      <c r="J1206" s="53" t="s">
        <v>2353</v>
      </c>
    </row>
    <row r="1207" spans="1:12" x14ac:dyDescent="0.25">
      <c r="A1207" s="51">
        <v>43483</v>
      </c>
      <c r="C1207" s="52" t="s">
        <v>3025</v>
      </c>
      <c r="D1207" s="49" t="s">
        <v>51</v>
      </c>
      <c r="F1207" s="49" t="str">
        <f>IFERROR(IF(Tabla1[[#This Row],[CONCEPTO mx]]="","",VLOOKUP(Tabla1[[#This Row],[CONCEPTO mx]],Tabla2[#All],2,0)),"")</f>
        <v/>
      </c>
      <c r="G1207" s="49" t="str">
        <f>IFERROR(IF(Tabla1[[#This Row],[CONCEPTO mx]]="","",VLOOKUP(Tabla1[[#This Row],[CONCEPTO mx]],Tabla2[#All],3,0)),"")</f>
        <v/>
      </c>
      <c r="H1207" s="49" t="s">
        <v>334</v>
      </c>
      <c r="I1207" s="49" t="s">
        <v>2298</v>
      </c>
      <c r="J1207" s="52" t="s">
        <v>3026</v>
      </c>
    </row>
    <row r="1208" spans="1:12" x14ac:dyDescent="0.25">
      <c r="A1208" s="51">
        <v>43483</v>
      </c>
      <c r="C1208" s="52" t="s">
        <v>3019</v>
      </c>
      <c r="D1208" s="70" t="s">
        <v>2404</v>
      </c>
      <c r="E1208" s="52" t="s">
        <v>3018</v>
      </c>
      <c r="F1208" s="52" t="str">
        <f>IFERROR(IF(Tabla1[[#This Row],[CONCEPTO mx]]="","",VLOOKUP(Tabla1[[#This Row],[CONCEPTO mx]],Tabla2[#All],2,0)),"")</f>
        <v/>
      </c>
      <c r="G1208" s="52" t="str">
        <f>IFERROR(IF(Tabla1[[#This Row],[CONCEPTO mx]]="","",VLOOKUP(Tabla1[[#This Row],[CONCEPTO mx]],Tabla2[#All],3,0)),"")</f>
        <v/>
      </c>
      <c r="H1208" s="49" t="s">
        <v>413</v>
      </c>
      <c r="I1208" s="49" t="s">
        <v>2298</v>
      </c>
      <c r="J1208" s="52" t="s">
        <v>3017</v>
      </c>
    </row>
    <row r="1209" spans="1:12" x14ac:dyDescent="0.25">
      <c r="A1209" s="51">
        <v>43483</v>
      </c>
      <c r="C1209" s="52" t="s">
        <v>2957</v>
      </c>
      <c r="D1209" s="49" t="s">
        <v>51</v>
      </c>
      <c r="E1209" s="49" t="s">
        <v>3248</v>
      </c>
      <c r="F1209" s="49" t="str">
        <f>IFERROR(IF(Tabla1[[#This Row],[CONCEPTO mx]]="","",VLOOKUP(Tabla1[[#This Row],[CONCEPTO mx]],Tabla2[#All],2,0)),"")</f>
        <v>CM1</v>
      </c>
      <c r="G1209" s="49" t="str">
        <f>IFERROR(IF(Tabla1[[#This Row],[CONCEPTO mx]]="","",VLOOKUP(Tabla1[[#This Row],[CONCEPTO mx]],Tabla2[#All],3,0)),"")</f>
        <v>Gestión Humana</v>
      </c>
      <c r="H1209" s="49" t="s">
        <v>388</v>
      </c>
      <c r="I1209" s="49" t="s">
        <v>2298</v>
      </c>
      <c r="J1209" s="52" t="s">
        <v>2958</v>
      </c>
    </row>
    <row r="1210" spans="1:12" x14ac:dyDescent="0.25">
      <c r="A1210" s="51">
        <v>43483</v>
      </c>
      <c r="C1210" s="52" t="s">
        <v>3002</v>
      </c>
      <c r="D1210" s="67" t="s">
        <v>2355</v>
      </c>
      <c r="E1210" s="52" t="s">
        <v>3002</v>
      </c>
      <c r="F1210" s="52" t="str">
        <f>IFERROR(IF(Tabla1[[#This Row],[CONCEPTO mx]]="","",VLOOKUP(Tabla1[[#This Row],[CONCEPTO mx]],Tabla2[#All],2,0)),"")</f>
        <v/>
      </c>
      <c r="G1210" s="52" t="str">
        <f>IFERROR(IF(Tabla1[[#This Row],[CONCEPTO mx]]="","",VLOOKUP(Tabla1[[#This Row],[CONCEPTO mx]],Tabla2[#All],3,0)),"")</f>
        <v/>
      </c>
      <c r="H1210" s="57" t="s">
        <v>387</v>
      </c>
      <c r="I1210" s="57" t="s">
        <v>2512</v>
      </c>
      <c r="J1210" s="72" t="s">
        <v>2986</v>
      </c>
      <c r="K1210" s="51">
        <v>43493</v>
      </c>
      <c r="L1210" s="73" t="s">
        <v>3139</v>
      </c>
    </row>
    <row r="1211" spans="1:12" x14ac:dyDescent="0.25">
      <c r="A1211" s="51">
        <v>43483</v>
      </c>
      <c r="C1211" s="52" t="s">
        <v>2964</v>
      </c>
      <c r="D1211" s="49" t="s">
        <v>2273</v>
      </c>
      <c r="E1211" s="52" t="s">
        <v>2617</v>
      </c>
      <c r="F1211" s="52" t="str">
        <f>IFERROR(IF(Tabla1[[#This Row],[CONCEPTO mx]]="","",VLOOKUP(Tabla1[[#This Row],[CONCEPTO mx]],Tabla2[#All],2,0)),"")</f>
        <v/>
      </c>
      <c r="G1211" s="52" t="str">
        <f>IFERROR(IF(Tabla1[[#This Row],[CONCEPTO mx]]="","",VLOOKUP(Tabla1[[#This Row],[CONCEPTO mx]],Tabla2[#All],3,0)),"")</f>
        <v/>
      </c>
      <c r="H1211" s="49" t="s">
        <v>388</v>
      </c>
      <c r="I1211" s="49" t="s">
        <v>2512</v>
      </c>
      <c r="J1211" s="52" t="s">
        <v>2965</v>
      </c>
    </row>
    <row r="1212" spans="1:12" x14ac:dyDescent="0.25">
      <c r="A1212" s="51">
        <v>43483</v>
      </c>
      <c r="C1212" s="52" t="s">
        <v>2984</v>
      </c>
      <c r="D1212" s="49" t="s">
        <v>2273</v>
      </c>
      <c r="E1212" s="52" t="s">
        <v>2983</v>
      </c>
      <c r="F1212" s="52" t="str">
        <f>IFERROR(IF(Tabla1[[#This Row],[CONCEPTO mx]]="","",VLOOKUP(Tabla1[[#This Row],[CONCEPTO mx]],Tabla2[#All],2,0)),"")</f>
        <v/>
      </c>
      <c r="G1212" s="52" t="str">
        <f>IFERROR(IF(Tabla1[[#This Row],[CONCEPTO mx]]="","",VLOOKUP(Tabla1[[#This Row],[CONCEPTO mx]],Tabla2[#All],3,0)),"")</f>
        <v/>
      </c>
      <c r="H1212" s="49" t="s">
        <v>438</v>
      </c>
      <c r="I1212" s="49" t="s">
        <v>2298</v>
      </c>
      <c r="J1212" s="52" t="s">
        <v>2982</v>
      </c>
    </row>
    <row r="1213" spans="1:12" x14ac:dyDescent="0.25">
      <c r="A1213" s="51">
        <v>43483</v>
      </c>
      <c r="C1213" s="52" t="s">
        <v>3003</v>
      </c>
      <c r="D1213" s="49" t="s">
        <v>51</v>
      </c>
      <c r="E1213" s="49" t="s">
        <v>3248</v>
      </c>
      <c r="F1213" s="49" t="str">
        <f>IFERROR(IF(Tabla1[[#This Row],[CONCEPTO mx]]="","",VLOOKUP(Tabla1[[#This Row],[CONCEPTO mx]],Tabla2[#All],2,0)),"")</f>
        <v>CM1</v>
      </c>
      <c r="G1213" s="49" t="str">
        <f>IFERROR(IF(Tabla1[[#This Row],[CONCEPTO mx]]="","",VLOOKUP(Tabla1[[#This Row],[CONCEPTO mx]],Tabla2[#All],3,0)),"")</f>
        <v>Gestión Humana</v>
      </c>
      <c r="H1213" s="49" t="s">
        <v>470</v>
      </c>
      <c r="I1213" s="49" t="s">
        <v>2298</v>
      </c>
      <c r="J1213" s="52" t="s">
        <v>3001</v>
      </c>
    </row>
    <row r="1214" spans="1:12" x14ac:dyDescent="0.25">
      <c r="A1214" s="51">
        <v>43483</v>
      </c>
      <c r="C1214" s="52" t="s">
        <v>3022</v>
      </c>
      <c r="D1214" s="49" t="s">
        <v>51</v>
      </c>
      <c r="E1214" s="49" t="s">
        <v>3248</v>
      </c>
      <c r="F1214" s="49" t="str">
        <f>IFERROR(IF(Tabla1[[#This Row],[CONCEPTO mx]]="","",VLOOKUP(Tabla1[[#This Row],[CONCEPTO mx]],Tabla2[#All],2,0)),"")</f>
        <v>CM1</v>
      </c>
      <c r="G1214" s="49" t="str">
        <f>IFERROR(IF(Tabla1[[#This Row],[CONCEPTO mx]]="","",VLOOKUP(Tabla1[[#This Row],[CONCEPTO mx]],Tabla2[#All],3,0)),"")</f>
        <v>Gestión Humana</v>
      </c>
      <c r="H1214" s="49" t="s">
        <v>486</v>
      </c>
      <c r="I1214" s="49" t="s">
        <v>2298</v>
      </c>
      <c r="J1214" s="49" t="s">
        <v>4087</v>
      </c>
    </row>
    <row r="1215" spans="1:12" x14ac:dyDescent="0.25">
      <c r="A1215" s="51">
        <v>43483</v>
      </c>
      <c r="C1215" s="52" t="s">
        <v>2974</v>
      </c>
      <c r="D1215" s="49" t="s">
        <v>2273</v>
      </c>
      <c r="E1215" s="52" t="s">
        <v>2976</v>
      </c>
      <c r="F1215" s="52" t="str">
        <f>IFERROR(IF(Tabla1[[#This Row],[CONCEPTO mx]]="","",VLOOKUP(Tabla1[[#This Row],[CONCEPTO mx]],Tabla2[#All],2,0)),"")</f>
        <v/>
      </c>
      <c r="G1215" s="52" t="str">
        <f>IFERROR(IF(Tabla1[[#This Row],[CONCEPTO mx]]="","",VLOOKUP(Tabla1[[#This Row],[CONCEPTO mx]],Tabla2[#All],3,0)),"")</f>
        <v/>
      </c>
      <c r="H1215" s="49" t="s">
        <v>388</v>
      </c>
      <c r="I1215" s="49" t="s">
        <v>2298</v>
      </c>
      <c r="J1215" s="52" t="s">
        <v>2975</v>
      </c>
    </row>
    <row r="1216" spans="1:12" x14ac:dyDescent="0.25">
      <c r="A1216" s="51">
        <v>43483</v>
      </c>
      <c r="C1216" s="52" t="s">
        <v>3000</v>
      </c>
      <c r="D1216" s="49" t="s">
        <v>51</v>
      </c>
      <c r="E1216" s="49" t="s">
        <v>3248</v>
      </c>
      <c r="F1216" s="49" t="str">
        <f>IFERROR(IF(Tabla1[[#This Row],[CONCEPTO mx]]="","",VLOOKUP(Tabla1[[#This Row],[CONCEPTO mx]],Tabla2[#All],2,0)),"")</f>
        <v>CM1</v>
      </c>
      <c r="G1216" s="49" t="str">
        <f>IFERROR(IF(Tabla1[[#This Row],[CONCEPTO mx]]="","",VLOOKUP(Tabla1[[#This Row],[CONCEPTO mx]],Tabla2[#All],3,0)),"")</f>
        <v>Gestión Humana</v>
      </c>
      <c r="H1216" s="49" t="s">
        <v>550</v>
      </c>
      <c r="I1216" s="49" t="s">
        <v>2298</v>
      </c>
      <c r="J1216" s="52" t="s">
        <v>3001</v>
      </c>
    </row>
    <row r="1217" spans="1:12" x14ac:dyDescent="0.25">
      <c r="A1217" s="51">
        <v>43484</v>
      </c>
      <c r="C1217" s="52" t="s">
        <v>3028</v>
      </c>
      <c r="D1217" s="49" t="s">
        <v>51</v>
      </c>
      <c r="F1217" s="49" t="str">
        <f>IFERROR(IF(Tabla1[[#This Row],[CONCEPTO mx]]="","",VLOOKUP(Tabla1[[#This Row],[CONCEPTO mx]],Tabla2[#All],2,0)),"")</f>
        <v/>
      </c>
      <c r="G1217" s="49" t="str">
        <f>IFERROR(IF(Tabla1[[#This Row],[CONCEPTO mx]]="","",VLOOKUP(Tabla1[[#This Row],[CONCEPTO mx]],Tabla2[#All],3,0)),"")</f>
        <v/>
      </c>
      <c r="H1217" s="49" t="s">
        <v>438</v>
      </c>
      <c r="I1217" s="49" t="s">
        <v>2298</v>
      </c>
      <c r="J1217" s="52" t="s">
        <v>2999</v>
      </c>
    </row>
    <row r="1218" spans="1:12" x14ac:dyDescent="0.25">
      <c r="A1218" s="51">
        <v>43484</v>
      </c>
      <c r="C1218" s="52" t="s">
        <v>3029</v>
      </c>
      <c r="D1218" s="70" t="s">
        <v>3030</v>
      </c>
      <c r="E1218" s="52" t="s">
        <v>2386</v>
      </c>
      <c r="F1218" s="52" t="str">
        <f>IFERROR(IF(Tabla1[[#This Row],[CONCEPTO mx]]="","",VLOOKUP(Tabla1[[#This Row],[CONCEPTO mx]],Tabla2[#All],2,0)),"")</f>
        <v/>
      </c>
      <c r="G1218" s="52" t="str">
        <f>IFERROR(IF(Tabla1[[#This Row],[CONCEPTO mx]]="","",VLOOKUP(Tabla1[[#This Row],[CONCEPTO mx]],Tabla2[#All],3,0)),"")</f>
        <v/>
      </c>
      <c r="H1218" s="49" t="s">
        <v>438</v>
      </c>
      <c r="I1218" s="49" t="s">
        <v>2298</v>
      </c>
      <c r="J1218" s="52" t="s">
        <v>2999</v>
      </c>
    </row>
    <row r="1219" spans="1:12" x14ac:dyDescent="0.25">
      <c r="A1219" s="51">
        <v>43486</v>
      </c>
      <c r="C1219" s="52" t="s">
        <v>3031</v>
      </c>
      <c r="D1219" s="49" t="s">
        <v>2273</v>
      </c>
      <c r="E1219" s="52" t="s">
        <v>3032</v>
      </c>
      <c r="F1219" s="52" t="str">
        <f>IFERROR(IF(Tabla1[[#This Row],[CONCEPTO mx]]="","",VLOOKUP(Tabla1[[#This Row],[CONCEPTO mx]],Tabla2[#All],2,0)),"")</f>
        <v/>
      </c>
      <c r="G1219" s="52" t="str">
        <f>IFERROR(IF(Tabla1[[#This Row],[CONCEPTO mx]]="","",VLOOKUP(Tabla1[[#This Row],[CONCEPTO mx]],Tabla2[#All],3,0)),"")</f>
        <v/>
      </c>
      <c r="H1219" s="49" t="s">
        <v>2391</v>
      </c>
      <c r="I1219" s="49" t="s">
        <v>2298</v>
      </c>
      <c r="J1219" s="52" t="s">
        <v>3033</v>
      </c>
    </row>
    <row r="1220" spans="1:12" x14ac:dyDescent="0.25">
      <c r="A1220" s="51">
        <v>43486</v>
      </c>
      <c r="C1220" s="52" t="s">
        <v>3054</v>
      </c>
      <c r="D1220" s="70" t="s">
        <v>3024</v>
      </c>
      <c r="E1220" s="52" t="s">
        <v>3053</v>
      </c>
      <c r="F1220" s="52" t="str">
        <f>IFERROR(IF(Tabla1[[#This Row],[CONCEPTO mx]]="","",VLOOKUP(Tabla1[[#This Row],[CONCEPTO mx]],Tabla2[#All],2,0)),"")</f>
        <v/>
      </c>
      <c r="G1220" s="52" t="str">
        <f>IFERROR(IF(Tabla1[[#This Row],[CONCEPTO mx]]="","",VLOOKUP(Tabla1[[#This Row],[CONCEPTO mx]],Tabla2[#All],3,0)),"")</f>
        <v/>
      </c>
      <c r="H1220" s="49" t="s">
        <v>406</v>
      </c>
      <c r="I1220" s="49" t="s">
        <v>2298</v>
      </c>
      <c r="J1220" s="52" t="s">
        <v>2956</v>
      </c>
    </row>
    <row r="1221" spans="1:12" x14ac:dyDescent="0.25">
      <c r="A1221" s="51">
        <v>43486</v>
      </c>
      <c r="C1221" s="52" t="s">
        <v>3062</v>
      </c>
      <c r="D1221" s="49" t="s">
        <v>51</v>
      </c>
      <c r="E1221" s="52" t="s">
        <v>3248</v>
      </c>
      <c r="F1221" s="52" t="str">
        <f>IFERROR(IF(Tabla1[[#This Row],[CONCEPTO mx]]="","",VLOOKUP(Tabla1[[#This Row],[CONCEPTO mx]],Tabla2[#All],2,0)),"")</f>
        <v>CM1</v>
      </c>
      <c r="G1221" s="52" t="str">
        <f>IFERROR(IF(Tabla1[[#This Row],[CONCEPTO mx]]="","",VLOOKUP(Tabla1[[#This Row],[CONCEPTO mx]],Tabla2[#All],3,0)),"")</f>
        <v>Gestión Humana</v>
      </c>
      <c r="H1221" s="49" t="s">
        <v>470</v>
      </c>
      <c r="I1221" s="49" t="s">
        <v>2298</v>
      </c>
      <c r="J1221" s="52" t="s">
        <v>2999</v>
      </c>
    </row>
    <row r="1222" spans="1:12" x14ac:dyDescent="0.25">
      <c r="A1222" s="51">
        <v>43486</v>
      </c>
      <c r="C1222" s="52" t="s">
        <v>3037</v>
      </c>
      <c r="D1222" s="49" t="s">
        <v>51</v>
      </c>
      <c r="E1222" s="49" t="s">
        <v>3248</v>
      </c>
      <c r="F1222" s="49" t="str">
        <f>IFERROR(IF(Tabla1[[#This Row],[CONCEPTO mx]]="","",VLOOKUP(Tabla1[[#This Row],[CONCEPTO mx]],Tabla2[#All],2,0)),"")</f>
        <v>CM1</v>
      </c>
      <c r="G1222" s="49" t="str">
        <f>IFERROR(IF(Tabla1[[#This Row],[CONCEPTO mx]]="","",VLOOKUP(Tabla1[[#This Row],[CONCEPTO mx]],Tabla2[#All],3,0)),"")</f>
        <v>Gestión Humana</v>
      </c>
      <c r="H1222" s="49" t="s">
        <v>2391</v>
      </c>
      <c r="I1222" s="49" t="s">
        <v>2298</v>
      </c>
      <c r="J1222" s="52" t="s">
        <v>3033</v>
      </c>
    </row>
    <row r="1223" spans="1:12" x14ac:dyDescent="0.25">
      <c r="A1223" s="51">
        <v>43486</v>
      </c>
      <c r="C1223" s="52" t="s">
        <v>3038</v>
      </c>
      <c r="D1223" s="49" t="s">
        <v>2273</v>
      </c>
      <c r="E1223" s="52" t="s">
        <v>3039</v>
      </c>
      <c r="F1223" s="52" t="str">
        <f>IFERROR(IF(Tabla1[[#This Row],[CONCEPTO mx]]="","",VLOOKUP(Tabla1[[#This Row],[CONCEPTO mx]],Tabla2[#All],2,0)),"")</f>
        <v/>
      </c>
      <c r="G1223" s="52" t="str">
        <f>IFERROR(IF(Tabla1[[#This Row],[CONCEPTO mx]]="","",VLOOKUP(Tabla1[[#This Row],[CONCEPTO mx]],Tabla2[#All],3,0)),"")</f>
        <v/>
      </c>
      <c r="H1223" s="49" t="s">
        <v>486</v>
      </c>
      <c r="I1223" s="49" t="s">
        <v>2298</v>
      </c>
      <c r="J1223" s="53" t="s">
        <v>2302</v>
      </c>
    </row>
    <row r="1224" spans="1:12" x14ac:dyDescent="0.25">
      <c r="A1224" s="51">
        <v>43486</v>
      </c>
      <c r="C1224" s="52" t="s">
        <v>3045</v>
      </c>
      <c r="D1224" s="49" t="s">
        <v>2273</v>
      </c>
      <c r="E1224" s="52" t="s">
        <v>3046</v>
      </c>
      <c r="F1224" s="52" t="str">
        <f>IFERROR(IF(Tabla1[[#This Row],[CONCEPTO mx]]="","",VLOOKUP(Tabla1[[#This Row],[CONCEPTO mx]],Tabla2[#All],2,0)),"")</f>
        <v/>
      </c>
      <c r="G1224" s="52" t="str">
        <f>IFERROR(IF(Tabla1[[#This Row],[CONCEPTO mx]]="","",VLOOKUP(Tabla1[[#This Row],[CONCEPTO mx]],Tabla2[#All],3,0)),"")</f>
        <v/>
      </c>
      <c r="H1224" s="49" t="s">
        <v>387</v>
      </c>
      <c r="I1224" s="49" t="s">
        <v>2298</v>
      </c>
      <c r="J1224" s="52" t="s">
        <v>3044</v>
      </c>
    </row>
    <row r="1225" spans="1:12" x14ac:dyDescent="0.25">
      <c r="A1225" s="51">
        <v>43486</v>
      </c>
      <c r="C1225" s="52" t="s">
        <v>3034</v>
      </c>
      <c r="D1225" s="49" t="s">
        <v>2273</v>
      </c>
      <c r="E1225" s="52" t="s">
        <v>3036</v>
      </c>
      <c r="F1225" s="52" t="str">
        <f>IFERROR(IF(Tabla1[[#This Row],[CONCEPTO mx]]="","",VLOOKUP(Tabla1[[#This Row],[CONCEPTO mx]],Tabla2[#All],2,0)),"")</f>
        <v/>
      </c>
      <c r="G1225" s="52" t="str">
        <f>IFERROR(IF(Tabla1[[#This Row],[CONCEPTO mx]]="","",VLOOKUP(Tabla1[[#This Row],[CONCEPTO mx]],Tabla2[#All],3,0)),"")</f>
        <v/>
      </c>
      <c r="H1225" s="49" t="s">
        <v>387</v>
      </c>
      <c r="I1225" s="49" t="s">
        <v>2298</v>
      </c>
      <c r="J1225" s="52" t="s">
        <v>3035</v>
      </c>
    </row>
    <row r="1226" spans="1:12" x14ac:dyDescent="0.25">
      <c r="A1226" s="51">
        <v>43486</v>
      </c>
      <c r="C1226" s="52" t="s">
        <v>3051</v>
      </c>
      <c r="D1226" s="49" t="s">
        <v>2547</v>
      </c>
      <c r="E1226" s="52" t="s">
        <v>3050</v>
      </c>
      <c r="F1226" s="52" t="str">
        <f>IFERROR(IF(Tabla1[[#This Row],[CONCEPTO mx]]="","",VLOOKUP(Tabla1[[#This Row],[CONCEPTO mx]],Tabla2[#All],2,0)),"")</f>
        <v/>
      </c>
      <c r="G1226" s="52" t="str">
        <f>IFERROR(IF(Tabla1[[#This Row],[CONCEPTO mx]]="","",VLOOKUP(Tabla1[[#This Row],[CONCEPTO mx]],Tabla2[#All],3,0)),"")</f>
        <v/>
      </c>
      <c r="H1226" s="49" t="s">
        <v>406</v>
      </c>
      <c r="I1226" s="49" t="s">
        <v>2298</v>
      </c>
      <c r="J1226" s="52" t="s">
        <v>3049</v>
      </c>
    </row>
    <row r="1227" spans="1:12" x14ac:dyDescent="0.25">
      <c r="A1227" s="51">
        <v>43486</v>
      </c>
      <c r="C1227" s="52" t="s">
        <v>3057</v>
      </c>
      <c r="D1227" s="67"/>
      <c r="E1227" s="49" t="s">
        <v>2355</v>
      </c>
      <c r="F1227" s="49" t="str">
        <f>IFERROR(IF(Tabla1[[#This Row],[CONCEPTO mx]]="","",VLOOKUP(Tabla1[[#This Row],[CONCEPTO mx]],Tabla2[#All],2,0)),"")</f>
        <v>CM13</v>
      </c>
      <c r="G1227" s="49" t="str">
        <f>IFERROR(IF(Tabla1[[#This Row],[CONCEPTO mx]]="","",VLOOKUP(Tabla1[[#This Row],[CONCEPTO mx]],Tabla2[#All],3,0)),"")</f>
        <v>Gestión Humana</v>
      </c>
      <c r="H1227" s="49" t="s">
        <v>388</v>
      </c>
      <c r="I1227" s="49" t="s">
        <v>2298</v>
      </c>
      <c r="J1227" s="52" t="s">
        <v>3058</v>
      </c>
    </row>
    <row r="1228" spans="1:12" x14ac:dyDescent="0.25">
      <c r="A1228" s="51">
        <v>43486</v>
      </c>
      <c r="C1228" s="52" t="s">
        <v>3041</v>
      </c>
      <c r="D1228" s="49" t="s">
        <v>51</v>
      </c>
      <c r="E1228" s="52" t="s">
        <v>3248</v>
      </c>
      <c r="F1228" s="52" t="str">
        <f>IFERROR(IF(Tabla1[[#This Row],[CONCEPTO mx]]="","",VLOOKUP(Tabla1[[#This Row],[CONCEPTO mx]],Tabla2[#All],2,0)),"")</f>
        <v>CM1</v>
      </c>
      <c r="G1228" s="52" t="str">
        <f>IFERROR(IF(Tabla1[[#This Row],[CONCEPTO mx]]="","",VLOOKUP(Tabla1[[#This Row],[CONCEPTO mx]],Tabla2[#All],3,0)),"")</f>
        <v>Gestión Humana</v>
      </c>
      <c r="H1228" s="49" t="s">
        <v>2393</v>
      </c>
      <c r="I1228" s="49" t="s">
        <v>2298</v>
      </c>
      <c r="J1228" s="52" t="s">
        <v>3043</v>
      </c>
      <c r="L1228" s="49" t="s">
        <v>3042</v>
      </c>
    </row>
    <row r="1229" spans="1:12" x14ac:dyDescent="0.25">
      <c r="A1229" s="51">
        <v>43486</v>
      </c>
      <c r="C1229" s="52" t="s">
        <v>3056</v>
      </c>
      <c r="D1229" s="49" t="s">
        <v>2273</v>
      </c>
      <c r="E1229" s="52" t="s">
        <v>3039</v>
      </c>
      <c r="F1229" s="52" t="str">
        <f>IFERROR(IF(Tabla1[[#This Row],[CONCEPTO mx]]="","",VLOOKUP(Tabla1[[#This Row],[CONCEPTO mx]],Tabla2[#All],2,0)),"")</f>
        <v/>
      </c>
      <c r="G1229" s="52" t="str">
        <f>IFERROR(IF(Tabla1[[#This Row],[CONCEPTO mx]]="","",VLOOKUP(Tabla1[[#This Row],[CONCEPTO mx]],Tabla2[#All],3,0)),"")</f>
        <v/>
      </c>
      <c r="H1229" s="49" t="s">
        <v>406</v>
      </c>
      <c r="I1229" s="49" t="s">
        <v>2298</v>
      </c>
      <c r="J1229" s="52" t="s">
        <v>3055</v>
      </c>
    </row>
    <row r="1230" spans="1:12" x14ac:dyDescent="0.25">
      <c r="A1230" s="51">
        <v>43486</v>
      </c>
      <c r="C1230" s="52" t="s">
        <v>3059</v>
      </c>
      <c r="D1230" s="49" t="s">
        <v>51</v>
      </c>
      <c r="E1230" s="49" t="s">
        <v>3248</v>
      </c>
      <c r="F1230" s="49" t="str">
        <f>IFERROR(IF(Tabla1[[#This Row],[CONCEPTO mx]]="","",VLOOKUP(Tabla1[[#This Row],[CONCEPTO mx]],Tabla2[#All],2,0)),"")</f>
        <v>CM1</v>
      </c>
      <c r="G1230" s="49" t="str">
        <f>IFERROR(IF(Tabla1[[#This Row],[CONCEPTO mx]]="","",VLOOKUP(Tabla1[[#This Row],[CONCEPTO mx]],Tabla2[#All],3,0)),"")</f>
        <v>Gestión Humana</v>
      </c>
      <c r="H1230" s="49" t="s">
        <v>388</v>
      </c>
      <c r="I1230" s="49" t="s">
        <v>2298</v>
      </c>
      <c r="J1230" s="52" t="s">
        <v>3060</v>
      </c>
    </row>
    <row r="1231" spans="1:12" x14ac:dyDescent="0.25">
      <c r="A1231" s="51">
        <v>43486</v>
      </c>
      <c r="C1231" s="52" t="s">
        <v>3048</v>
      </c>
      <c r="D1231" s="49" t="s">
        <v>2273</v>
      </c>
      <c r="E1231" s="52" t="s">
        <v>3047</v>
      </c>
      <c r="F1231" s="52" t="str">
        <f>IFERROR(IF(Tabla1[[#This Row],[CONCEPTO mx]]="","",VLOOKUP(Tabla1[[#This Row],[CONCEPTO mx]],Tabla2[#All],2,0)),"")</f>
        <v/>
      </c>
      <c r="G1231" s="52" t="str">
        <f>IFERROR(IF(Tabla1[[#This Row],[CONCEPTO mx]]="","",VLOOKUP(Tabla1[[#This Row],[CONCEPTO mx]],Tabla2[#All],3,0)),"")</f>
        <v/>
      </c>
      <c r="H1231" s="49" t="s">
        <v>406</v>
      </c>
      <c r="I1231" s="49" t="s">
        <v>2298</v>
      </c>
      <c r="J1231" s="52" t="s">
        <v>3052</v>
      </c>
    </row>
    <row r="1232" spans="1:12" x14ac:dyDescent="0.25">
      <c r="A1232" s="51">
        <v>43488</v>
      </c>
      <c r="C1232" s="52" t="s">
        <v>3092</v>
      </c>
      <c r="D1232" s="70" t="s">
        <v>3090</v>
      </c>
      <c r="F1232" s="49" t="str">
        <f>IFERROR(IF(Tabla1[[#This Row],[CONCEPTO mx]]="","",VLOOKUP(Tabla1[[#This Row],[CONCEPTO mx]],Tabla2[#All],2,0)),"")</f>
        <v/>
      </c>
      <c r="G1232" s="49" t="str">
        <f>IFERROR(IF(Tabla1[[#This Row],[CONCEPTO mx]]="","",VLOOKUP(Tabla1[[#This Row],[CONCEPTO mx]],Tabla2[#All],3,0)),"")</f>
        <v/>
      </c>
      <c r="H1232" s="49" t="s">
        <v>439</v>
      </c>
      <c r="I1232" s="49" t="s">
        <v>2298</v>
      </c>
      <c r="J1232" s="52" t="s">
        <v>3093</v>
      </c>
    </row>
    <row r="1233" spans="1:11" x14ac:dyDescent="0.25">
      <c r="A1233" s="51">
        <v>43488</v>
      </c>
      <c r="C1233" s="52" t="s">
        <v>3078</v>
      </c>
      <c r="D1233" s="49" t="s">
        <v>2273</v>
      </c>
      <c r="F1233" s="49" t="str">
        <f>IFERROR(IF(Tabla1[[#This Row],[CONCEPTO mx]]="","",VLOOKUP(Tabla1[[#This Row],[CONCEPTO mx]],Tabla2[#All],2,0)),"")</f>
        <v/>
      </c>
      <c r="G1233" s="49" t="str">
        <f>IFERROR(IF(Tabla1[[#This Row],[CONCEPTO mx]]="","",VLOOKUP(Tabla1[[#This Row],[CONCEPTO mx]],Tabla2[#All],3,0)),"")</f>
        <v/>
      </c>
      <c r="H1233" s="49" t="s">
        <v>406</v>
      </c>
      <c r="I1233" s="49" t="s">
        <v>2298</v>
      </c>
      <c r="J1233" s="52" t="s">
        <v>3063</v>
      </c>
    </row>
    <row r="1234" spans="1:11" x14ac:dyDescent="0.25">
      <c r="A1234" s="51">
        <v>43488</v>
      </c>
      <c r="C1234" s="52" t="s">
        <v>3079</v>
      </c>
      <c r="D1234" s="49" t="s">
        <v>2273</v>
      </c>
      <c r="F1234" s="49" t="str">
        <f>IFERROR(IF(Tabla1[[#This Row],[CONCEPTO mx]]="","",VLOOKUP(Tabla1[[#This Row],[CONCEPTO mx]],Tabla2[#All],2,0)),"")</f>
        <v/>
      </c>
      <c r="G1234" s="49" t="str">
        <f>IFERROR(IF(Tabla1[[#This Row],[CONCEPTO mx]]="","",VLOOKUP(Tabla1[[#This Row],[CONCEPTO mx]],Tabla2[#All],3,0)),"")</f>
        <v/>
      </c>
      <c r="H1234" s="49" t="s">
        <v>387</v>
      </c>
      <c r="I1234" s="49" t="s">
        <v>2298</v>
      </c>
      <c r="J1234" s="49" t="s">
        <v>2865</v>
      </c>
    </row>
    <row r="1235" spans="1:11" x14ac:dyDescent="0.25">
      <c r="A1235" s="51">
        <v>43488</v>
      </c>
      <c r="C1235" s="52" t="s">
        <v>3082</v>
      </c>
      <c r="D1235" s="49" t="s">
        <v>2273</v>
      </c>
      <c r="F1235" s="49" t="str">
        <f>IFERROR(IF(Tabla1[[#This Row],[CONCEPTO mx]]="","",VLOOKUP(Tabla1[[#This Row],[CONCEPTO mx]],Tabla2[#All],2,0)),"")</f>
        <v/>
      </c>
      <c r="G1235" s="49" t="str">
        <f>IFERROR(IF(Tabla1[[#This Row],[CONCEPTO mx]]="","",VLOOKUP(Tabla1[[#This Row],[CONCEPTO mx]],Tabla2[#All],3,0)),"")</f>
        <v/>
      </c>
      <c r="H1235" s="49" t="s">
        <v>406</v>
      </c>
      <c r="I1235" s="49" t="s">
        <v>2298</v>
      </c>
      <c r="J1235" s="49" t="s">
        <v>2865</v>
      </c>
    </row>
    <row r="1236" spans="1:11" x14ac:dyDescent="0.25">
      <c r="A1236" s="51">
        <v>43488</v>
      </c>
      <c r="C1236" s="52" t="s">
        <v>3080</v>
      </c>
      <c r="D1236" s="49" t="s">
        <v>51</v>
      </c>
      <c r="E1236" s="49" t="s">
        <v>3248</v>
      </c>
      <c r="F1236" s="49" t="str">
        <f>IFERROR(IF(Tabla1[[#This Row],[CONCEPTO mx]]="","",VLOOKUP(Tabla1[[#This Row],[CONCEPTO mx]],Tabla2[#All],2,0)),"")</f>
        <v>CM1</v>
      </c>
      <c r="G1236" s="49" t="str">
        <f>IFERROR(IF(Tabla1[[#This Row],[CONCEPTO mx]]="","",VLOOKUP(Tabla1[[#This Row],[CONCEPTO mx]],Tabla2[#All],3,0)),"")</f>
        <v>Gestión Humana</v>
      </c>
      <c r="H1236" s="49" t="s">
        <v>486</v>
      </c>
      <c r="I1236" s="49" t="s">
        <v>2298</v>
      </c>
      <c r="J1236" s="52" t="s">
        <v>3081</v>
      </c>
    </row>
    <row r="1237" spans="1:11" x14ac:dyDescent="0.25">
      <c r="A1237" s="51">
        <v>43488</v>
      </c>
      <c r="C1237" s="52" t="s">
        <v>3069</v>
      </c>
      <c r="D1237" s="70" t="s">
        <v>3070</v>
      </c>
      <c r="F1237" s="49" t="str">
        <f>IFERROR(IF(Tabla1[[#This Row],[CONCEPTO mx]]="","",VLOOKUP(Tabla1[[#This Row],[CONCEPTO mx]],Tabla2[#All],2,0)),"")</f>
        <v/>
      </c>
      <c r="G1237" s="49" t="str">
        <f>IFERROR(IF(Tabla1[[#This Row],[CONCEPTO mx]]="","",VLOOKUP(Tabla1[[#This Row],[CONCEPTO mx]],Tabla2[#All],3,0)),"")</f>
        <v/>
      </c>
      <c r="H1237" s="49" t="s">
        <v>486</v>
      </c>
      <c r="I1237" s="49" t="s">
        <v>2298</v>
      </c>
      <c r="J1237" s="52" t="s">
        <v>3071</v>
      </c>
    </row>
    <row r="1238" spans="1:11" x14ac:dyDescent="0.25">
      <c r="A1238" s="51">
        <v>43488</v>
      </c>
      <c r="C1238" s="52" t="s">
        <v>3075</v>
      </c>
      <c r="D1238" s="49" t="s">
        <v>51</v>
      </c>
      <c r="E1238" s="49" t="s">
        <v>3248</v>
      </c>
      <c r="F1238" s="49" t="str">
        <f>IFERROR(IF(Tabla1[[#This Row],[CONCEPTO mx]]="","",VLOOKUP(Tabla1[[#This Row],[CONCEPTO mx]],Tabla2[#All],2,0)),"")</f>
        <v>CM1</v>
      </c>
      <c r="G1238" s="49" t="str">
        <f>IFERROR(IF(Tabla1[[#This Row],[CONCEPTO mx]]="","",VLOOKUP(Tabla1[[#This Row],[CONCEPTO mx]],Tabla2[#All],3,0)),"")</f>
        <v>Gestión Humana</v>
      </c>
      <c r="H1238" s="49" t="s">
        <v>438</v>
      </c>
      <c r="I1238" s="49" t="s">
        <v>2298</v>
      </c>
      <c r="J1238" s="49" t="s">
        <v>2999</v>
      </c>
    </row>
    <row r="1239" spans="1:11" x14ac:dyDescent="0.25">
      <c r="A1239" s="51">
        <v>43488</v>
      </c>
      <c r="C1239" s="52" t="s">
        <v>3089</v>
      </c>
      <c r="D1239" s="70" t="s">
        <v>3090</v>
      </c>
      <c r="F1239" s="49" t="str">
        <f>IFERROR(IF(Tabla1[[#This Row],[CONCEPTO mx]]="","",VLOOKUP(Tabla1[[#This Row],[CONCEPTO mx]],Tabla2[#All],2,0)),"")</f>
        <v/>
      </c>
      <c r="G1239" s="49" t="str">
        <f>IFERROR(IF(Tabla1[[#This Row],[CONCEPTO mx]]="","",VLOOKUP(Tabla1[[#This Row],[CONCEPTO mx]],Tabla2[#All],3,0)),"")</f>
        <v/>
      </c>
      <c r="H1239" s="49" t="s">
        <v>406</v>
      </c>
      <c r="I1239" s="49" t="s">
        <v>2298</v>
      </c>
      <c r="J1239" s="52" t="s">
        <v>3091</v>
      </c>
    </row>
    <row r="1240" spans="1:11" x14ac:dyDescent="0.25">
      <c r="A1240" s="51">
        <v>43488</v>
      </c>
      <c r="C1240" s="52" t="s">
        <v>3064</v>
      </c>
      <c r="D1240" s="70" t="s">
        <v>3066</v>
      </c>
      <c r="F1240" s="49" t="str">
        <f>IFERROR(IF(Tabla1[[#This Row],[CONCEPTO mx]]="","",VLOOKUP(Tabla1[[#This Row],[CONCEPTO mx]],Tabla2[#All],2,0)),"")</f>
        <v/>
      </c>
      <c r="G1240" s="49" t="str">
        <f>IFERROR(IF(Tabla1[[#This Row],[CONCEPTO mx]]="","",VLOOKUP(Tabla1[[#This Row],[CONCEPTO mx]],Tabla2[#All],3,0)),"")</f>
        <v/>
      </c>
      <c r="H1240" s="49" t="s">
        <v>486</v>
      </c>
      <c r="I1240" s="49" t="s">
        <v>2298</v>
      </c>
      <c r="J1240" s="52" t="s">
        <v>3065</v>
      </c>
    </row>
    <row r="1241" spans="1:11" x14ac:dyDescent="0.25">
      <c r="A1241" s="51">
        <v>43488</v>
      </c>
      <c r="C1241" s="52" t="s">
        <v>1390</v>
      </c>
      <c r="D1241" s="49" t="s">
        <v>51</v>
      </c>
      <c r="E1241" s="49" t="s">
        <v>3248</v>
      </c>
      <c r="F1241" s="49" t="str">
        <f>IFERROR(IF(Tabla1[[#This Row],[CONCEPTO mx]]="","",VLOOKUP(Tabla1[[#This Row],[CONCEPTO mx]],Tabla2[#All],2,0)),"")</f>
        <v>CM1</v>
      </c>
      <c r="G1241" s="49" t="str">
        <f>IFERROR(IF(Tabla1[[#This Row],[CONCEPTO mx]]="","",VLOOKUP(Tabla1[[#This Row],[CONCEPTO mx]],Tabla2[#All],3,0)),"")</f>
        <v>Gestión Humana</v>
      </c>
      <c r="H1241" s="49" t="s">
        <v>2393</v>
      </c>
      <c r="I1241" s="49" t="s">
        <v>3392</v>
      </c>
      <c r="J1241" s="49" t="s">
        <v>2328</v>
      </c>
    </row>
    <row r="1242" spans="1:11" x14ac:dyDescent="0.25">
      <c r="A1242" s="51">
        <v>43488</v>
      </c>
      <c r="C1242" s="52" t="s">
        <v>3097</v>
      </c>
      <c r="D1242" s="70" t="s">
        <v>3083</v>
      </c>
      <c r="F1242" s="49" t="str">
        <f>IFERROR(IF(Tabla1[[#This Row],[CONCEPTO mx]]="","",VLOOKUP(Tabla1[[#This Row],[CONCEPTO mx]],Tabla2[#All],2,0)),"")</f>
        <v/>
      </c>
      <c r="G1242" s="49" t="str">
        <f>IFERROR(IF(Tabla1[[#This Row],[CONCEPTO mx]]="","",VLOOKUP(Tabla1[[#This Row],[CONCEPTO mx]],Tabla2[#All],3,0)),"")</f>
        <v/>
      </c>
      <c r="H1242" s="49" t="s">
        <v>388</v>
      </c>
      <c r="I1242" s="49" t="s">
        <v>2298</v>
      </c>
      <c r="J1242" s="52" t="s">
        <v>3084</v>
      </c>
    </row>
    <row r="1243" spans="1:11" x14ac:dyDescent="0.25">
      <c r="A1243" s="51">
        <v>43488</v>
      </c>
      <c r="C1243" s="52" t="s">
        <v>3077</v>
      </c>
      <c r="D1243" s="49" t="s">
        <v>51</v>
      </c>
      <c r="E1243" s="49" t="s">
        <v>3248</v>
      </c>
      <c r="F1243" s="49" t="str">
        <f>IFERROR(IF(Tabla1[[#This Row],[CONCEPTO mx]]="","",VLOOKUP(Tabla1[[#This Row],[CONCEPTO mx]],Tabla2[#All],2,0)),"")</f>
        <v>CM1</v>
      </c>
      <c r="G1243" s="49" t="str">
        <f>IFERROR(IF(Tabla1[[#This Row],[CONCEPTO mx]]="","",VLOOKUP(Tabla1[[#This Row],[CONCEPTO mx]],Tabla2[#All],3,0)),"")</f>
        <v>Gestión Humana</v>
      </c>
      <c r="H1243" s="49" t="s">
        <v>628</v>
      </c>
      <c r="I1243" s="49" t="s">
        <v>2298</v>
      </c>
      <c r="J1243" s="52" t="s">
        <v>3076</v>
      </c>
    </row>
    <row r="1244" spans="1:11" x14ac:dyDescent="0.25">
      <c r="A1244" s="51">
        <v>43488</v>
      </c>
      <c r="C1244" s="52" t="s">
        <v>3085</v>
      </c>
      <c r="D1244" s="70" t="s">
        <v>3086</v>
      </c>
      <c r="F1244" s="49" t="str">
        <f>IFERROR(IF(Tabla1[[#This Row],[CONCEPTO mx]]="","",VLOOKUP(Tabla1[[#This Row],[CONCEPTO mx]],Tabla2[#All],2,0)),"")</f>
        <v/>
      </c>
      <c r="G1244" s="49" t="str">
        <f>IFERROR(IF(Tabla1[[#This Row],[CONCEPTO mx]]="","",VLOOKUP(Tabla1[[#This Row],[CONCEPTO mx]],Tabla2[#All],3,0)),"")</f>
        <v/>
      </c>
      <c r="H1244" s="49" t="s">
        <v>406</v>
      </c>
      <c r="I1244" s="49" t="s">
        <v>2298</v>
      </c>
      <c r="J1244" s="52" t="s">
        <v>3087</v>
      </c>
    </row>
    <row r="1245" spans="1:11" x14ac:dyDescent="0.25">
      <c r="A1245" s="51">
        <v>43488</v>
      </c>
      <c r="C1245" s="52" t="s">
        <v>2948</v>
      </c>
      <c r="D1245" s="70" t="s">
        <v>3067</v>
      </c>
      <c r="F1245" s="49" t="str">
        <f>IFERROR(IF(Tabla1[[#This Row],[CONCEPTO mx]]="","",VLOOKUP(Tabla1[[#This Row],[CONCEPTO mx]],Tabla2[#All],2,0)),"")</f>
        <v/>
      </c>
      <c r="G1245" s="49" t="str">
        <f>IFERROR(IF(Tabla1[[#This Row],[CONCEPTO mx]]="","",VLOOKUP(Tabla1[[#This Row],[CONCEPTO mx]],Tabla2[#All],3,0)),"")</f>
        <v/>
      </c>
      <c r="H1245" s="49" t="s">
        <v>486</v>
      </c>
      <c r="I1245" s="49" t="s">
        <v>2298</v>
      </c>
      <c r="J1245" s="52" t="s">
        <v>3068</v>
      </c>
      <c r="K1245" s="51">
        <v>43482</v>
      </c>
    </row>
    <row r="1246" spans="1:11" x14ac:dyDescent="0.25">
      <c r="A1246" s="51">
        <v>43488</v>
      </c>
      <c r="C1246" s="52" t="s">
        <v>3072</v>
      </c>
      <c r="D1246" s="70" t="s">
        <v>3074</v>
      </c>
      <c r="F1246" s="49" t="str">
        <f>IFERROR(IF(Tabla1[[#This Row],[CONCEPTO mx]]="","",VLOOKUP(Tabla1[[#This Row],[CONCEPTO mx]],Tabla2[#All],2,0)),"")</f>
        <v/>
      </c>
      <c r="G1246" s="49" t="str">
        <f>IFERROR(IF(Tabla1[[#This Row],[CONCEPTO mx]]="","",VLOOKUP(Tabla1[[#This Row],[CONCEPTO mx]],Tabla2[#All],3,0)),"")</f>
        <v/>
      </c>
      <c r="H1246" s="49" t="s">
        <v>438</v>
      </c>
      <c r="I1246" s="49" t="s">
        <v>2298</v>
      </c>
      <c r="J1246" s="52" t="s">
        <v>3073</v>
      </c>
    </row>
    <row r="1247" spans="1:11" x14ac:dyDescent="0.25">
      <c r="A1247" s="51">
        <v>43493</v>
      </c>
      <c r="C1247" s="52" t="s">
        <v>3110</v>
      </c>
      <c r="D1247" s="49" t="s">
        <v>51</v>
      </c>
      <c r="E1247" s="49" t="s">
        <v>3248</v>
      </c>
      <c r="F1247" s="49" t="str">
        <f>IFERROR(IF(Tabla1[[#This Row],[CONCEPTO mx]]="","",VLOOKUP(Tabla1[[#This Row],[CONCEPTO mx]],Tabla2[#All],2,0)),"")</f>
        <v>CM1</v>
      </c>
      <c r="G1247" s="49" t="str">
        <f>IFERROR(IF(Tabla1[[#This Row],[CONCEPTO mx]]="","",VLOOKUP(Tabla1[[#This Row],[CONCEPTO mx]],Tabla2[#All],3,0)),"")</f>
        <v>Gestión Humana</v>
      </c>
      <c r="H1247" s="49" t="s">
        <v>2394</v>
      </c>
      <c r="I1247" s="49" t="s">
        <v>2298</v>
      </c>
      <c r="J1247" s="52" t="s">
        <v>3109</v>
      </c>
    </row>
    <row r="1248" spans="1:11" x14ac:dyDescent="0.25">
      <c r="A1248" s="51">
        <v>43493</v>
      </c>
      <c r="C1248" s="52" t="s">
        <v>4263</v>
      </c>
      <c r="D1248" s="54" t="s">
        <v>51</v>
      </c>
      <c r="E1248" s="52" t="s">
        <v>3249</v>
      </c>
      <c r="F1248" s="52" t="str">
        <f>IFERROR(IF(Tabla1[[#This Row],[CONCEPTO mx]]="","",VLOOKUP(Tabla1[[#This Row],[CONCEPTO mx]],Tabla2[#All],2,0)),"")</f>
        <v>CM3</v>
      </c>
      <c r="G1248" s="52" t="str">
        <f>IFERROR(IF(Tabla1[[#This Row],[CONCEPTO mx]]="","",VLOOKUP(Tabla1[[#This Row],[CONCEPTO mx]],Tabla2[#All],3,0)),"")</f>
        <v>SST</v>
      </c>
      <c r="H1248" s="49" t="s">
        <v>334</v>
      </c>
      <c r="I1248" s="49" t="s">
        <v>2298</v>
      </c>
      <c r="J1248" s="52" t="s">
        <v>3130</v>
      </c>
    </row>
    <row r="1249" spans="1:12" x14ac:dyDescent="0.25">
      <c r="A1249" s="51">
        <v>43493</v>
      </c>
      <c r="C1249" s="52" t="s">
        <v>3113</v>
      </c>
      <c r="D1249" s="49" t="s">
        <v>2273</v>
      </c>
      <c r="E1249" s="52" t="s">
        <v>3114</v>
      </c>
      <c r="F1249" s="52" t="str">
        <f>IFERROR(IF(Tabla1[[#This Row],[CONCEPTO mx]]="","",VLOOKUP(Tabla1[[#This Row],[CONCEPTO mx]],Tabla2[#All],2,0)),"")</f>
        <v/>
      </c>
      <c r="G1249" s="52" t="str">
        <f>IFERROR(IF(Tabla1[[#This Row],[CONCEPTO mx]]="","",VLOOKUP(Tabla1[[#This Row],[CONCEPTO mx]],Tabla2[#All],3,0)),"")</f>
        <v/>
      </c>
      <c r="H1249" s="49" t="s">
        <v>343</v>
      </c>
      <c r="I1249" s="49" t="s">
        <v>3392</v>
      </c>
      <c r="J1249" s="49" t="s">
        <v>3243</v>
      </c>
    </row>
    <row r="1250" spans="1:12" x14ac:dyDescent="0.25">
      <c r="A1250" s="51">
        <v>43493</v>
      </c>
      <c r="C1250" s="72" t="s">
        <v>3158</v>
      </c>
      <c r="D1250" s="49" t="s">
        <v>51</v>
      </c>
      <c r="E1250" s="49" t="s">
        <v>3248</v>
      </c>
      <c r="F1250" s="49" t="str">
        <f>IFERROR(IF(Tabla1[[#This Row],[CONCEPTO mx]]="","",VLOOKUP(Tabla1[[#This Row],[CONCEPTO mx]],Tabla2[#All],2,0)),"")</f>
        <v>CM1</v>
      </c>
      <c r="G1250" s="49" t="str">
        <f>IFERROR(IF(Tabla1[[#This Row],[CONCEPTO mx]]="","",VLOOKUP(Tabla1[[#This Row],[CONCEPTO mx]],Tabla2[#All],3,0)),"")</f>
        <v>Gestión Humana</v>
      </c>
      <c r="H1250" s="49" t="s">
        <v>438</v>
      </c>
      <c r="I1250" s="49" t="s">
        <v>2298</v>
      </c>
      <c r="J1250" s="52" t="s">
        <v>3161</v>
      </c>
      <c r="K1250" s="51">
        <v>43152</v>
      </c>
    </row>
    <row r="1251" spans="1:12" x14ac:dyDescent="0.25">
      <c r="A1251" s="51">
        <v>43493</v>
      </c>
      <c r="C1251" s="52" t="s">
        <v>1014</v>
      </c>
      <c r="D1251" s="54" t="s">
        <v>51</v>
      </c>
      <c r="E1251" s="52" t="s">
        <v>3249</v>
      </c>
      <c r="F1251" s="52" t="str">
        <f>IFERROR(IF(Tabla1[[#This Row],[CONCEPTO mx]]="","",VLOOKUP(Tabla1[[#This Row],[CONCEPTO mx]],Tabla2[#All],2,0)),"")</f>
        <v>CM3</v>
      </c>
      <c r="G1251" s="52" t="str">
        <f>IFERROR(IF(Tabla1[[#This Row],[CONCEPTO mx]]="","",VLOOKUP(Tabla1[[#This Row],[CONCEPTO mx]],Tabla2[#All],3,0)),"")</f>
        <v>SST</v>
      </c>
      <c r="H1251" s="49" t="s">
        <v>387</v>
      </c>
      <c r="I1251" s="49" t="s">
        <v>2298</v>
      </c>
      <c r="J1251" s="52" t="s">
        <v>3108</v>
      </c>
    </row>
    <row r="1252" spans="1:12" x14ac:dyDescent="0.25">
      <c r="A1252" s="51">
        <v>43493</v>
      </c>
      <c r="C1252" s="52" t="s">
        <v>3150</v>
      </c>
      <c r="D1252" s="70" t="s">
        <v>2404</v>
      </c>
      <c r="E1252" s="52" t="s">
        <v>3169</v>
      </c>
      <c r="F1252" s="52" t="str">
        <f>IFERROR(IF(Tabla1[[#This Row],[CONCEPTO mx]]="","",VLOOKUP(Tabla1[[#This Row],[CONCEPTO mx]],Tabla2[#All],2,0)),"")</f>
        <v/>
      </c>
      <c r="G1252" s="52" t="str">
        <f>IFERROR(IF(Tabla1[[#This Row],[CONCEPTO mx]]="","",VLOOKUP(Tabla1[[#This Row],[CONCEPTO mx]],Tabla2[#All],3,0)),"")</f>
        <v/>
      </c>
      <c r="H1252" s="49" t="s">
        <v>438</v>
      </c>
      <c r="I1252" s="49" t="s">
        <v>2298</v>
      </c>
      <c r="J1252" s="52" t="s">
        <v>3151</v>
      </c>
    </row>
    <row r="1253" spans="1:12" x14ac:dyDescent="0.25">
      <c r="A1253" s="51">
        <v>43493</v>
      </c>
      <c r="C1253" s="52" t="s">
        <v>3094</v>
      </c>
      <c r="D1253" s="70" t="s">
        <v>3024</v>
      </c>
      <c r="E1253" s="52" t="s">
        <v>3096</v>
      </c>
      <c r="F1253" s="52" t="str">
        <f>IFERROR(IF(Tabla1[[#This Row],[CONCEPTO mx]]="","",VLOOKUP(Tabla1[[#This Row],[CONCEPTO mx]],Tabla2[#All],2,0)),"")</f>
        <v/>
      </c>
      <c r="G1253" s="52" t="str">
        <f>IFERROR(IF(Tabla1[[#This Row],[CONCEPTO mx]]="","",VLOOKUP(Tabla1[[#This Row],[CONCEPTO mx]],Tabla2[#All],3,0)),"")</f>
        <v/>
      </c>
      <c r="H1253" s="49" t="s">
        <v>439</v>
      </c>
      <c r="I1253" s="49" t="s">
        <v>2298</v>
      </c>
      <c r="J1253" s="52" t="s">
        <v>3095</v>
      </c>
    </row>
    <row r="1254" spans="1:12" x14ac:dyDescent="0.25">
      <c r="A1254" s="51">
        <v>43493</v>
      </c>
      <c r="C1254" s="52" t="s">
        <v>3094</v>
      </c>
      <c r="D1254" s="70" t="s">
        <v>2404</v>
      </c>
      <c r="E1254" s="52" t="s">
        <v>2624</v>
      </c>
      <c r="F1254" s="52" t="str">
        <f>IFERROR(IF(Tabla1[[#This Row],[CONCEPTO mx]]="","",VLOOKUP(Tabla1[[#This Row],[CONCEPTO mx]],Tabla2[#All],2,0)),"")</f>
        <v/>
      </c>
      <c r="G1254" s="52" t="str">
        <f>IFERROR(IF(Tabla1[[#This Row],[CONCEPTO mx]]="","",VLOOKUP(Tabla1[[#This Row],[CONCEPTO mx]],Tabla2[#All],3,0)),"")</f>
        <v/>
      </c>
      <c r="H1254" s="49" t="s">
        <v>439</v>
      </c>
      <c r="I1254" s="49" t="s">
        <v>2298</v>
      </c>
      <c r="J1254" s="52" t="s">
        <v>3095</v>
      </c>
    </row>
    <row r="1255" spans="1:12" x14ac:dyDescent="0.25">
      <c r="A1255" s="51">
        <v>43493</v>
      </c>
      <c r="C1255" s="52" t="s">
        <v>1838</v>
      </c>
      <c r="D1255" s="67"/>
      <c r="E1255" s="49" t="s">
        <v>2355</v>
      </c>
      <c r="F1255" s="49" t="str">
        <f>IFERROR(IF(Tabla1[[#This Row],[CONCEPTO mx]]="","",VLOOKUP(Tabla1[[#This Row],[CONCEPTO mx]],Tabla2[#All],2,0)),"")</f>
        <v>CM13</v>
      </c>
      <c r="G1255" s="49" t="str">
        <f>IFERROR(IF(Tabla1[[#This Row],[CONCEPTO mx]]="","",VLOOKUP(Tabla1[[#This Row],[CONCEPTO mx]],Tabla2[#All],3,0)),"")</f>
        <v>Gestión Humana</v>
      </c>
      <c r="H1255" s="49" t="s">
        <v>438</v>
      </c>
      <c r="I1255" s="49" t="s">
        <v>2298</v>
      </c>
      <c r="J1255" s="52" t="s">
        <v>3163</v>
      </c>
    </row>
    <row r="1256" spans="1:12" x14ac:dyDescent="0.25">
      <c r="A1256" s="51">
        <v>43493</v>
      </c>
      <c r="C1256" s="52" t="s">
        <v>3125</v>
      </c>
      <c r="D1256" s="70" t="s">
        <v>2404</v>
      </c>
      <c r="E1256" s="52" t="s">
        <v>3126</v>
      </c>
      <c r="F1256" s="52" t="str">
        <f>IFERROR(IF(Tabla1[[#This Row],[CONCEPTO mx]]="","",VLOOKUP(Tabla1[[#This Row],[CONCEPTO mx]],Tabla2[#All],2,0)),"")</f>
        <v/>
      </c>
      <c r="G1256" s="52" t="str">
        <f>IFERROR(IF(Tabla1[[#This Row],[CONCEPTO mx]]="","",VLOOKUP(Tabla1[[#This Row],[CONCEPTO mx]],Tabla2[#All],3,0)),"")</f>
        <v/>
      </c>
      <c r="H1256" s="49" t="s">
        <v>439</v>
      </c>
      <c r="I1256" s="49" t="s">
        <v>2298</v>
      </c>
      <c r="J1256" s="52" t="s">
        <v>3124</v>
      </c>
    </row>
    <row r="1257" spans="1:12" x14ac:dyDescent="0.25">
      <c r="A1257" s="51">
        <v>43493</v>
      </c>
      <c r="C1257" s="52" t="s">
        <v>3121</v>
      </c>
      <c r="D1257" s="49" t="s">
        <v>51</v>
      </c>
      <c r="E1257" s="49" t="s">
        <v>3248</v>
      </c>
      <c r="F1257" s="49" t="str">
        <f>IFERROR(IF(Tabla1[[#This Row],[CONCEPTO mx]]="","",VLOOKUP(Tabla1[[#This Row],[CONCEPTO mx]],Tabla2[#All],2,0)),"")</f>
        <v>CM1</v>
      </c>
      <c r="G1257" s="49" t="str">
        <f>IFERROR(IF(Tabla1[[#This Row],[CONCEPTO mx]]="","",VLOOKUP(Tabla1[[#This Row],[CONCEPTO mx]],Tabla2[#All],3,0)),"")</f>
        <v>Gestión Humana</v>
      </c>
      <c r="H1257" s="49" t="s">
        <v>388</v>
      </c>
      <c r="I1257" s="49" t="s">
        <v>2298</v>
      </c>
      <c r="J1257" s="52" t="s">
        <v>3120</v>
      </c>
    </row>
    <row r="1258" spans="1:12" x14ac:dyDescent="0.25">
      <c r="A1258" s="51">
        <v>43493</v>
      </c>
      <c r="C1258" s="52" t="s">
        <v>3103</v>
      </c>
      <c r="D1258" s="49" t="s">
        <v>2273</v>
      </c>
      <c r="E1258" s="52" t="s">
        <v>2506</v>
      </c>
      <c r="F1258" s="52" t="str">
        <f>IFERROR(IF(Tabla1[[#This Row],[CONCEPTO mx]]="","",VLOOKUP(Tabla1[[#This Row],[CONCEPTO mx]],Tabla2[#All],2,0)),"")</f>
        <v/>
      </c>
      <c r="G1258" s="52" t="str">
        <f>IFERROR(IF(Tabla1[[#This Row],[CONCEPTO mx]]="","",VLOOKUP(Tabla1[[#This Row],[CONCEPTO mx]],Tabla2[#All],3,0)),"")</f>
        <v/>
      </c>
      <c r="H1258" s="49" t="s">
        <v>2394</v>
      </c>
      <c r="I1258" s="49" t="s">
        <v>2298</v>
      </c>
      <c r="J1258" s="49" t="s">
        <v>2845</v>
      </c>
    </row>
    <row r="1259" spans="1:12" x14ac:dyDescent="0.25">
      <c r="A1259" s="51">
        <v>43493</v>
      </c>
      <c r="C1259" s="52" t="s">
        <v>3141</v>
      </c>
      <c r="D1259" s="49" t="s">
        <v>2273</v>
      </c>
      <c r="E1259" s="52" t="s">
        <v>3140</v>
      </c>
      <c r="F1259" s="52" t="str">
        <f>IFERROR(IF(Tabla1[[#This Row],[CONCEPTO mx]]="","",VLOOKUP(Tabla1[[#This Row],[CONCEPTO mx]],Tabla2[#All],2,0)),"")</f>
        <v/>
      </c>
      <c r="G1259" s="52" t="str">
        <f>IFERROR(IF(Tabla1[[#This Row],[CONCEPTO mx]]="","",VLOOKUP(Tabla1[[#This Row],[CONCEPTO mx]],Tabla2[#All],3,0)),"")</f>
        <v/>
      </c>
      <c r="H1259" s="49" t="s">
        <v>438</v>
      </c>
      <c r="I1259" s="49" t="s">
        <v>2298</v>
      </c>
      <c r="J1259" s="49" t="s">
        <v>2845</v>
      </c>
    </row>
    <row r="1260" spans="1:12" x14ac:dyDescent="0.25">
      <c r="A1260" s="51">
        <v>43493</v>
      </c>
      <c r="C1260" s="52" t="s">
        <v>3107</v>
      </c>
      <c r="D1260" s="70" t="s">
        <v>3105</v>
      </c>
      <c r="E1260" s="49" t="s">
        <v>2597</v>
      </c>
      <c r="F1260" s="49" t="str">
        <f>IFERROR(IF(Tabla1[[#This Row],[CONCEPTO mx]]="","",VLOOKUP(Tabla1[[#This Row],[CONCEPTO mx]],Tabla2[#All],2,0)),"")</f>
        <v/>
      </c>
      <c r="G1260" s="49" t="str">
        <f>IFERROR(IF(Tabla1[[#This Row],[CONCEPTO mx]]="","",VLOOKUP(Tabla1[[#This Row],[CONCEPTO mx]],Tabla2[#All],3,0)),"")</f>
        <v/>
      </c>
      <c r="H1260" s="49" t="s">
        <v>2576</v>
      </c>
      <c r="I1260" s="49" t="s">
        <v>3392</v>
      </c>
      <c r="J1260" s="49" t="s">
        <v>2318</v>
      </c>
    </row>
    <row r="1261" spans="1:12" x14ac:dyDescent="0.25">
      <c r="A1261" s="51">
        <v>43493</v>
      </c>
      <c r="C1261" s="52" t="s">
        <v>3064</v>
      </c>
      <c r="D1261" s="70" t="s">
        <v>2404</v>
      </c>
      <c r="E1261" s="52" t="s">
        <v>3102</v>
      </c>
      <c r="F1261" s="52" t="str">
        <f>IFERROR(IF(Tabla1[[#This Row],[CONCEPTO mx]]="","",VLOOKUP(Tabla1[[#This Row],[CONCEPTO mx]],Tabla2[#All],2,0)),"")</f>
        <v/>
      </c>
      <c r="G1261" s="52" t="str">
        <f>IFERROR(IF(Tabla1[[#This Row],[CONCEPTO mx]]="","",VLOOKUP(Tabla1[[#This Row],[CONCEPTO mx]],Tabla2[#All],3,0)),"")</f>
        <v/>
      </c>
      <c r="H1261" s="49" t="s">
        <v>486</v>
      </c>
      <c r="I1261" s="49" t="s">
        <v>2298</v>
      </c>
      <c r="J1261" s="52" t="s">
        <v>3065</v>
      </c>
    </row>
    <row r="1262" spans="1:12" x14ac:dyDescent="0.25">
      <c r="A1262" s="51">
        <v>43493</v>
      </c>
      <c r="C1262" s="52" t="s">
        <v>3137</v>
      </c>
      <c r="D1262" s="67"/>
      <c r="E1262" s="49" t="s">
        <v>2355</v>
      </c>
      <c r="F1262" s="49" t="str">
        <f>IFERROR(IF(Tabla1[[#This Row],[CONCEPTO mx]]="","",VLOOKUP(Tabla1[[#This Row],[CONCEPTO mx]],Tabla2[#All],2,0)),"")</f>
        <v>CM13</v>
      </c>
      <c r="G1262" s="49" t="str">
        <f>IFERROR(IF(Tabla1[[#This Row],[CONCEPTO mx]]="","",VLOOKUP(Tabla1[[#This Row],[CONCEPTO mx]],Tabla2[#All],3,0)),"")</f>
        <v>Gestión Humana</v>
      </c>
      <c r="H1262" s="49" t="s">
        <v>2394</v>
      </c>
      <c r="I1262" s="49" t="s">
        <v>2298</v>
      </c>
      <c r="J1262" s="52" t="s">
        <v>3136</v>
      </c>
    </row>
    <row r="1263" spans="1:12" x14ac:dyDescent="0.25">
      <c r="A1263" s="51">
        <v>43493</v>
      </c>
      <c r="C1263" s="52" t="s">
        <v>3116</v>
      </c>
      <c r="D1263" s="49" t="s">
        <v>51</v>
      </c>
      <c r="E1263" s="49" t="s">
        <v>3248</v>
      </c>
      <c r="F1263" s="49" t="str">
        <f>IFERROR(IF(Tabla1[[#This Row],[CONCEPTO mx]]="","",VLOOKUP(Tabla1[[#This Row],[CONCEPTO mx]],Tabla2[#All],2,0)),"")</f>
        <v>CM1</v>
      </c>
      <c r="G1263" s="49" t="str">
        <f>IFERROR(IF(Tabla1[[#This Row],[CONCEPTO mx]]="","",VLOOKUP(Tabla1[[#This Row],[CONCEPTO mx]],Tabla2[#All],3,0)),"")</f>
        <v>Gestión Humana</v>
      </c>
      <c r="H1263" s="49" t="s">
        <v>439</v>
      </c>
      <c r="I1263" s="49" t="s">
        <v>2298</v>
      </c>
      <c r="J1263" s="52" t="s">
        <v>3115</v>
      </c>
    </row>
    <row r="1264" spans="1:12" x14ac:dyDescent="0.25">
      <c r="A1264" s="51">
        <v>43493</v>
      </c>
      <c r="C1264" s="52" t="s">
        <v>3296</v>
      </c>
      <c r="D1264" s="54" t="s">
        <v>51</v>
      </c>
      <c r="E1264" s="52" t="s">
        <v>3315</v>
      </c>
      <c r="F1264" s="52" t="str">
        <f>IFERROR(IF(Tabla1[[#This Row],[CONCEPTO mx]]="","",VLOOKUP(Tabla1[[#This Row],[CONCEPTO mx]],Tabla2[#All],2,0)),"")</f>
        <v>CM40</v>
      </c>
      <c r="G1264" s="52" t="str">
        <f>IFERROR(IF(Tabla1[[#This Row],[CONCEPTO mx]]="","",VLOOKUP(Tabla1[[#This Row],[CONCEPTO mx]],Tabla2[#All],3,0)),"")</f>
        <v>SST</v>
      </c>
      <c r="H1264" s="49" t="s">
        <v>628</v>
      </c>
      <c r="I1264" s="49" t="s">
        <v>2298</v>
      </c>
      <c r="J1264" s="52" t="s">
        <v>3120</v>
      </c>
      <c r="L1264" s="49" t="s">
        <v>2401</v>
      </c>
    </row>
    <row r="1265" spans="1:12" x14ac:dyDescent="0.25">
      <c r="A1265" s="51">
        <v>43493</v>
      </c>
      <c r="C1265" s="52" t="s">
        <v>3132</v>
      </c>
      <c r="D1265" s="49" t="s">
        <v>2273</v>
      </c>
      <c r="E1265" s="52" t="s">
        <v>3133</v>
      </c>
      <c r="F1265" s="52" t="str">
        <f>IFERROR(IF(Tabla1[[#This Row],[CONCEPTO mx]]="","",VLOOKUP(Tabla1[[#This Row],[CONCEPTO mx]],Tabla2[#All],2,0)),"")</f>
        <v/>
      </c>
      <c r="G1265" s="52" t="str">
        <f>IFERROR(IF(Tabla1[[#This Row],[CONCEPTO mx]]="","",VLOOKUP(Tabla1[[#This Row],[CONCEPTO mx]],Tabla2[#All],3,0)),"")</f>
        <v/>
      </c>
      <c r="H1265" s="49" t="s">
        <v>470</v>
      </c>
      <c r="I1265" s="49" t="s">
        <v>2298</v>
      </c>
      <c r="J1265" s="52" t="s">
        <v>3131</v>
      </c>
    </row>
    <row r="1266" spans="1:12" x14ac:dyDescent="0.25">
      <c r="A1266" s="51">
        <v>43493</v>
      </c>
      <c r="C1266" s="52" t="s">
        <v>3100</v>
      </c>
      <c r="D1266" s="49" t="s">
        <v>51</v>
      </c>
      <c r="E1266" s="52" t="s">
        <v>2635</v>
      </c>
      <c r="F1266" s="52" t="str">
        <f>IFERROR(IF(Tabla1[[#This Row],[CONCEPTO mx]]="","",VLOOKUP(Tabla1[[#This Row],[CONCEPTO mx]],Tabla2[#All],2,0)),"")</f>
        <v>CM21</v>
      </c>
      <c r="G1266" s="52" t="str">
        <f>IFERROR(IF(Tabla1[[#This Row],[CONCEPTO mx]]="","",VLOOKUP(Tabla1[[#This Row],[CONCEPTO mx]],Tabla2[#All],3,0)),"")</f>
        <v>SST</v>
      </c>
      <c r="H1266" s="49" t="s">
        <v>334</v>
      </c>
      <c r="I1266" s="49" t="s">
        <v>2298</v>
      </c>
      <c r="J1266" s="52" t="s">
        <v>3101</v>
      </c>
      <c r="L1266" s="49" t="s">
        <v>3661</v>
      </c>
    </row>
    <row r="1267" spans="1:12" x14ac:dyDescent="0.25">
      <c r="A1267" s="51">
        <v>43493</v>
      </c>
      <c r="C1267" s="52" t="s">
        <v>3166</v>
      </c>
      <c r="D1267" s="49" t="s">
        <v>51</v>
      </c>
      <c r="E1267" s="49" t="s">
        <v>3248</v>
      </c>
      <c r="F1267" s="49" t="str">
        <f>IFERROR(IF(Tabla1[[#This Row],[CONCEPTO mx]]="","",VLOOKUP(Tabla1[[#This Row],[CONCEPTO mx]],Tabla2[#All],2,0)),"")</f>
        <v>CM1</v>
      </c>
      <c r="G1267" s="49" t="str">
        <f>IFERROR(IF(Tabla1[[#This Row],[CONCEPTO mx]]="","",VLOOKUP(Tabla1[[#This Row],[CONCEPTO mx]],Tabla2[#All],3,0)),"")</f>
        <v>Gestión Humana</v>
      </c>
      <c r="H1267" s="49" t="s">
        <v>439</v>
      </c>
      <c r="I1267" s="49" t="s">
        <v>2298</v>
      </c>
      <c r="J1267" s="52" t="s">
        <v>3167</v>
      </c>
    </row>
    <row r="1268" spans="1:12" x14ac:dyDescent="0.25">
      <c r="A1268" s="51">
        <v>43493</v>
      </c>
      <c r="C1268" s="52" t="s">
        <v>3111</v>
      </c>
      <c r="D1268" s="54" t="s">
        <v>51</v>
      </c>
      <c r="E1268" s="52" t="s">
        <v>3315</v>
      </c>
      <c r="F1268" s="52" t="str">
        <f>IFERROR(IF(Tabla1[[#This Row],[CONCEPTO mx]]="","",VLOOKUP(Tabla1[[#This Row],[CONCEPTO mx]],Tabla2[#All],2,0)),"")</f>
        <v>CM40</v>
      </c>
      <c r="G1268" s="52" t="str">
        <f>IFERROR(IF(Tabla1[[#This Row],[CONCEPTO mx]]="","",VLOOKUP(Tabla1[[#This Row],[CONCEPTO mx]],Tabla2[#All],3,0)),"")</f>
        <v>SST</v>
      </c>
      <c r="H1268" s="49" t="s">
        <v>406</v>
      </c>
      <c r="I1268" s="49" t="s">
        <v>2298</v>
      </c>
      <c r="J1268" s="52" t="s">
        <v>3063</v>
      </c>
      <c r="K1268" s="51">
        <v>43488</v>
      </c>
    </row>
    <row r="1269" spans="1:12" x14ac:dyDescent="0.25">
      <c r="A1269" s="51">
        <v>43493</v>
      </c>
      <c r="C1269" s="52" t="s">
        <v>3155</v>
      </c>
      <c r="D1269" s="70" t="s">
        <v>3105</v>
      </c>
      <c r="E1269" s="52" t="s">
        <v>2574</v>
      </c>
      <c r="F1269" s="52" t="str">
        <f>IFERROR(IF(Tabla1[[#This Row],[CONCEPTO mx]]="","",VLOOKUP(Tabla1[[#This Row],[CONCEPTO mx]],Tabla2[#All],2,0)),"")</f>
        <v/>
      </c>
      <c r="G1269" s="52" t="str">
        <f>IFERROR(IF(Tabla1[[#This Row],[CONCEPTO mx]]="","",VLOOKUP(Tabla1[[#This Row],[CONCEPTO mx]],Tabla2[#All],3,0)),"")</f>
        <v/>
      </c>
      <c r="H1269" s="49" t="s">
        <v>2576</v>
      </c>
      <c r="I1269" s="49" t="s">
        <v>3392</v>
      </c>
      <c r="J1269" s="49" t="s">
        <v>2328</v>
      </c>
    </row>
    <row r="1270" spans="1:12" x14ac:dyDescent="0.25">
      <c r="A1270" s="51">
        <v>43493</v>
      </c>
      <c r="C1270" s="52" t="s">
        <v>3145</v>
      </c>
      <c r="D1270" s="70" t="s">
        <v>2404</v>
      </c>
      <c r="E1270" s="52" t="s">
        <v>3168</v>
      </c>
      <c r="F1270" s="52" t="str">
        <f>IFERROR(IF(Tabla1[[#This Row],[CONCEPTO mx]]="","",VLOOKUP(Tabla1[[#This Row],[CONCEPTO mx]],Tabla2[#All],2,0)),"")</f>
        <v/>
      </c>
      <c r="G1270" s="52" t="str">
        <f>IFERROR(IF(Tabla1[[#This Row],[CONCEPTO mx]]="","",VLOOKUP(Tabla1[[#This Row],[CONCEPTO mx]],Tabla2[#All],3,0)),"")</f>
        <v/>
      </c>
      <c r="H1270" s="49" t="s">
        <v>438</v>
      </c>
      <c r="I1270" s="49" t="s">
        <v>2298</v>
      </c>
      <c r="J1270" s="52" t="s">
        <v>3146</v>
      </c>
    </row>
    <row r="1271" spans="1:12" x14ac:dyDescent="0.25">
      <c r="A1271" s="51">
        <v>43493</v>
      </c>
      <c r="C1271" s="52" t="s">
        <v>3106</v>
      </c>
      <c r="D1271" s="70" t="s">
        <v>3105</v>
      </c>
      <c r="E1271" s="49" t="s">
        <v>2597</v>
      </c>
      <c r="F1271" s="49" t="str">
        <f>IFERROR(IF(Tabla1[[#This Row],[CONCEPTO mx]]="","",VLOOKUP(Tabla1[[#This Row],[CONCEPTO mx]],Tabla2[#All],2,0)),"")</f>
        <v/>
      </c>
      <c r="G1271" s="49" t="str">
        <f>IFERROR(IF(Tabla1[[#This Row],[CONCEPTO mx]]="","",VLOOKUP(Tabla1[[#This Row],[CONCEPTO mx]],Tabla2[#All],3,0)),"")</f>
        <v/>
      </c>
      <c r="H1271" s="49" t="s">
        <v>439</v>
      </c>
      <c r="I1271" s="49" t="s">
        <v>2298</v>
      </c>
      <c r="J1271" s="52" t="s">
        <v>3104</v>
      </c>
    </row>
    <row r="1272" spans="1:12" x14ac:dyDescent="0.25">
      <c r="A1272" s="51">
        <v>43493</v>
      </c>
      <c r="C1272" s="52" t="s">
        <v>3159</v>
      </c>
      <c r="D1272" s="49" t="s">
        <v>2273</v>
      </c>
      <c r="E1272" s="52" t="s">
        <v>3160</v>
      </c>
      <c r="F1272" s="52" t="str">
        <f>IFERROR(IF(Tabla1[[#This Row],[CONCEPTO mx]]="","",VLOOKUP(Tabla1[[#This Row],[CONCEPTO mx]],Tabla2[#All],2,0)),"")</f>
        <v/>
      </c>
      <c r="G1272" s="52" t="str">
        <f>IFERROR(IF(Tabla1[[#This Row],[CONCEPTO mx]]="","",VLOOKUP(Tabla1[[#This Row],[CONCEPTO mx]],Tabla2[#All],3,0)),"")</f>
        <v/>
      </c>
      <c r="H1272" s="49" t="s">
        <v>438</v>
      </c>
      <c r="I1272" s="49" t="s">
        <v>2298</v>
      </c>
      <c r="J1272" s="52" t="s">
        <v>3162</v>
      </c>
    </row>
    <row r="1273" spans="1:12" x14ac:dyDescent="0.25">
      <c r="A1273" s="51">
        <v>43493</v>
      </c>
      <c r="C1273" s="52" t="s">
        <v>3153</v>
      </c>
      <c r="D1273" s="49" t="s">
        <v>2273</v>
      </c>
      <c r="E1273" s="52" t="s">
        <v>3154</v>
      </c>
      <c r="F1273" s="52" t="str">
        <f>IFERROR(IF(Tabla1[[#This Row],[CONCEPTO mx]]="","",VLOOKUP(Tabla1[[#This Row],[CONCEPTO mx]],Tabla2[#All],2,0)),"")</f>
        <v/>
      </c>
      <c r="G1273" s="52" t="str">
        <f>IFERROR(IF(Tabla1[[#This Row],[CONCEPTO mx]]="","",VLOOKUP(Tabla1[[#This Row],[CONCEPTO mx]],Tabla2[#All],3,0)),"")</f>
        <v/>
      </c>
      <c r="H1273" s="49" t="s">
        <v>387</v>
      </c>
      <c r="I1273" s="49" t="s">
        <v>2298</v>
      </c>
      <c r="J1273" s="52" t="s">
        <v>3007</v>
      </c>
    </row>
    <row r="1274" spans="1:12" x14ac:dyDescent="0.25">
      <c r="A1274" s="51">
        <v>43493</v>
      </c>
      <c r="C1274" s="52" t="s">
        <v>3143</v>
      </c>
      <c r="D1274" s="49" t="s">
        <v>2273</v>
      </c>
      <c r="E1274" s="52" t="s">
        <v>3144</v>
      </c>
      <c r="F1274" s="52" t="str">
        <f>IFERROR(IF(Tabla1[[#This Row],[CONCEPTO mx]]="","",VLOOKUP(Tabla1[[#This Row],[CONCEPTO mx]],Tabla2[#All],2,0)),"")</f>
        <v/>
      </c>
      <c r="G1274" s="52" t="str">
        <f>IFERROR(IF(Tabla1[[#This Row],[CONCEPTO mx]]="","",VLOOKUP(Tabla1[[#This Row],[CONCEPTO mx]],Tabla2[#All],3,0)),"")</f>
        <v/>
      </c>
      <c r="H1274" s="49" t="s">
        <v>438</v>
      </c>
      <c r="I1274" s="49" t="s">
        <v>2298</v>
      </c>
      <c r="J1274" s="52" t="s">
        <v>3142</v>
      </c>
    </row>
    <row r="1275" spans="1:12" x14ac:dyDescent="0.25">
      <c r="A1275" s="51">
        <v>43493</v>
      </c>
      <c r="C1275" s="52" t="s">
        <v>3152</v>
      </c>
      <c r="D1275" s="49" t="s">
        <v>2273</v>
      </c>
      <c r="E1275" s="52" t="s">
        <v>3170</v>
      </c>
      <c r="F1275" s="52" t="str">
        <f>IFERROR(IF(Tabla1[[#This Row],[CONCEPTO mx]]="","",VLOOKUP(Tabla1[[#This Row],[CONCEPTO mx]],Tabla2[#All],2,0)),"")</f>
        <v/>
      </c>
      <c r="G1275" s="52" t="str">
        <f>IFERROR(IF(Tabla1[[#This Row],[CONCEPTO mx]]="","",VLOOKUP(Tabla1[[#This Row],[CONCEPTO mx]],Tabla2[#All],3,0)),"")</f>
        <v/>
      </c>
      <c r="H1275" s="49" t="s">
        <v>387</v>
      </c>
      <c r="I1275" s="49" t="s">
        <v>2298</v>
      </c>
      <c r="J1275" s="52" t="s">
        <v>2982</v>
      </c>
    </row>
    <row r="1276" spans="1:12" x14ac:dyDescent="0.25">
      <c r="A1276" s="51">
        <v>43493</v>
      </c>
      <c r="C1276" s="52" t="s">
        <v>3129</v>
      </c>
      <c r="D1276" s="49" t="s">
        <v>51</v>
      </c>
      <c r="E1276" s="52" t="s">
        <v>3248</v>
      </c>
      <c r="F1276" s="52" t="str">
        <f>IFERROR(IF(Tabla1[[#This Row],[CONCEPTO mx]]="","",VLOOKUP(Tabla1[[#This Row],[CONCEPTO mx]],Tabla2[#All],2,0)),"")</f>
        <v>CM1</v>
      </c>
      <c r="G1276" s="52" t="str">
        <f>IFERROR(IF(Tabla1[[#This Row],[CONCEPTO mx]]="","",VLOOKUP(Tabla1[[#This Row],[CONCEPTO mx]],Tabla2[#All],3,0)),"")</f>
        <v>Gestión Humana</v>
      </c>
      <c r="H1276" s="49" t="s">
        <v>334</v>
      </c>
      <c r="I1276" s="49" t="s">
        <v>2298</v>
      </c>
      <c r="J1276" s="52" t="s">
        <v>3128</v>
      </c>
    </row>
    <row r="1277" spans="1:12" x14ac:dyDescent="0.25">
      <c r="A1277" s="51">
        <v>43493</v>
      </c>
      <c r="C1277" s="52" t="s">
        <v>3138</v>
      </c>
      <c r="D1277" s="49" t="s">
        <v>51</v>
      </c>
      <c r="E1277" s="49" t="s">
        <v>3248</v>
      </c>
      <c r="F1277" s="49" t="str">
        <f>IFERROR(IF(Tabla1[[#This Row],[CONCEPTO mx]]="","",VLOOKUP(Tabla1[[#This Row],[CONCEPTO mx]],Tabla2[#All],2,0)),"")</f>
        <v>CM1</v>
      </c>
      <c r="G1277" s="49" t="str">
        <f>IFERROR(IF(Tabla1[[#This Row],[CONCEPTO mx]]="","",VLOOKUP(Tabla1[[#This Row],[CONCEPTO mx]],Tabla2[#All],3,0)),"")</f>
        <v>Gestión Humana</v>
      </c>
      <c r="H1277" s="49" t="s">
        <v>438</v>
      </c>
      <c r="I1277" s="49" t="s">
        <v>2298</v>
      </c>
      <c r="J1277" s="52" t="s">
        <v>1931</v>
      </c>
    </row>
    <row r="1278" spans="1:12" x14ac:dyDescent="0.25">
      <c r="A1278" s="51">
        <v>43493</v>
      </c>
      <c r="C1278" s="52" t="s">
        <v>3122</v>
      </c>
      <c r="D1278" s="67"/>
      <c r="E1278" s="49" t="s">
        <v>2355</v>
      </c>
      <c r="F1278" s="49" t="str">
        <f>IFERROR(IF(Tabla1[[#This Row],[CONCEPTO mx]]="","",VLOOKUP(Tabla1[[#This Row],[CONCEPTO mx]],Tabla2[#All],2,0)),"")</f>
        <v>CM13</v>
      </c>
      <c r="G1278" s="49" t="str">
        <f>IFERROR(IF(Tabla1[[#This Row],[CONCEPTO mx]]="","",VLOOKUP(Tabla1[[#This Row],[CONCEPTO mx]],Tabla2[#All],3,0)),"")</f>
        <v>Gestión Humana</v>
      </c>
      <c r="H1278" s="49" t="s">
        <v>470</v>
      </c>
      <c r="I1278" s="49" t="s">
        <v>2298</v>
      </c>
      <c r="J1278" s="52" t="s">
        <v>3123</v>
      </c>
    </row>
    <row r="1279" spans="1:12" x14ac:dyDescent="0.25">
      <c r="A1279" s="51">
        <v>43493</v>
      </c>
      <c r="C1279" s="52" t="s">
        <v>3165</v>
      </c>
      <c r="D1279" s="49" t="s">
        <v>51</v>
      </c>
      <c r="E1279" s="52" t="s">
        <v>3248</v>
      </c>
      <c r="F1279" s="52" t="str">
        <f>IFERROR(IF(Tabla1[[#This Row],[CONCEPTO mx]]="","",VLOOKUP(Tabla1[[#This Row],[CONCEPTO mx]],Tabla2[#All],2,0)),"")</f>
        <v>CM1</v>
      </c>
      <c r="G1279" s="52" t="str">
        <f>IFERROR(IF(Tabla1[[#This Row],[CONCEPTO mx]]="","",VLOOKUP(Tabla1[[#This Row],[CONCEPTO mx]],Tabla2[#All],3,0)),"")</f>
        <v>Gestión Humana</v>
      </c>
      <c r="H1279" s="49" t="s">
        <v>438</v>
      </c>
      <c r="I1279" s="49" t="s">
        <v>2298</v>
      </c>
      <c r="J1279" s="52" t="s">
        <v>3164</v>
      </c>
    </row>
    <row r="1280" spans="1:12" x14ac:dyDescent="0.25">
      <c r="A1280" s="51">
        <v>43493</v>
      </c>
      <c r="C1280" s="52" t="s">
        <v>3117</v>
      </c>
      <c r="D1280" s="49" t="s">
        <v>2273</v>
      </c>
      <c r="E1280" s="52" t="s">
        <v>3118</v>
      </c>
      <c r="F1280" s="52" t="str">
        <f>IFERROR(IF(Tabla1[[#This Row],[CONCEPTO mx]]="","",VLOOKUP(Tabla1[[#This Row],[CONCEPTO mx]],Tabla2[#All],2,0)),"")</f>
        <v/>
      </c>
      <c r="G1280" s="52" t="str">
        <f>IFERROR(IF(Tabla1[[#This Row],[CONCEPTO mx]]="","",VLOOKUP(Tabla1[[#This Row],[CONCEPTO mx]],Tabla2[#All],3,0)),"")</f>
        <v/>
      </c>
      <c r="H1280" s="49" t="s">
        <v>484</v>
      </c>
      <c r="I1280" s="49" t="s">
        <v>2298</v>
      </c>
      <c r="J1280" s="52" t="s">
        <v>1931</v>
      </c>
    </row>
    <row r="1281" spans="1:12" x14ac:dyDescent="0.25">
      <c r="A1281" s="51">
        <v>43493</v>
      </c>
      <c r="C1281" s="52" t="s">
        <v>3156</v>
      </c>
      <c r="D1281" s="49" t="s">
        <v>2273</v>
      </c>
      <c r="E1281" s="52" t="s">
        <v>3157</v>
      </c>
      <c r="F1281" s="52" t="str">
        <f>IFERROR(IF(Tabla1[[#This Row],[CONCEPTO mx]]="","",VLOOKUP(Tabla1[[#This Row],[CONCEPTO mx]],Tabla2[#All],2,0)),"")</f>
        <v/>
      </c>
      <c r="G1281" s="52" t="str">
        <f>IFERROR(IF(Tabla1[[#This Row],[CONCEPTO mx]]="","",VLOOKUP(Tabla1[[#This Row],[CONCEPTO mx]],Tabla2[#All],3,0)),"")</f>
        <v/>
      </c>
      <c r="H1281" s="49" t="s">
        <v>413</v>
      </c>
      <c r="I1281" s="49" t="s">
        <v>2298</v>
      </c>
      <c r="J1281" s="52" t="s">
        <v>3151</v>
      </c>
    </row>
    <row r="1282" spans="1:12" x14ac:dyDescent="0.25">
      <c r="A1282" s="51">
        <v>43493</v>
      </c>
      <c r="C1282" s="52" t="s">
        <v>3149</v>
      </c>
      <c r="D1282" s="49" t="s">
        <v>2273</v>
      </c>
      <c r="E1282" s="52" t="s">
        <v>3147</v>
      </c>
      <c r="F1282" s="52" t="str">
        <f>IFERROR(IF(Tabla1[[#This Row],[CONCEPTO mx]]="","",VLOOKUP(Tabla1[[#This Row],[CONCEPTO mx]],Tabla2[#All],2,0)),"")</f>
        <v/>
      </c>
      <c r="G1282" s="52" t="str">
        <f>IFERROR(IF(Tabla1[[#This Row],[CONCEPTO mx]]="","",VLOOKUP(Tabla1[[#This Row],[CONCEPTO mx]],Tabla2[#All],3,0)),"")</f>
        <v/>
      </c>
      <c r="H1282" s="49" t="s">
        <v>438</v>
      </c>
      <c r="I1282" s="49" t="s">
        <v>2298</v>
      </c>
      <c r="J1282" s="52" t="s">
        <v>3148</v>
      </c>
    </row>
    <row r="1283" spans="1:12" x14ac:dyDescent="0.25">
      <c r="A1283" s="51">
        <v>43494</v>
      </c>
      <c r="B1283" s="78">
        <v>1028018123</v>
      </c>
      <c r="C1283" s="59" t="s">
        <v>3242</v>
      </c>
      <c r="D1283" s="49" t="s">
        <v>51</v>
      </c>
      <c r="E1283" s="59" t="s">
        <v>3244</v>
      </c>
      <c r="F1283" s="76" t="str">
        <f>IFERROR(IF(Tabla1[[#This Row],[CONCEPTO mx]]="","",VLOOKUP(Tabla1[[#This Row],[CONCEPTO mx]],Tabla2[#All],2,0)),"")</f>
        <v>CM32</v>
      </c>
      <c r="G1283" s="76" t="str">
        <f>IFERROR(IF(Tabla1[[#This Row],[CONCEPTO mx]]="","",VLOOKUP(Tabla1[[#This Row],[CONCEPTO mx]],Tabla2[#All],3,0)),"")</f>
        <v>SST</v>
      </c>
      <c r="H1283" s="49" t="s">
        <v>2394</v>
      </c>
      <c r="I1283" s="49" t="s">
        <v>3392</v>
      </c>
      <c r="J1283" s="49" t="s">
        <v>3243</v>
      </c>
    </row>
    <row r="1284" spans="1:12" x14ac:dyDescent="0.25">
      <c r="A1284" s="51">
        <v>43494</v>
      </c>
      <c r="B1284" s="79">
        <v>1045505311</v>
      </c>
      <c r="C1284" s="59" t="s">
        <v>3251</v>
      </c>
      <c r="D1284" s="49" t="s">
        <v>180</v>
      </c>
      <c r="E1284" s="59" t="s">
        <v>3252</v>
      </c>
      <c r="F1284" s="76" t="str">
        <f>IFERROR(IF(Tabla1[[#This Row],[CONCEPTO mx]]="","",VLOOKUP(Tabla1[[#This Row],[CONCEPTO mx]],Tabla2[#All],2,0)),"")</f>
        <v/>
      </c>
      <c r="G1284" s="76" t="str">
        <f>IFERROR(IF(Tabla1[[#This Row],[CONCEPTO mx]]="","",VLOOKUP(Tabla1[[#This Row],[CONCEPTO mx]],Tabla2[#All],3,0)),"")</f>
        <v/>
      </c>
      <c r="H1284" s="49" t="s">
        <v>470</v>
      </c>
      <c r="I1284" s="49" t="s">
        <v>3392</v>
      </c>
      <c r="J1284" s="49" t="s">
        <v>3243</v>
      </c>
    </row>
    <row r="1285" spans="1:12" x14ac:dyDescent="0.25">
      <c r="A1285" s="80">
        <v>43495</v>
      </c>
      <c r="C1285" s="81" t="s">
        <v>3267</v>
      </c>
      <c r="D1285" s="49" t="s">
        <v>180</v>
      </c>
      <c r="E1285" s="59" t="s">
        <v>3193</v>
      </c>
      <c r="F1285" s="76" t="str">
        <f>IFERROR(IF(Tabla1[[#This Row],[CONCEPTO mx]]="","",VLOOKUP(Tabla1[[#This Row],[CONCEPTO mx]],Tabla2[#All],2,0)),"")</f>
        <v>CM30</v>
      </c>
      <c r="G1285" s="76" t="str">
        <f>IFERROR(IF(Tabla1[[#This Row],[CONCEPTO mx]]="","",VLOOKUP(Tabla1[[#This Row],[CONCEPTO mx]],Tabla2[#All],3,0)),"")</f>
        <v>SST</v>
      </c>
      <c r="H1285" s="49" t="s">
        <v>438</v>
      </c>
      <c r="I1285" s="49" t="s">
        <v>2298</v>
      </c>
      <c r="J1285" s="59" t="s">
        <v>3268</v>
      </c>
      <c r="L1285" s="49" t="s">
        <v>3269</v>
      </c>
    </row>
    <row r="1286" spans="1:12" x14ac:dyDescent="0.25">
      <c r="A1286" s="51">
        <v>43495</v>
      </c>
      <c r="C1286" s="59" t="s">
        <v>3297</v>
      </c>
      <c r="D1286" s="49" t="s">
        <v>180</v>
      </c>
      <c r="E1286" s="59" t="s">
        <v>3187</v>
      </c>
      <c r="F1286" s="76" t="str">
        <f>IFERROR(IF(Tabla1[[#This Row],[CONCEPTO mx]]="","",VLOOKUP(Tabla1[[#This Row],[CONCEPTO mx]],Tabla2[#All],2,0)),"")</f>
        <v>CM8</v>
      </c>
      <c r="G1286" s="76" t="str">
        <f>IFERROR(IF(Tabla1[[#This Row],[CONCEPTO mx]]="","",VLOOKUP(Tabla1[[#This Row],[CONCEPTO mx]],Tabla2[#All],3,0)),"")</f>
        <v>Gestión Humana</v>
      </c>
      <c r="H1286" s="49" t="s">
        <v>2394</v>
      </c>
      <c r="I1286" s="49" t="s">
        <v>2298</v>
      </c>
      <c r="J1286" s="59" t="s">
        <v>3254</v>
      </c>
      <c r="L1286" s="49" t="s">
        <v>3253</v>
      </c>
    </row>
    <row r="1287" spans="1:12" x14ac:dyDescent="0.25">
      <c r="A1287" s="51">
        <v>43495</v>
      </c>
      <c r="C1287" s="59" t="s">
        <v>3263</v>
      </c>
      <c r="E1287" s="49" t="s">
        <v>3264</v>
      </c>
      <c r="F1287" s="76" t="str">
        <f>IFERROR(IF(Tabla1[[#This Row],[CONCEPTO mx]]="","",VLOOKUP(Tabla1[[#This Row],[CONCEPTO mx]],Tabla2[#All],2,0)),"")</f>
        <v/>
      </c>
      <c r="G1287" s="76" t="str">
        <f>IFERROR(IF(Tabla1[[#This Row],[CONCEPTO mx]]="","",VLOOKUP(Tabla1[[#This Row],[CONCEPTO mx]],Tabla2[#All],3,0)),"")</f>
        <v/>
      </c>
      <c r="H1287" s="49" t="s">
        <v>438</v>
      </c>
      <c r="I1287" s="59" t="s">
        <v>3392</v>
      </c>
      <c r="J1287" s="49" t="s">
        <v>4467</v>
      </c>
    </row>
    <row r="1288" spans="1:12" x14ac:dyDescent="0.25">
      <c r="A1288" s="51">
        <v>43495</v>
      </c>
      <c r="C1288" s="59" t="s">
        <v>3270</v>
      </c>
      <c r="D1288" s="49" t="s">
        <v>51</v>
      </c>
      <c r="E1288" s="49" t="s">
        <v>3248</v>
      </c>
      <c r="F1288" s="76" t="str">
        <f>IFERROR(IF(Tabla1[[#This Row],[CONCEPTO mx]]="","",VLOOKUP(Tabla1[[#This Row],[CONCEPTO mx]],Tabla2[#All],2,0)),"")</f>
        <v>CM1</v>
      </c>
      <c r="G1288" s="76" t="str">
        <f>IFERROR(IF(Tabla1[[#This Row],[CONCEPTO mx]]="","",VLOOKUP(Tabla1[[#This Row],[CONCEPTO mx]],Tabla2[#All],3,0)),"")</f>
        <v>Gestión Humana</v>
      </c>
      <c r="H1288" s="49" t="s">
        <v>334</v>
      </c>
      <c r="I1288" s="49" t="s">
        <v>2298</v>
      </c>
      <c r="J1288" s="59" t="s">
        <v>3271</v>
      </c>
    </row>
    <row r="1289" spans="1:12" x14ac:dyDescent="0.25">
      <c r="A1289" s="51">
        <v>43495</v>
      </c>
      <c r="C1289" s="59" t="s">
        <v>3261</v>
      </c>
      <c r="D1289" s="49" t="s">
        <v>180</v>
      </c>
      <c r="E1289" s="59" t="s">
        <v>3262</v>
      </c>
      <c r="F1289" s="76" t="str">
        <f>IFERROR(IF(Tabla1[[#This Row],[CONCEPTO mx]]="","",VLOOKUP(Tabla1[[#This Row],[CONCEPTO mx]],Tabla2[#All],2,0)),"")</f>
        <v/>
      </c>
      <c r="G1289" s="76" t="str">
        <f>IFERROR(IF(Tabla1[[#This Row],[CONCEPTO mx]]="","",VLOOKUP(Tabla1[[#This Row],[CONCEPTO mx]],Tabla2[#All],3,0)),"")</f>
        <v/>
      </c>
      <c r="H1289" s="49" t="s">
        <v>438</v>
      </c>
      <c r="I1289" s="49" t="s">
        <v>2298</v>
      </c>
      <c r="J1289" s="49" t="s">
        <v>3124</v>
      </c>
    </row>
    <row r="1290" spans="1:12" x14ac:dyDescent="0.25">
      <c r="A1290" s="80">
        <v>43495</v>
      </c>
      <c r="C1290" s="59" t="s">
        <v>3265</v>
      </c>
      <c r="E1290" s="49" t="s">
        <v>3264</v>
      </c>
      <c r="F1290" s="76" t="str">
        <f>IFERROR(IF(Tabla1[[#This Row],[CONCEPTO mx]]="","",VLOOKUP(Tabla1[[#This Row],[CONCEPTO mx]],Tabla2[#All],2,0)),"")</f>
        <v/>
      </c>
      <c r="G1290" s="76" t="str">
        <f>IFERROR(IF(Tabla1[[#This Row],[CONCEPTO mx]]="","",VLOOKUP(Tabla1[[#This Row],[CONCEPTO mx]],Tabla2[#All],3,0)),"")</f>
        <v/>
      </c>
      <c r="H1290" s="49" t="s">
        <v>2391</v>
      </c>
      <c r="I1290" s="49" t="s">
        <v>2298</v>
      </c>
      <c r="J1290" s="59" t="s">
        <v>3266</v>
      </c>
    </row>
    <row r="1291" spans="1:12" x14ac:dyDescent="0.25">
      <c r="A1291" s="51">
        <v>43495</v>
      </c>
      <c r="C1291" s="59" t="s">
        <v>3255</v>
      </c>
      <c r="D1291" s="70" t="s">
        <v>51</v>
      </c>
      <c r="E1291" s="49" t="s">
        <v>3256</v>
      </c>
      <c r="F1291" s="76" t="str">
        <f>IFERROR(IF(Tabla1[[#This Row],[CONCEPTO mx]]="","",VLOOKUP(Tabla1[[#This Row],[CONCEPTO mx]],Tabla2[#All],2,0)),"")</f>
        <v/>
      </c>
      <c r="G1291" s="76" t="str">
        <f>IFERROR(IF(Tabla1[[#This Row],[CONCEPTO mx]]="","",VLOOKUP(Tabla1[[#This Row],[CONCEPTO mx]],Tabla2[#All],3,0)),"")</f>
        <v/>
      </c>
      <c r="H1291" s="49" t="s">
        <v>2393</v>
      </c>
      <c r="I1291" s="49" t="s">
        <v>2298</v>
      </c>
      <c r="J1291" s="59" t="s">
        <v>3260</v>
      </c>
      <c r="L1291" s="49" t="s">
        <v>3303</v>
      </c>
    </row>
    <row r="1292" spans="1:12" x14ac:dyDescent="0.25">
      <c r="A1292" s="51">
        <v>43495</v>
      </c>
      <c r="C1292" s="59" t="s">
        <v>3257</v>
      </c>
      <c r="D1292" s="49" t="s">
        <v>180</v>
      </c>
      <c r="E1292" s="59" t="s">
        <v>3185</v>
      </c>
      <c r="F1292" s="76" t="str">
        <f>IFERROR(IF(Tabla1[[#This Row],[CONCEPTO mx]]="","",VLOOKUP(Tabla1[[#This Row],[CONCEPTO mx]],Tabla2[#All],2,0)),"")</f>
        <v>CM5</v>
      </c>
      <c r="G1292" s="76" t="str">
        <f>IFERROR(IF(Tabla1[[#This Row],[CONCEPTO mx]]="","",VLOOKUP(Tabla1[[#This Row],[CONCEPTO mx]],Tabla2[#All],3,0)),"")</f>
        <v>SST</v>
      </c>
      <c r="H1292" s="49" t="s">
        <v>484</v>
      </c>
      <c r="I1292" s="49" t="s">
        <v>2298</v>
      </c>
      <c r="J1292" s="59" t="s">
        <v>3259</v>
      </c>
      <c r="L1292" s="49" t="s">
        <v>3258</v>
      </c>
    </row>
    <row r="1293" spans="1:12" x14ac:dyDescent="0.25">
      <c r="A1293" s="51">
        <v>43496</v>
      </c>
      <c r="C1293" s="59" t="s">
        <v>3290</v>
      </c>
      <c r="D1293" s="49" t="s">
        <v>51</v>
      </c>
      <c r="E1293" s="49" t="s">
        <v>3249</v>
      </c>
      <c r="F1293" s="76" t="str">
        <f>IFERROR(IF(Tabla1[[#This Row],[CONCEPTO mx]]="","",VLOOKUP(Tabla1[[#This Row],[CONCEPTO mx]],Tabla2[#All],2,0)),"")</f>
        <v>CM3</v>
      </c>
      <c r="G1293" s="76" t="str">
        <f>IFERROR(IF(Tabla1[[#This Row],[CONCEPTO mx]]="","",VLOOKUP(Tabla1[[#This Row],[CONCEPTO mx]],Tabla2[#All],3,0)),"")</f>
        <v>SST</v>
      </c>
      <c r="H1293" s="49" t="s">
        <v>438</v>
      </c>
      <c r="I1293" s="49" t="s">
        <v>2298</v>
      </c>
      <c r="J1293" s="59" t="s">
        <v>1931</v>
      </c>
    </row>
    <row r="1294" spans="1:12" x14ac:dyDescent="0.25">
      <c r="A1294" s="51">
        <v>43496</v>
      </c>
      <c r="B1294" s="50">
        <v>1028008733</v>
      </c>
      <c r="C1294" s="59" t="s">
        <v>3272</v>
      </c>
      <c r="D1294" s="49" t="s">
        <v>51</v>
      </c>
      <c r="E1294" s="49" t="s">
        <v>3250</v>
      </c>
      <c r="F1294" s="76" t="str">
        <f>IFERROR(IF(Tabla1[[#This Row],[CONCEPTO mx]]="","",VLOOKUP(Tabla1[[#This Row],[CONCEPTO mx]],Tabla2[#All],2,0)),"")</f>
        <v>CM12</v>
      </c>
      <c r="G1294" s="76" t="str">
        <f>IFERROR(IF(Tabla1[[#This Row],[CONCEPTO mx]]="","",VLOOKUP(Tabla1[[#This Row],[CONCEPTO mx]],Tabla2[#All],3,0)),"")</f>
        <v>SST</v>
      </c>
      <c r="H1294" s="49" t="s">
        <v>352</v>
      </c>
      <c r="I1294" s="49" t="s">
        <v>2298</v>
      </c>
      <c r="J1294" s="49" t="s">
        <v>2314</v>
      </c>
    </row>
    <row r="1295" spans="1:12" x14ac:dyDescent="0.25">
      <c r="A1295" s="51">
        <v>43496</v>
      </c>
      <c r="C1295" s="59" t="s">
        <v>3287</v>
      </c>
      <c r="D1295" s="49" t="s">
        <v>51</v>
      </c>
      <c r="E1295" s="49" t="s">
        <v>3249</v>
      </c>
      <c r="F1295" s="76" t="str">
        <f>IFERROR(IF(Tabla1[[#This Row],[CONCEPTO mx]]="","",VLOOKUP(Tabla1[[#This Row],[CONCEPTO mx]],Tabla2[#All],2,0)),"")</f>
        <v>CM3</v>
      </c>
      <c r="G1295" s="76" t="str">
        <f>IFERROR(IF(Tabla1[[#This Row],[CONCEPTO mx]]="","",VLOOKUP(Tabla1[[#This Row],[CONCEPTO mx]],Tabla2[#All],3,0)),"")</f>
        <v>SST</v>
      </c>
      <c r="H1295" s="49" t="s">
        <v>2391</v>
      </c>
      <c r="I1295" s="49" t="s">
        <v>2298</v>
      </c>
      <c r="J1295" s="59" t="s">
        <v>2999</v>
      </c>
    </row>
    <row r="1296" spans="1:12" x14ac:dyDescent="0.25">
      <c r="A1296" s="51">
        <v>43496</v>
      </c>
      <c r="C1296" s="59" t="s">
        <v>3295</v>
      </c>
      <c r="D1296" s="49" t="s">
        <v>51</v>
      </c>
      <c r="E1296" s="49" t="s">
        <v>3249</v>
      </c>
      <c r="F1296" s="76" t="str">
        <f>IFERROR(IF(Tabla1[[#This Row],[CONCEPTO mx]]="","",VLOOKUP(Tabla1[[#This Row],[CONCEPTO mx]],Tabla2[#All],2,0)),"")</f>
        <v>CM3</v>
      </c>
      <c r="G1296" s="76" t="str">
        <f>IFERROR(IF(Tabla1[[#This Row],[CONCEPTO mx]]="","",VLOOKUP(Tabla1[[#This Row],[CONCEPTO mx]],Tabla2[#All],3,0)),"")</f>
        <v>SST</v>
      </c>
      <c r="H1296" s="49" t="s">
        <v>486</v>
      </c>
      <c r="I1296" s="49" t="s">
        <v>2298</v>
      </c>
      <c r="J1296" s="81" t="s">
        <v>1931</v>
      </c>
    </row>
    <row r="1297" spans="1:12" x14ac:dyDescent="0.25">
      <c r="A1297" s="51">
        <v>43496</v>
      </c>
      <c r="B1297" s="50">
        <v>1040372959</v>
      </c>
      <c r="C1297" s="59" t="s">
        <v>3273</v>
      </c>
      <c r="D1297" s="49" t="s">
        <v>51</v>
      </c>
      <c r="E1297" s="49" t="s">
        <v>3249</v>
      </c>
      <c r="F1297" s="76" t="str">
        <f>IFERROR(IF(Tabla1[[#This Row],[CONCEPTO mx]]="","",VLOOKUP(Tabla1[[#This Row],[CONCEPTO mx]],Tabla2[#All],2,0)),"")</f>
        <v>CM3</v>
      </c>
      <c r="G1297" s="76" t="str">
        <f>IFERROR(IF(Tabla1[[#This Row],[CONCEPTO mx]]="","",VLOOKUP(Tabla1[[#This Row],[CONCEPTO mx]],Tabla2[#All],3,0)),"")</f>
        <v>SST</v>
      </c>
      <c r="H1297" s="49" t="s">
        <v>387</v>
      </c>
      <c r="I1297" s="49" t="s">
        <v>2298</v>
      </c>
      <c r="J1297" s="49" t="s">
        <v>3274</v>
      </c>
    </row>
    <row r="1298" spans="1:12" x14ac:dyDescent="0.25">
      <c r="A1298" s="51">
        <v>43496</v>
      </c>
      <c r="B1298" s="50">
        <v>1028007814</v>
      </c>
      <c r="C1298" s="59" t="s">
        <v>3278</v>
      </c>
      <c r="D1298" s="49" t="s">
        <v>51</v>
      </c>
      <c r="E1298" s="49" t="s">
        <v>3248</v>
      </c>
      <c r="F1298" s="76" t="str">
        <f>IFERROR(IF(Tabla1[[#This Row],[CONCEPTO mx]]="","",VLOOKUP(Tabla1[[#This Row],[CONCEPTO mx]],Tabla2[#All],2,0)),"")</f>
        <v>CM1</v>
      </c>
      <c r="G1298" s="76" t="str">
        <f>IFERROR(IF(Tabla1[[#This Row],[CONCEPTO mx]]="","",VLOOKUP(Tabla1[[#This Row],[CONCEPTO mx]],Tabla2[#All],3,0)),"")</f>
        <v>Gestión Humana</v>
      </c>
      <c r="H1298" s="49" t="s">
        <v>388</v>
      </c>
      <c r="I1298" s="49" t="s">
        <v>2298</v>
      </c>
      <c r="J1298" s="49" t="s">
        <v>2845</v>
      </c>
    </row>
    <row r="1299" spans="1:12" x14ac:dyDescent="0.25">
      <c r="A1299" s="51">
        <v>43496</v>
      </c>
      <c r="B1299" s="50">
        <v>1045489274</v>
      </c>
      <c r="C1299" s="59" t="s">
        <v>3276</v>
      </c>
      <c r="D1299" s="49" t="s">
        <v>51</v>
      </c>
      <c r="E1299" s="49" t="s">
        <v>3249</v>
      </c>
      <c r="F1299" s="76" t="str">
        <f>IFERROR(IF(Tabla1[[#This Row],[CONCEPTO mx]]="","",VLOOKUP(Tabla1[[#This Row],[CONCEPTO mx]],Tabla2[#All],2,0)),"")</f>
        <v>CM3</v>
      </c>
      <c r="G1299" s="76" t="str">
        <f>IFERROR(IF(Tabla1[[#This Row],[CONCEPTO mx]]="","",VLOOKUP(Tabla1[[#This Row],[CONCEPTO mx]],Tabla2[#All],3,0)),"")</f>
        <v>SST</v>
      </c>
      <c r="H1299" s="49" t="s">
        <v>343</v>
      </c>
      <c r="I1299" s="49" t="s">
        <v>2298</v>
      </c>
      <c r="J1299" s="49" t="s">
        <v>2845</v>
      </c>
    </row>
    <row r="1300" spans="1:12" x14ac:dyDescent="0.25">
      <c r="A1300" s="51">
        <v>43496</v>
      </c>
      <c r="C1300" s="59" t="s">
        <v>3285</v>
      </c>
      <c r="D1300" s="49" t="s">
        <v>51</v>
      </c>
      <c r="E1300" s="49" t="s">
        <v>3249</v>
      </c>
      <c r="F1300" s="76" t="str">
        <f>IFERROR(IF(Tabla1[[#This Row],[CONCEPTO mx]]="","",VLOOKUP(Tabla1[[#This Row],[CONCEPTO mx]],Tabla2[#All],2,0)),"")</f>
        <v>CM3</v>
      </c>
      <c r="G1300" s="76" t="str">
        <f>IFERROR(IF(Tabla1[[#This Row],[CONCEPTO mx]]="","",VLOOKUP(Tabla1[[#This Row],[CONCEPTO mx]],Tabla2[#All],3,0)),"")</f>
        <v>SST</v>
      </c>
      <c r="H1300" s="49" t="s">
        <v>438</v>
      </c>
      <c r="I1300" s="49" t="s">
        <v>2298</v>
      </c>
      <c r="J1300" s="49" t="s">
        <v>2848</v>
      </c>
    </row>
    <row r="1301" spans="1:12" x14ac:dyDescent="0.25">
      <c r="A1301" s="51">
        <v>43496</v>
      </c>
      <c r="C1301" s="59" t="s">
        <v>3280</v>
      </c>
      <c r="D1301" s="49" t="s">
        <v>51</v>
      </c>
      <c r="E1301" s="49" t="s">
        <v>3248</v>
      </c>
      <c r="F1301" s="76" t="str">
        <f>IFERROR(IF(Tabla1[[#This Row],[CONCEPTO mx]]="","",VLOOKUP(Tabla1[[#This Row],[CONCEPTO mx]],Tabla2[#All],2,0)),"")</f>
        <v>CM1</v>
      </c>
      <c r="G1301" s="76" t="str">
        <f>IFERROR(IF(Tabla1[[#This Row],[CONCEPTO mx]]="","",VLOOKUP(Tabla1[[#This Row],[CONCEPTO mx]],Tabla2[#All],3,0)),"")</f>
        <v>Gestión Humana</v>
      </c>
      <c r="H1301" s="49" t="s">
        <v>438</v>
      </c>
      <c r="I1301" s="49" t="s">
        <v>2298</v>
      </c>
      <c r="J1301" s="49" t="s">
        <v>1292</v>
      </c>
    </row>
    <row r="1302" spans="1:12" x14ac:dyDescent="0.25">
      <c r="A1302" s="51">
        <v>43496</v>
      </c>
      <c r="C1302" s="59" t="s">
        <v>3277</v>
      </c>
      <c r="D1302" s="49" t="s">
        <v>51</v>
      </c>
      <c r="E1302" s="49" t="s">
        <v>3249</v>
      </c>
      <c r="F1302" s="76" t="str">
        <f>IFERROR(IF(Tabla1[[#This Row],[CONCEPTO mx]]="","",VLOOKUP(Tabla1[[#This Row],[CONCEPTO mx]],Tabla2[#All],2,0)),"")</f>
        <v>CM3</v>
      </c>
      <c r="G1302" s="76" t="str">
        <f>IFERROR(IF(Tabla1[[#This Row],[CONCEPTO mx]]="","",VLOOKUP(Tabla1[[#This Row],[CONCEPTO mx]],Tabla2[#All],3,0)),"")</f>
        <v>SST</v>
      </c>
      <c r="H1302" s="49" t="s">
        <v>413</v>
      </c>
      <c r="I1302" s="49" t="s">
        <v>2298</v>
      </c>
      <c r="J1302" s="49" t="s">
        <v>3007</v>
      </c>
    </row>
    <row r="1303" spans="1:12" x14ac:dyDescent="0.25">
      <c r="A1303" s="51">
        <v>43496</v>
      </c>
      <c r="C1303" s="59" t="s">
        <v>3275</v>
      </c>
      <c r="D1303" s="49" t="s">
        <v>51</v>
      </c>
      <c r="E1303" s="49" t="s">
        <v>3250</v>
      </c>
      <c r="F1303" s="76" t="str">
        <f>IFERROR(IF(Tabla1[[#This Row],[CONCEPTO mx]]="","",VLOOKUP(Tabla1[[#This Row],[CONCEPTO mx]],Tabla2[#All],2,0)),"")</f>
        <v>CM12</v>
      </c>
      <c r="G1303" s="76" t="str">
        <f>IFERROR(IF(Tabla1[[#This Row],[CONCEPTO mx]]="","",VLOOKUP(Tabla1[[#This Row],[CONCEPTO mx]],Tabla2[#All],3,0)),"")</f>
        <v>SST</v>
      </c>
      <c r="H1303" s="49" t="s">
        <v>2391</v>
      </c>
      <c r="I1303" s="49" t="s">
        <v>2298</v>
      </c>
      <c r="J1303" s="49" t="s">
        <v>2999</v>
      </c>
    </row>
    <row r="1304" spans="1:12" x14ac:dyDescent="0.25">
      <c r="A1304" s="51">
        <v>43496</v>
      </c>
      <c r="B1304" s="50">
        <v>1028020225</v>
      </c>
      <c r="C1304" s="59" t="s">
        <v>3281</v>
      </c>
      <c r="D1304" s="49" t="s">
        <v>180</v>
      </c>
      <c r="E1304" s="49" t="s">
        <v>3174</v>
      </c>
      <c r="F1304" s="76" t="str">
        <f>IFERROR(IF(Tabla1[[#This Row],[CONCEPTO mx]]="","",VLOOKUP(Tabla1[[#This Row],[CONCEPTO mx]],Tabla2[#All],2,0)),"")</f>
        <v>CM2</v>
      </c>
      <c r="G1304" s="76" t="str">
        <f>IFERROR(IF(Tabla1[[#This Row],[CONCEPTO mx]]="","",VLOOKUP(Tabla1[[#This Row],[CONCEPTO mx]],Tabla2[#All],3,0)),"")</f>
        <v>SST</v>
      </c>
      <c r="H1304" s="49" t="s">
        <v>388</v>
      </c>
      <c r="I1304" s="49" t="s">
        <v>2298</v>
      </c>
      <c r="J1304" s="59" t="s">
        <v>3282</v>
      </c>
    </row>
    <row r="1305" spans="1:12" x14ac:dyDescent="0.25">
      <c r="A1305" s="51">
        <v>43496</v>
      </c>
      <c r="B1305" s="50">
        <v>1028008733</v>
      </c>
      <c r="C1305" s="59" t="s">
        <v>3283</v>
      </c>
      <c r="D1305" s="49" t="s">
        <v>51</v>
      </c>
      <c r="E1305" s="49" t="s">
        <v>3250</v>
      </c>
      <c r="F1305" s="76" t="str">
        <f>IFERROR(IF(Tabla1[[#This Row],[CONCEPTO mx]]="","",VLOOKUP(Tabla1[[#This Row],[CONCEPTO mx]],Tabla2[#All],2,0)),"")</f>
        <v>CM12</v>
      </c>
      <c r="G1305" s="76" t="str">
        <f>IFERROR(IF(Tabla1[[#This Row],[CONCEPTO mx]]="","",VLOOKUP(Tabla1[[#This Row],[CONCEPTO mx]],Tabla2[#All],3,0)),"")</f>
        <v>SST</v>
      </c>
      <c r="H1305" s="49" t="s">
        <v>352</v>
      </c>
      <c r="I1305" s="49" t="s">
        <v>2298</v>
      </c>
      <c r="J1305" s="49" t="s">
        <v>3007</v>
      </c>
    </row>
    <row r="1306" spans="1:12" x14ac:dyDescent="0.25">
      <c r="A1306" s="82">
        <v>43496</v>
      </c>
      <c r="B1306" s="50">
        <v>1128279361</v>
      </c>
      <c r="C1306" s="59" t="s">
        <v>3284</v>
      </c>
      <c r="D1306" s="49" t="s">
        <v>51</v>
      </c>
      <c r="E1306" s="49" t="s">
        <v>3197</v>
      </c>
      <c r="F1306" s="76" t="str">
        <f>IFERROR(IF(Tabla1[[#This Row],[CONCEPTO mx]]="","",VLOOKUP(Tabla1[[#This Row],[CONCEPTO mx]],Tabla2[#All],2,0)),"")</f>
        <v>CM14</v>
      </c>
      <c r="G1306" s="76" t="str">
        <f>IFERROR(IF(Tabla1[[#This Row],[CONCEPTO mx]]="","",VLOOKUP(Tabla1[[#This Row],[CONCEPTO mx]],Tabla2[#All],3,0)),"")</f>
        <v>SST</v>
      </c>
      <c r="H1306" s="49" t="s">
        <v>528</v>
      </c>
      <c r="I1306" s="49" t="s">
        <v>2512</v>
      </c>
    </row>
    <row r="1307" spans="1:12" x14ac:dyDescent="0.25">
      <c r="A1307" s="51">
        <v>43496</v>
      </c>
      <c r="C1307" s="59" t="s">
        <v>3291</v>
      </c>
      <c r="D1307" s="49" t="s">
        <v>51</v>
      </c>
      <c r="E1307" s="49" t="s">
        <v>3248</v>
      </c>
      <c r="F1307" s="76" t="str">
        <f>IFERROR(IF(Tabla1[[#This Row],[CONCEPTO mx]]="","",VLOOKUP(Tabla1[[#This Row],[CONCEPTO mx]],Tabla2[#All],2,0)),"")</f>
        <v>CM1</v>
      </c>
      <c r="G1307" s="76" t="str">
        <f>IFERROR(IF(Tabla1[[#This Row],[CONCEPTO mx]]="","",VLOOKUP(Tabla1[[#This Row],[CONCEPTO mx]],Tabla2[#All],3,0)),"")</f>
        <v>Gestión Humana</v>
      </c>
      <c r="H1307" s="49" t="s">
        <v>470</v>
      </c>
      <c r="I1307" s="49" t="s">
        <v>2298</v>
      </c>
      <c r="J1307" s="59" t="s">
        <v>3292</v>
      </c>
    </row>
    <row r="1308" spans="1:12" x14ac:dyDescent="0.25">
      <c r="A1308" s="51">
        <v>43496</v>
      </c>
      <c r="B1308" s="50">
        <v>1028027041</v>
      </c>
      <c r="C1308" s="59" t="s">
        <v>3088</v>
      </c>
      <c r="D1308" s="49" t="s">
        <v>180</v>
      </c>
      <c r="E1308" s="49" t="s">
        <v>3174</v>
      </c>
      <c r="F1308" s="76" t="str">
        <f>IFERROR(IF(Tabla1[[#This Row],[CONCEPTO mx]]="","",VLOOKUP(Tabla1[[#This Row],[CONCEPTO mx]],Tabla2[#All],2,0)),"")</f>
        <v>CM2</v>
      </c>
      <c r="G1308" s="76" t="str">
        <f>IFERROR(IF(Tabla1[[#This Row],[CONCEPTO mx]]="","",VLOOKUP(Tabla1[[#This Row],[CONCEPTO mx]],Tabla2[#All],3,0)),"")</f>
        <v>SST</v>
      </c>
      <c r="H1308" s="49" t="s">
        <v>387</v>
      </c>
      <c r="I1308" s="49" t="s">
        <v>2298</v>
      </c>
      <c r="J1308" s="49" t="s">
        <v>1292</v>
      </c>
      <c r="K1308" s="51">
        <v>43488</v>
      </c>
    </row>
    <row r="1309" spans="1:12" x14ac:dyDescent="0.25">
      <c r="A1309" s="51">
        <v>43496</v>
      </c>
      <c r="C1309" s="59" t="s">
        <v>3288</v>
      </c>
      <c r="D1309" s="49" t="s">
        <v>51</v>
      </c>
      <c r="E1309" s="49" t="s">
        <v>3248</v>
      </c>
      <c r="F1309" s="76" t="str">
        <f>IFERROR(IF(Tabla1[[#This Row],[CONCEPTO mx]]="","",VLOOKUP(Tabla1[[#This Row],[CONCEPTO mx]],Tabla2[#All],2,0)),"")</f>
        <v>CM1</v>
      </c>
      <c r="G1309" s="76" t="str">
        <f>IFERROR(IF(Tabla1[[#This Row],[CONCEPTO mx]]="","",VLOOKUP(Tabla1[[#This Row],[CONCEPTO mx]],Tabla2[#All],3,0)),"")</f>
        <v>Gestión Humana</v>
      </c>
      <c r="H1309" s="49" t="s">
        <v>413</v>
      </c>
      <c r="I1309" s="49" t="s">
        <v>2298</v>
      </c>
      <c r="J1309" s="59" t="s">
        <v>3289</v>
      </c>
    </row>
    <row r="1310" spans="1:12" x14ac:dyDescent="0.25">
      <c r="A1310" s="51">
        <v>43496</v>
      </c>
      <c r="C1310" s="59" t="s">
        <v>3293</v>
      </c>
      <c r="D1310" s="49" t="s">
        <v>51</v>
      </c>
      <c r="E1310" s="49" t="s">
        <v>3248</v>
      </c>
      <c r="F1310" s="76" t="str">
        <f>IFERROR(IF(Tabla1[[#This Row],[CONCEPTO mx]]="","",VLOOKUP(Tabla1[[#This Row],[CONCEPTO mx]],Tabla2[#All],2,0)),"")</f>
        <v>CM1</v>
      </c>
      <c r="G1310" s="76" t="str">
        <f>IFERROR(IF(Tabla1[[#This Row],[CONCEPTO mx]]="","",VLOOKUP(Tabla1[[#This Row],[CONCEPTO mx]],Tabla2[#All],3,0)),"")</f>
        <v>Gestión Humana</v>
      </c>
      <c r="H1310" s="49" t="s">
        <v>438</v>
      </c>
      <c r="I1310" s="49" t="s">
        <v>2298</v>
      </c>
      <c r="J1310" s="49" t="s">
        <v>3294</v>
      </c>
    </row>
    <row r="1311" spans="1:12" x14ac:dyDescent="0.25">
      <c r="A1311" s="51">
        <v>43496</v>
      </c>
      <c r="C1311" s="59" t="s">
        <v>3127</v>
      </c>
      <c r="D1311" s="49" t="s">
        <v>51</v>
      </c>
      <c r="E1311" s="49" t="s">
        <v>3250</v>
      </c>
      <c r="F1311" s="76" t="str">
        <f>IFERROR(IF(Tabla1[[#This Row],[CONCEPTO mx]]="","",VLOOKUP(Tabla1[[#This Row],[CONCEPTO mx]],Tabla2[#All],2,0)),"")</f>
        <v>CM12</v>
      </c>
      <c r="G1311" s="76" t="str">
        <f>IFERROR(IF(Tabla1[[#This Row],[CONCEPTO mx]]="","",VLOOKUP(Tabla1[[#This Row],[CONCEPTO mx]],Tabla2[#All],3,0)),"")</f>
        <v>SST</v>
      </c>
      <c r="H1311" s="49" t="s">
        <v>439</v>
      </c>
      <c r="I1311" s="49" t="s">
        <v>2298</v>
      </c>
      <c r="J1311" s="49" t="s">
        <v>3279</v>
      </c>
      <c r="K1311" s="51">
        <v>43493</v>
      </c>
    </row>
    <row r="1312" spans="1:12" x14ac:dyDescent="0.25">
      <c r="A1312" s="51">
        <v>43497</v>
      </c>
      <c r="B1312" s="79">
        <v>1028000894</v>
      </c>
      <c r="C1312" s="59" t="s">
        <v>3308</v>
      </c>
      <c r="D1312" s="49" t="s">
        <v>180</v>
      </c>
      <c r="E1312" s="49" t="s">
        <v>2355</v>
      </c>
      <c r="F1312" s="76" t="str">
        <f>IFERROR(IF(Tabla1[[#This Row],[CONCEPTO mx]]="","",VLOOKUP(Tabla1[[#This Row],[CONCEPTO mx]],Tabla2[#All],2,0)),"")</f>
        <v>CM13</v>
      </c>
      <c r="G1312" s="76" t="str">
        <f>IFERROR(IF(Tabla1[[#This Row],[CONCEPTO mx]]="","",VLOOKUP(Tabla1[[#This Row],[CONCEPTO mx]],Tabla2[#All],3,0)),"")</f>
        <v>Gestión Humana</v>
      </c>
      <c r="H1312" s="49" t="s">
        <v>352</v>
      </c>
      <c r="I1312" s="49" t="s">
        <v>2298</v>
      </c>
      <c r="J1312" s="49" t="s">
        <v>3309</v>
      </c>
      <c r="L1312" s="49" t="s">
        <v>3370</v>
      </c>
    </row>
    <row r="1313" spans="1:12" x14ac:dyDescent="0.25">
      <c r="A1313" s="51">
        <v>43497</v>
      </c>
      <c r="B1313" s="79">
        <v>1001591625</v>
      </c>
      <c r="C1313" s="59" t="s">
        <v>3310</v>
      </c>
      <c r="D1313" s="49" t="s">
        <v>51</v>
      </c>
      <c r="E1313" s="49" t="s">
        <v>3249</v>
      </c>
      <c r="F1313" s="76" t="str">
        <f>IFERROR(IF(Tabla1[[#This Row],[CONCEPTO mx]]="","",VLOOKUP(Tabla1[[#This Row],[CONCEPTO mx]],Tabla2[#All],2,0)),"")</f>
        <v>CM3</v>
      </c>
      <c r="G1313" s="76" t="str">
        <f>IFERROR(IF(Tabla1[[#This Row],[CONCEPTO mx]]="","",VLOOKUP(Tabla1[[#This Row],[CONCEPTO mx]],Tabla2[#All],3,0)),"")</f>
        <v>SST</v>
      </c>
      <c r="H1313" s="49" t="s">
        <v>387</v>
      </c>
      <c r="I1313" s="49" t="s">
        <v>2298</v>
      </c>
      <c r="J1313" s="49" t="s">
        <v>2845</v>
      </c>
    </row>
    <row r="1314" spans="1:12" x14ac:dyDescent="0.25">
      <c r="A1314" s="51">
        <v>43497</v>
      </c>
      <c r="C1314" s="59" t="s">
        <v>3299</v>
      </c>
      <c r="D1314" s="49" t="s">
        <v>51</v>
      </c>
      <c r="E1314" s="49" t="s">
        <v>3301</v>
      </c>
      <c r="F1314" s="76" t="str">
        <f>IFERROR(IF(Tabla1[[#This Row],[CONCEPTO mx]]="","",VLOOKUP(Tabla1[[#This Row],[CONCEPTO mx]],Tabla2[#All],2,0)),"")</f>
        <v>CM38</v>
      </c>
      <c r="G1314" s="76" t="str">
        <f>IFERROR(IF(Tabla1[[#This Row],[CONCEPTO mx]]="","",VLOOKUP(Tabla1[[#This Row],[CONCEPTO mx]],Tabla2[#All],3,0)),"")</f>
        <v>SST</v>
      </c>
      <c r="H1314" s="49" t="s">
        <v>486</v>
      </c>
      <c r="I1314" s="49" t="s">
        <v>3392</v>
      </c>
      <c r="J1314" s="49" t="s">
        <v>3243</v>
      </c>
      <c r="L1314" s="49" t="s">
        <v>3302</v>
      </c>
    </row>
    <row r="1315" spans="1:12" x14ac:dyDescent="0.25">
      <c r="A1315" s="51">
        <v>43497</v>
      </c>
      <c r="C1315" s="59" t="s">
        <v>3305</v>
      </c>
      <c r="D1315" s="49" t="s">
        <v>180</v>
      </c>
      <c r="E1315" s="49" t="s">
        <v>3306</v>
      </c>
      <c r="F1315" s="76" t="str">
        <f>IFERROR(IF(Tabla1[[#This Row],[CONCEPTO mx]]="","",VLOOKUP(Tabla1[[#This Row],[CONCEPTO mx]],Tabla2[#All],2,0)),"")</f>
        <v>CM39</v>
      </c>
      <c r="G1315" s="76" t="str">
        <f>IFERROR(IF(Tabla1[[#This Row],[CONCEPTO mx]]="","",VLOOKUP(Tabla1[[#This Row],[CONCEPTO mx]],Tabla2[#All],3,0)),"")</f>
        <v>SST</v>
      </c>
      <c r="H1315" s="49" t="s">
        <v>438</v>
      </c>
      <c r="I1315" s="49" t="s">
        <v>2298</v>
      </c>
      <c r="J1315" s="49" t="s">
        <v>4233</v>
      </c>
      <c r="L1315" s="77" t="s">
        <v>3304</v>
      </c>
    </row>
    <row r="1316" spans="1:12" x14ac:dyDescent="0.25">
      <c r="A1316" s="51">
        <v>43498</v>
      </c>
      <c r="B1316" s="50">
        <v>1027999595</v>
      </c>
      <c r="C1316" s="59" t="s">
        <v>3317</v>
      </c>
      <c r="D1316" s="49" t="s">
        <v>51</v>
      </c>
      <c r="E1316" s="49" t="s">
        <v>3315</v>
      </c>
      <c r="F1316" s="76" t="str">
        <f>IFERROR(IF(Tabla1[[#This Row],[CONCEPTO mx]]="","",VLOOKUP(Tabla1[[#This Row],[CONCEPTO mx]],Tabla2[#All],2,0)),"")</f>
        <v>CM40</v>
      </c>
      <c r="G1316" s="76" t="str">
        <f>IFERROR(IF(Tabla1[[#This Row],[CONCEPTO mx]]="","",VLOOKUP(Tabla1[[#This Row],[CONCEPTO mx]],Tabla2[#All],3,0)),"")</f>
        <v>SST</v>
      </c>
      <c r="H1316" s="49" t="s">
        <v>438</v>
      </c>
      <c r="I1316" s="49" t="s">
        <v>2298</v>
      </c>
      <c r="J1316" s="49" t="s">
        <v>3319</v>
      </c>
      <c r="L1316" s="59" t="s">
        <v>3318</v>
      </c>
    </row>
    <row r="1317" spans="1:12" x14ac:dyDescent="0.25">
      <c r="A1317" s="51">
        <v>43498</v>
      </c>
      <c r="B1317" s="50">
        <v>1028009308</v>
      </c>
      <c r="C1317" s="59" t="s">
        <v>3321</v>
      </c>
      <c r="D1317" s="49" t="s">
        <v>51</v>
      </c>
      <c r="E1317" s="49" t="s">
        <v>3249</v>
      </c>
      <c r="F1317" s="76" t="str">
        <f>IFERROR(IF(Tabla1[[#This Row],[CONCEPTO mx]]="","",VLOOKUP(Tabla1[[#This Row],[CONCEPTO mx]],Tabla2[#All],2,0)),"")</f>
        <v>CM3</v>
      </c>
      <c r="G1317" s="76" t="str">
        <f>IFERROR(IF(Tabla1[[#This Row],[CONCEPTO mx]]="","",VLOOKUP(Tabla1[[#This Row],[CONCEPTO mx]],Tabla2[#All],3,0)),"")</f>
        <v>SST</v>
      </c>
      <c r="H1317" s="49" t="s">
        <v>470</v>
      </c>
      <c r="I1317" s="49" t="s">
        <v>2298</v>
      </c>
      <c r="J1317" s="49" t="s">
        <v>3322</v>
      </c>
    </row>
    <row r="1318" spans="1:12" x14ac:dyDescent="0.25">
      <c r="A1318" s="51">
        <v>43498</v>
      </c>
      <c r="B1318" s="50">
        <v>1040356839</v>
      </c>
      <c r="C1318" s="83" t="s">
        <v>3325</v>
      </c>
      <c r="D1318" s="49" t="s">
        <v>51</v>
      </c>
      <c r="E1318" s="49" t="s">
        <v>3250</v>
      </c>
      <c r="F1318" s="76" t="str">
        <f>IFERROR(IF(Tabla1[[#This Row],[CONCEPTO mx]]="","",VLOOKUP(Tabla1[[#This Row],[CONCEPTO mx]],Tabla2[#All],2,0)),"")</f>
        <v>CM12</v>
      </c>
      <c r="G1318" s="76" t="str">
        <f>IFERROR(IF(Tabla1[[#This Row],[CONCEPTO mx]]="","",VLOOKUP(Tabla1[[#This Row],[CONCEPTO mx]],Tabla2[#All],3,0)),"")</f>
        <v>SST</v>
      </c>
      <c r="H1318" s="49" t="s">
        <v>2391</v>
      </c>
      <c r="I1318" s="49" t="s">
        <v>2298</v>
      </c>
      <c r="J1318" s="49" t="s">
        <v>2845</v>
      </c>
      <c r="L1318" s="59" t="s">
        <v>3329</v>
      </c>
    </row>
    <row r="1319" spans="1:12" x14ac:dyDescent="0.25">
      <c r="A1319" s="51">
        <v>43498</v>
      </c>
      <c r="B1319" s="79">
        <v>1028016970</v>
      </c>
      <c r="C1319" s="49" t="s">
        <v>3320</v>
      </c>
      <c r="D1319" s="49" t="s">
        <v>51</v>
      </c>
      <c r="E1319" s="49" t="s">
        <v>3249</v>
      </c>
      <c r="F1319" s="76" t="str">
        <f>IFERROR(IF(Tabla1[[#This Row],[CONCEPTO mx]]="","",VLOOKUP(Tabla1[[#This Row],[CONCEPTO mx]],Tabla2[#All],2,0)),"")</f>
        <v>CM3</v>
      </c>
      <c r="G1319" s="76" t="str">
        <f>IFERROR(IF(Tabla1[[#This Row],[CONCEPTO mx]]="","",VLOOKUP(Tabla1[[#This Row],[CONCEPTO mx]],Tabla2[#All],3,0)),"")</f>
        <v>SST</v>
      </c>
      <c r="H1319" s="49" t="s">
        <v>550</v>
      </c>
      <c r="I1319" s="49" t="s">
        <v>2298</v>
      </c>
      <c r="J1319" s="49" t="s">
        <v>2845</v>
      </c>
    </row>
    <row r="1320" spans="1:12" x14ac:dyDescent="0.25">
      <c r="A1320" s="51">
        <v>43498</v>
      </c>
      <c r="B1320" s="79">
        <v>1028026400</v>
      </c>
      <c r="C1320" s="49" t="s">
        <v>3323</v>
      </c>
      <c r="D1320" s="49" t="s">
        <v>51</v>
      </c>
      <c r="E1320" s="49" t="s">
        <v>2401</v>
      </c>
      <c r="F1320" s="76" t="str">
        <f>IFERROR(IF(Tabla1[[#This Row],[CONCEPTO mx]]="","",VLOOKUP(Tabla1[[#This Row],[CONCEPTO mx]],Tabla2[#All],2,0)),"")</f>
        <v>CM28</v>
      </c>
      <c r="G1320" s="76" t="str">
        <f>IFERROR(IF(Tabla1[[#This Row],[CONCEPTO mx]]="","",VLOOKUP(Tabla1[[#This Row],[CONCEPTO mx]],Tabla2[#All],3,0)),"")</f>
        <v>SST</v>
      </c>
      <c r="H1320" s="49" t="s">
        <v>2394</v>
      </c>
      <c r="I1320" s="49" t="s">
        <v>2298</v>
      </c>
      <c r="J1320" s="49" t="s">
        <v>2409</v>
      </c>
      <c r="L1320" s="59" t="s">
        <v>3324</v>
      </c>
    </row>
    <row r="1321" spans="1:12" x14ac:dyDescent="0.25">
      <c r="A1321" s="51">
        <v>43498</v>
      </c>
      <c r="B1321" s="50">
        <v>11037318</v>
      </c>
      <c r="C1321" s="59" t="s">
        <v>3326</v>
      </c>
      <c r="D1321" s="49" t="s">
        <v>51</v>
      </c>
      <c r="E1321" s="49" t="s">
        <v>3248</v>
      </c>
      <c r="F1321" s="76" t="str">
        <f>IFERROR(IF(Tabla1[[#This Row],[CONCEPTO mx]]="","",VLOOKUP(Tabla1[[#This Row],[CONCEPTO mx]],Tabla2[#All],2,0)),"")</f>
        <v>CM1</v>
      </c>
      <c r="G1321" s="76" t="str">
        <f>IFERROR(IF(Tabla1[[#This Row],[CONCEPTO mx]]="","",VLOOKUP(Tabla1[[#This Row],[CONCEPTO mx]],Tabla2[#All],3,0)),"")</f>
        <v>Gestión Humana</v>
      </c>
      <c r="H1321" s="49" t="s">
        <v>438</v>
      </c>
      <c r="I1321" s="49" t="s">
        <v>2298</v>
      </c>
      <c r="J1321" s="49" t="s">
        <v>3327</v>
      </c>
    </row>
    <row r="1322" spans="1:12" x14ac:dyDescent="0.25">
      <c r="A1322" s="51">
        <v>43498</v>
      </c>
      <c r="B1322" s="50">
        <v>1038822323</v>
      </c>
      <c r="C1322" s="83" t="s">
        <v>3311</v>
      </c>
      <c r="D1322" s="49" t="s">
        <v>51</v>
      </c>
      <c r="E1322" s="49" t="s">
        <v>3248</v>
      </c>
      <c r="F1322" s="76" t="str">
        <f>IFERROR(IF(Tabla1[[#This Row],[CONCEPTO mx]]="","",VLOOKUP(Tabla1[[#This Row],[CONCEPTO mx]],Tabla2[#All],2,0)),"")</f>
        <v>CM1</v>
      </c>
      <c r="G1322" s="76" t="str">
        <f>IFERROR(IF(Tabla1[[#This Row],[CONCEPTO mx]]="","",VLOOKUP(Tabla1[[#This Row],[CONCEPTO mx]],Tabla2[#All],3,0)),"")</f>
        <v>Gestión Humana</v>
      </c>
      <c r="H1322" s="49" t="s">
        <v>438</v>
      </c>
      <c r="I1322" s="49" t="s">
        <v>2298</v>
      </c>
      <c r="J1322" s="49" t="s">
        <v>2848</v>
      </c>
    </row>
    <row r="1323" spans="1:12" x14ac:dyDescent="0.25">
      <c r="A1323" s="51">
        <v>43498</v>
      </c>
      <c r="B1323" s="84">
        <v>114843549</v>
      </c>
      <c r="C1323" s="49" t="s">
        <v>3312</v>
      </c>
      <c r="D1323" s="49" t="s">
        <v>51</v>
      </c>
      <c r="E1323" s="49" t="s">
        <v>3250</v>
      </c>
      <c r="F1323" s="76" t="str">
        <f>IFERROR(IF(Tabla1[[#This Row],[CONCEPTO mx]]="","",VLOOKUP(Tabla1[[#This Row],[CONCEPTO mx]],Tabla2[#All],2,0)),"")</f>
        <v>CM12</v>
      </c>
      <c r="G1323" s="76" t="str">
        <f>IFERROR(IF(Tabla1[[#This Row],[CONCEPTO mx]]="","",VLOOKUP(Tabla1[[#This Row],[CONCEPTO mx]],Tabla2[#All],3,0)),"")</f>
        <v>SST</v>
      </c>
      <c r="H1323" s="49" t="s">
        <v>438</v>
      </c>
      <c r="I1323" s="49" t="s">
        <v>2298</v>
      </c>
      <c r="J1323" s="49" t="s">
        <v>3313</v>
      </c>
      <c r="L1323" s="59" t="s">
        <v>3314</v>
      </c>
    </row>
    <row r="1324" spans="1:12" x14ac:dyDescent="0.25">
      <c r="A1324" s="51">
        <v>43498</v>
      </c>
      <c r="B1324" s="50">
        <v>1040360743</v>
      </c>
      <c r="C1324" s="83" t="s">
        <v>3328</v>
      </c>
      <c r="D1324" s="49" t="s">
        <v>51</v>
      </c>
      <c r="E1324" s="49" t="s">
        <v>3249</v>
      </c>
      <c r="F1324" s="76" t="str">
        <f>IFERROR(IF(Tabla1[[#This Row],[CONCEPTO mx]]="","",VLOOKUP(Tabla1[[#This Row],[CONCEPTO mx]],Tabla2[#All],2,0)),"")</f>
        <v>CM3</v>
      </c>
      <c r="G1324" s="76" t="str">
        <f>IFERROR(IF(Tabla1[[#This Row],[CONCEPTO mx]]="","",VLOOKUP(Tabla1[[#This Row],[CONCEPTO mx]],Tabla2[#All],3,0)),"")</f>
        <v>SST</v>
      </c>
      <c r="H1324" s="49" t="s">
        <v>352</v>
      </c>
      <c r="I1324" s="49" t="s">
        <v>2298</v>
      </c>
      <c r="J1324" s="49" t="s">
        <v>2845</v>
      </c>
    </row>
    <row r="1325" spans="1:12" x14ac:dyDescent="0.25">
      <c r="A1325" s="51">
        <v>43500</v>
      </c>
      <c r="B1325" s="50">
        <v>1028032372</v>
      </c>
      <c r="C1325" s="59" t="s">
        <v>3334</v>
      </c>
      <c r="D1325" s="49" t="s">
        <v>51</v>
      </c>
      <c r="E1325" s="49" t="s">
        <v>3315</v>
      </c>
      <c r="F1325" s="76" t="str">
        <f>IFERROR(IF(Tabla1[[#This Row],[CONCEPTO mx]]="","",VLOOKUP(Tabla1[[#This Row],[CONCEPTO mx]],Tabla2[#All],2,0)),"")</f>
        <v>CM40</v>
      </c>
      <c r="G1325" s="76" t="str">
        <f>IFERROR(IF(Tabla1[[#This Row],[CONCEPTO mx]]="","",VLOOKUP(Tabla1[[#This Row],[CONCEPTO mx]],Tabla2[#All],3,0)),"")</f>
        <v>SST</v>
      </c>
      <c r="H1325" s="49" t="s">
        <v>470</v>
      </c>
      <c r="I1325" s="49" t="s">
        <v>2298</v>
      </c>
      <c r="J1325" s="59" t="s">
        <v>3335</v>
      </c>
      <c r="L1325" s="59" t="s">
        <v>2574</v>
      </c>
    </row>
    <row r="1326" spans="1:12" x14ac:dyDescent="0.25">
      <c r="A1326" s="51">
        <v>43500</v>
      </c>
      <c r="B1326" s="50">
        <v>10999515</v>
      </c>
      <c r="C1326" s="59" t="s">
        <v>3339</v>
      </c>
      <c r="D1326" s="49" t="s">
        <v>51</v>
      </c>
      <c r="E1326" s="49" t="s">
        <v>3249</v>
      </c>
      <c r="F1326" s="76" t="str">
        <f>IFERROR(IF(Tabla1[[#This Row],[CONCEPTO mx]]="","",VLOOKUP(Tabla1[[#This Row],[CONCEPTO mx]],Tabla2[#All],2,0)),"")</f>
        <v>CM3</v>
      </c>
      <c r="G1326" s="76" t="str">
        <f>IFERROR(IF(Tabla1[[#This Row],[CONCEPTO mx]]="","",VLOOKUP(Tabla1[[#This Row],[CONCEPTO mx]],Tabla2[#All],3,0)),"")</f>
        <v>SST</v>
      </c>
      <c r="H1326" s="49" t="s">
        <v>516</v>
      </c>
      <c r="I1326" s="49" t="s">
        <v>2298</v>
      </c>
      <c r="J1326" s="59" t="s">
        <v>1931</v>
      </c>
    </row>
    <row r="1327" spans="1:12" x14ac:dyDescent="0.25">
      <c r="A1327" s="51">
        <v>43500</v>
      </c>
      <c r="B1327" s="50">
        <v>1027945402</v>
      </c>
      <c r="C1327" s="83" t="s">
        <v>3331</v>
      </c>
      <c r="D1327" s="49" t="s">
        <v>180</v>
      </c>
      <c r="E1327" s="49" t="s">
        <v>3187</v>
      </c>
      <c r="F1327" s="76" t="str">
        <f>IFERROR(IF(Tabla1[[#This Row],[CONCEPTO mx]]="","",VLOOKUP(Tabla1[[#This Row],[CONCEPTO mx]],Tabla2[#All],2,0)),"")</f>
        <v>CM8</v>
      </c>
      <c r="G1327" s="76" t="str">
        <f>IFERROR(IF(Tabla1[[#This Row],[CONCEPTO mx]]="","",VLOOKUP(Tabla1[[#This Row],[CONCEPTO mx]],Tabla2[#All],3,0)),"")</f>
        <v>Gestión Humana</v>
      </c>
      <c r="H1327" s="49" t="s">
        <v>334</v>
      </c>
      <c r="I1327" s="49" t="s">
        <v>2298</v>
      </c>
      <c r="J1327" s="49" t="s">
        <v>2353</v>
      </c>
      <c r="L1327" s="59" t="s">
        <v>3332</v>
      </c>
    </row>
    <row r="1328" spans="1:12" x14ac:dyDescent="0.25">
      <c r="A1328" s="51">
        <v>43500</v>
      </c>
      <c r="C1328" s="59" t="s">
        <v>3336</v>
      </c>
      <c r="D1328" s="49" t="s">
        <v>51</v>
      </c>
      <c r="E1328" s="49" t="s">
        <v>3315</v>
      </c>
      <c r="F1328" s="76" t="str">
        <f>IFERROR(IF(Tabla1[[#This Row],[CONCEPTO mx]]="","",VLOOKUP(Tabla1[[#This Row],[CONCEPTO mx]],Tabla2[#All],2,0)),"")</f>
        <v>CM40</v>
      </c>
      <c r="G1328" s="76" t="str">
        <f>IFERROR(IF(Tabla1[[#This Row],[CONCEPTO mx]]="","",VLOOKUP(Tabla1[[#This Row],[CONCEPTO mx]],Tabla2[#All],3,0)),"")</f>
        <v>SST</v>
      </c>
      <c r="H1328" s="49" t="s">
        <v>470</v>
      </c>
      <c r="I1328" s="49" t="s">
        <v>2298</v>
      </c>
      <c r="J1328" s="59" t="s">
        <v>3337</v>
      </c>
      <c r="L1328" s="59" t="s">
        <v>3338</v>
      </c>
    </row>
    <row r="1329" spans="1:12" x14ac:dyDescent="0.25">
      <c r="A1329" s="51">
        <v>43500</v>
      </c>
      <c r="B1329" s="79">
        <v>1028035289</v>
      </c>
      <c r="C1329" s="59" t="s">
        <v>3330</v>
      </c>
      <c r="D1329" s="49" t="s">
        <v>51</v>
      </c>
      <c r="E1329" s="49" t="s">
        <v>3249</v>
      </c>
      <c r="F1329" s="76" t="str">
        <f>IFERROR(IF(Tabla1[[#This Row],[CONCEPTO mx]]="","",VLOOKUP(Tabla1[[#This Row],[CONCEPTO mx]],Tabla2[#All],2,0)),"")</f>
        <v>CM3</v>
      </c>
      <c r="G1329" s="76" t="str">
        <f>IFERROR(IF(Tabla1[[#This Row],[CONCEPTO mx]]="","",VLOOKUP(Tabla1[[#This Row],[CONCEPTO mx]],Tabla2[#All],3,0)),"")</f>
        <v>SST</v>
      </c>
      <c r="H1329" s="49" t="s">
        <v>343</v>
      </c>
      <c r="I1329" s="49" t="s">
        <v>2298</v>
      </c>
      <c r="J1329" s="49" t="s">
        <v>2353</v>
      </c>
    </row>
    <row r="1330" spans="1:12" x14ac:dyDescent="0.25">
      <c r="A1330" s="51">
        <v>43500</v>
      </c>
      <c r="C1330" s="59" t="s">
        <v>3122</v>
      </c>
      <c r="D1330" s="49" t="s">
        <v>180</v>
      </c>
      <c r="E1330" s="49" t="s">
        <v>3185</v>
      </c>
      <c r="F1330" s="76" t="str">
        <f>IFERROR(IF(Tabla1[[#This Row],[CONCEPTO mx]]="","",VLOOKUP(Tabla1[[#This Row],[CONCEPTO mx]],Tabla2[#All],2,0)),"")</f>
        <v>CM5</v>
      </c>
      <c r="G1330" s="76" t="str">
        <f>IFERROR(IF(Tabla1[[#This Row],[CONCEPTO mx]]="","",VLOOKUP(Tabla1[[#This Row],[CONCEPTO mx]],Tabla2[#All],3,0)),"")</f>
        <v>SST</v>
      </c>
      <c r="H1330" s="49" t="s">
        <v>470</v>
      </c>
      <c r="I1330" s="49" t="s">
        <v>2298</v>
      </c>
      <c r="J1330" s="49" t="s">
        <v>3333</v>
      </c>
    </row>
    <row r="1331" spans="1:12" x14ac:dyDescent="0.25">
      <c r="A1331" s="51">
        <v>43501</v>
      </c>
      <c r="B1331" s="78">
        <v>1146441214</v>
      </c>
      <c r="C1331" s="49" t="s">
        <v>3341</v>
      </c>
      <c r="D1331" s="49" t="s">
        <v>51</v>
      </c>
      <c r="E1331" s="49" t="s">
        <v>2401</v>
      </c>
      <c r="F1331" s="76" t="str">
        <f>IFERROR(IF(Tabla1[[#This Row],[CONCEPTO mx]]="","",VLOOKUP(Tabla1[[#This Row],[CONCEPTO mx]],Tabla2[#All],2,0)),"")</f>
        <v>CM28</v>
      </c>
      <c r="G1331" s="76" t="str">
        <f>IFERROR(IF(Tabla1[[#This Row],[CONCEPTO mx]]="","",VLOOKUP(Tabla1[[#This Row],[CONCEPTO mx]],Tabla2[#All],3,0)),"")</f>
        <v>SST</v>
      </c>
      <c r="H1331" s="49" t="s">
        <v>2394</v>
      </c>
      <c r="I1331" s="49" t="s">
        <v>2298</v>
      </c>
      <c r="J1331" s="59" t="s">
        <v>1292</v>
      </c>
    </row>
    <row r="1332" spans="1:12" x14ac:dyDescent="0.25">
      <c r="A1332" s="51">
        <v>43501</v>
      </c>
      <c r="B1332" s="78">
        <v>1045523524</v>
      </c>
      <c r="C1332" s="49" t="s">
        <v>3340</v>
      </c>
      <c r="D1332" s="49" t="s">
        <v>51</v>
      </c>
      <c r="E1332" s="49" t="s">
        <v>3250</v>
      </c>
      <c r="F1332" s="76" t="str">
        <f>IFERROR(IF(Tabla1[[#This Row],[CONCEPTO mx]]="","",VLOOKUP(Tabla1[[#This Row],[CONCEPTO mx]],Tabla2[#All],2,0)),"")</f>
        <v>CM12</v>
      </c>
      <c r="G1332" s="76" t="str">
        <f>IFERROR(IF(Tabla1[[#This Row],[CONCEPTO mx]]="","",VLOOKUP(Tabla1[[#This Row],[CONCEPTO mx]],Tabla2[#All],3,0)),"")</f>
        <v>SST</v>
      </c>
      <c r="H1332" s="49" t="s">
        <v>387</v>
      </c>
      <c r="I1332" s="49" t="s">
        <v>2419</v>
      </c>
      <c r="J1332" s="59" t="s">
        <v>4465</v>
      </c>
    </row>
    <row r="1333" spans="1:12" x14ac:dyDescent="0.25">
      <c r="A1333" s="51">
        <v>43502</v>
      </c>
      <c r="B1333" s="50">
        <v>1063724514</v>
      </c>
      <c r="C1333" s="59" t="s">
        <v>3342</v>
      </c>
      <c r="D1333" s="49" t="s">
        <v>51</v>
      </c>
      <c r="E1333" s="49" t="s">
        <v>2635</v>
      </c>
      <c r="F1333" s="76" t="str">
        <f>IFERROR(IF(Tabla1[[#This Row],[CONCEPTO mx]]="","",VLOOKUP(Tabla1[[#This Row],[CONCEPTO mx]],Tabla2[#All],2,0)),"")</f>
        <v>CM21</v>
      </c>
      <c r="G1333" s="76" t="str">
        <f>IFERROR(IF(Tabla1[[#This Row],[CONCEPTO mx]]="","",VLOOKUP(Tabla1[[#This Row],[CONCEPTO mx]],Tabla2[#All],3,0)),"")</f>
        <v>SST</v>
      </c>
      <c r="H1333" s="49" t="s">
        <v>387</v>
      </c>
      <c r="I1333" s="49" t="s">
        <v>2298</v>
      </c>
      <c r="J1333" s="59" t="s">
        <v>1931</v>
      </c>
    </row>
    <row r="1334" spans="1:12" x14ac:dyDescent="0.25">
      <c r="A1334" s="51">
        <v>43504</v>
      </c>
      <c r="B1334" s="59">
        <v>1077440609</v>
      </c>
      <c r="C1334" s="59" t="s">
        <v>3371</v>
      </c>
      <c r="E1334" s="49" t="s">
        <v>2355</v>
      </c>
      <c r="F1334" s="76" t="str">
        <f>IFERROR(IF(Tabla1[[#This Row],[CONCEPTO mx]]="","",VLOOKUP(Tabla1[[#This Row],[CONCEPTO mx]],Tabla2[#All],2,0)),"")</f>
        <v>CM13</v>
      </c>
      <c r="G1334" s="76" t="str">
        <f>IFERROR(IF(Tabla1[[#This Row],[CONCEPTO mx]]="","",VLOOKUP(Tabla1[[#This Row],[CONCEPTO mx]],Tabla2[#All],3,0)),"")</f>
        <v>Gestión Humana</v>
      </c>
      <c r="H1334" s="49" t="s">
        <v>334</v>
      </c>
      <c r="I1334" s="49" t="s">
        <v>2298</v>
      </c>
      <c r="J1334" s="49" t="s">
        <v>2341</v>
      </c>
    </row>
    <row r="1335" spans="1:12" x14ac:dyDescent="0.25">
      <c r="A1335" s="51">
        <v>43504</v>
      </c>
      <c r="B1335" s="59">
        <v>1027998368</v>
      </c>
      <c r="C1335" s="59" t="s">
        <v>3359</v>
      </c>
      <c r="D1335" s="49" t="s">
        <v>51</v>
      </c>
      <c r="E1335" s="49" t="s">
        <v>3315</v>
      </c>
      <c r="F1335" s="76" t="str">
        <f>IFERROR(IF(Tabla1[[#This Row],[CONCEPTO mx]]="","",VLOOKUP(Tabla1[[#This Row],[CONCEPTO mx]],Tabla2[#All],2,0)),"")</f>
        <v>CM40</v>
      </c>
      <c r="G1335" s="76" t="str">
        <f>IFERROR(IF(Tabla1[[#This Row],[CONCEPTO mx]]="","",VLOOKUP(Tabla1[[#This Row],[CONCEPTO mx]],Tabla2[#All],3,0)),"")</f>
        <v>SST</v>
      </c>
      <c r="H1335" s="49" t="s">
        <v>484</v>
      </c>
      <c r="I1335" s="49" t="s">
        <v>2298</v>
      </c>
      <c r="J1335" s="59" t="s">
        <v>3360</v>
      </c>
      <c r="L1335" s="59" t="s">
        <v>3361</v>
      </c>
    </row>
    <row r="1336" spans="1:12" x14ac:dyDescent="0.25">
      <c r="A1336" s="51">
        <v>43504</v>
      </c>
      <c r="B1336" s="50">
        <v>1041268123</v>
      </c>
      <c r="C1336" s="59" t="s">
        <v>1838</v>
      </c>
      <c r="D1336" s="49" t="s">
        <v>51</v>
      </c>
      <c r="E1336" s="49" t="s">
        <v>3250</v>
      </c>
      <c r="F1336" s="76" t="str">
        <f>IFERROR(IF(Tabla1[[#This Row],[CONCEPTO mx]]="","",VLOOKUP(Tabla1[[#This Row],[CONCEPTO mx]],Tabla2[#All],2,0)),"")</f>
        <v>CM12</v>
      </c>
      <c r="G1336" s="76" t="str">
        <f>IFERROR(IF(Tabla1[[#This Row],[CONCEPTO mx]]="","",VLOOKUP(Tabla1[[#This Row],[CONCEPTO mx]],Tabla2[#All],3,0)),"")</f>
        <v>SST</v>
      </c>
      <c r="H1336" s="49" t="s">
        <v>438</v>
      </c>
      <c r="I1336" s="49" t="s">
        <v>2298</v>
      </c>
      <c r="J1336" s="49" t="s">
        <v>2834</v>
      </c>
      <c r="L1336" s="59" t="s">
        <v>3372</v>
      </c>
    </row>
    <row r="1337" spans="1:12" x14ac:dyDescent="0.25">
      <c r="A1337" s="51">
        <v>43504</v>
      </c>
      <c r="C1337" s="52" t="s">
        <v>3098</v>
      </c>
      <c r="D1337" s="67" t="s">
        <v>51</v>
      </c>
      <c r="E1337" s="49" t="s">
        <v>3315</v>
      </c>
      <c r="F1337" s="49" t="str">
        <f>IFERROR(IF(Tabla1[[#This Row],[CONCEPTO mx]]="","",VLOOKUP(Tabla1[[#This Row],[CONCEPTO mx]],Tabla2[#All],2,0)),"")</f>
        <v>CM40</v>
      </c>
      <c r="G1337" s="49" t="str">
        <f>IFERROR(IF(Tabla1[[#This Row],[CONCEPTO mx]]="","",VLOOKUP(Tabla1[[#This Row],[CONCEPTO mx]],Tabla2[#All],3,0)),"")</f>
        <v>SST</v>
      </c>
      <c r="H1337" s="49" t="s">
        <v>352</v>
      </c>
      <c r="I1337" s="49" t="s">
        <v>2298</v>
      </c>
      <c r="J1337" s="52" t="s">
        <v>3099</v>
      </c>
      <c r="K1337" s="51">
        <v>43493</v>
      </c>
      <c r="L1337" s="59" t="s">
        <v>3370</v>
      </c>
    </row>
    <row r="1338" spans="1:12" x14ac:dyDescent="0.25">
      <c r="A1338" s="51">
        <v>43504</v>
      </c>
      <c r="B1338" s="59">
        <v>1028031070</v>
      </c>
      <c r="C1338" s="59" t="s">
        <v>3350</v>
      </c>
      <c r="D1338" s="49" t="s">
        <v>51</v>
      </c>
      <c r="E1338" s="49" t="s">
        <v>3248</v>
      </c>
      <c r="F1338" s="76" t="str">
        <f>IFERROR(IF(Tabla1[[#This Row],[CONCEPTO mx]]="","",VLOOKUP(Tabla1[[#This Row],[CONCEPTO mx]],Tabla2[#All],2,0)),"")</f>
        <v>CM1</v>
      </c>
      <c r="G1338" s="76" t="str">
        <f>IFERROR(IF(Tabla1[[#This Row],[CONCEPTO mx]]="","",VLOOKUP(Tabla1[[#This Row],[CONCEPTO mx]],Tabla2[#All],3,0)),"")</f>
        <v>Gestión Humana</v>
      </c>
      <c r="H1338" s="49" t="s">
        <v>413</v>
      </c>
      <c r="I1338" s="49" t="s">
        <v>2298</v>
      </c>
      <c r="J1338" s="49" t="s">
        <v>2811</v>
      </c>
    </row>
    <row r="1339" spans="1:12" x14ac:dyDescent="0.25">
      <c r="A1339" s="51">
        <v>43504</v>
      </c>
      <c r="C1339" s="59" t="s">
        <v>3263</v>
      </c>
      <c r="D1339" s="49" t="s">
        <v>51</v>
      </c>
      <c r="E1339" s="49" t="s">
        <v>3250</v>
      </c>
      <c r="F1339" s="76" t="str">
        <f>IFERROR(IF(Tabla1[[#This Row],[CONCEPTO mx]]="","",VLOOKUP(Tabla1[[#This Row],[CONCEPTO mx]],Tabla2[#All],2,0)),"")</f>
        <v>CM12</v>
      </c>
      <c r="G1339" s="76" t="str">
        <f>IFERROR(IF(Tabla1[[#This Row],[CONCEPTO mx]]="","",VLOOKUP(Tabla1[[#This Row],[CONCEPTO mx]],Tabla2[#All],3,0)),"")</f>
        <v>SST</v>
      </c>
      <c r="H1339" s="49" t="s">
        <v>438</v>
      </c>
      <c r="I1339" s="59" t="s">
        <v>3392</v>
      </c>
      <c r="J1339" s="49" t="s">
        <v>4467</v>
      </c>
      <c r="L1339" s="59" t="s">
        <v>3345</v>
      </c>
    </row>
    <row r="1340" spans="1:12" x14ac:dyDescent="0.25">
      <c r="A1340" s="51">
        <v>43504</v>
      </c>
      <c r="B1340" s="59">
        <v>813680827031993</v>
      </c>
      <c r="C1340" s="59" t="s">
        <v>3137</v>
      </c>
      <c r="D1340" s="49" t="s">
        <v>51</v>
      </c>
      <c r="E1340" s="49" t="s">
        <v>3197</v>
      </c>
      <c r="F1340" s="76" t="str">
        <f>IFERROR(IF(Tabla1[[#This Row],[CONCEPTO mx]]="","",VLOOKUP(Tabla1[[#This Row],[CONCEPTO mx]],Tabla2[#All],2,0)),"")</f>
        <v>CM14</v>
      </c>
      <c r="G1340" s="76" t="str">
        <f>IFERROR(IF(Tabla1[[#This Row],[CONCEPTO mx]]="","",VLOOKUP(Tabla1[[#This Row],[CONCEPTO mx]],Tabla2[#All],3,0)),"")</f>
        <v>SST</v>
      </c>
      <c r="H1340" s="49" t="s">
        <v>2394</v>
      </c>
      <c r="I1340" s="49" t="s">
        <v>2298</v>
      </c>
      <c r="J1340" s="59" t="s">
        <v>3136</v>
      </c>
    </row>
    <row r="1341" spans="1:12" x14ac:dyDescent="0.25">
      <c r="A1341" s="51">
        <v>43504</v>
      </c>
      <c r="B1341" s="59">
        <v>1028004487</v>
      </c>
      <c r="C1341" s="59" t="s">
        <v>3364</v>
      </c>
      <c r="D1341" s="49" t="s">
        <v>51</v>
      </c>
      <c r="E1341" s="49" t="s">
        <v>3197</v>
      </c>
      <c r="F1341" s="76" t="str">
        <f>IFERROR(IF(Tabla1[[#This Row],[CONCEPTO mx]]="","",VLOOKUP(Tabla1[[#This Row],[CONCEPTO mx]],Tabla2[#All],2,0)),"")</f>
        <v>CM14</v>
      </c>
      <c r="G1341" s="76" t="str">
        <f>IFERROR(IF(Tabla1[[#This Row],[CONCEPTO mx]]="","",VLOOKUP(Tabla1[[#This Row],[CONCEPTO mx]],Tabla2[#All],3,0)),"")</f>
        <v>SST</v>
      </c>
      <c r="H1341" s="49" t="s">
        <v>387</v>
      </c>
      <c r="I1341" s="49" t="s">
        <v>2298</v>
      </c>
      <c r="J1341" s="49" t="s">
        <v>2341</v>
      </c>
    </row>
    <row r="1342" spans="1:12" x14ac:dyDescent="0.25">
      <c r="A1342" s="51">
        <v>43504</v>
      </c>
      <c r="B1342" s="59">
        <v>1027946903</v>
      </c>
      <c r="C1342" s="59" t="s">
        <v>3380</v>
      </c>
      <c r="D1342" s="49" t="s">
        <v>51</v>
      </c>
      <c r="E1342" s="49" t="s">
        <v>3248</v>
      </c>
      <c r="F1342" s="76" t="str">
        <f>IFERROR(IF(Tabla1[[#This Row],[CONCEPTO mx]]="","",VLOOKUP(Tabla1[[#This Row],[CONCEPTO mx]],Tabla2[#All],2,0)),"")</f>
        <v>CM1</v>
      </c>
      <c r="G1342" s="76" t="str">
        <f>IFERROR(IF(Tabla1[[#This Row],[CONCEPTO mx]]="","",VLOOKUP(Tabla1[[#This Row],[CONCEPTO mx]],Tabla2[#All],3,0)),"")</f>
        <v>Gestión Humana</v>
      </c>
      <c r="H1342" s="49" t="s">
        <v>387</v>
      </c>
      <c r="I1342" s="49" t="s">
        <v>2298</v>
      </c>
      <c r="J1342" s="49" t="s">
        <v>2845</v>
      </c>
    </row>
    <row r="1343" spans="1:12" x14ac:dyDescent="0.25">
      <c r="A1343" s="51">
        <v>43504</v>
      </c>
      <c r="B1343" s="59">
        <v>915340012011986</v>
      </c>
      <c r="C1343" s="59" t="s">
        <v>3356</v>
      </c>
      <c r="D1343" s="49" t="s">
        <v>51</v>
      </c>
      <c r="E1343" s="49" t="s">
        <v>3250</v>
      </c>
      <c r="F1343" s="76" t="str">
        <f>IFERROR(IF(Tabla1[[#This Row],[CONCEPTO mx]]="","",VLOOKUP(Tabla1[[#This Row],[CONCEPTO mx]],Tabla2[#All],2,0)),"")</f>
        <v>CM12</v>
      </c>
      <c r="G1343" s="76" t="str">
        <f>IFERROR(IF(Tabla1[[#This Row],[CONCEPTO mx]]="","",VLOOKUP(Tabla1[[#This Row],[CONCEPTO mx]],Tabla2[#All],3,0)),"")</f>
        <v>SST</v>
      </c>
      <c r="H1343" s="49" t="s">
        <v>387</v>
      </c>
      <c r="I1343" s="49" t="s">
        <v>2298</v>
      </c>
      <c r="J1343" s="49" t="s">
        <v>3355</v>
      </c>
      <c r="L1343" s="59" t="s">
        <v>2597</v>
      </c>
    </row>
    <row r="1344" spans="1:12" x14ac:dyDescent="0.25">
      <c r="A1344" s="51">
        <v>43504</v>
      </c>
      <c r="B1344" s="59">
        <v>1026592474</v>
      </c>
      <c r="C1344" s="59" t="s">
        <v>3368</v>
      </c>
      <c r="E1344" s="49" t="s">
        <v>2355</v>
      </c>
      <c r="F1344" s="76" t="str">
        <f>IFERROR(IF(Tabla1[[#This Row],[CONCEPTO mx]]="","",VLOOKUP(Tabla1[[#This Row],[CONCEPTO mx]],Tabla2[#All],2,0)),"")</f>
        <v>CM13</v>
      </c>
      <c r="G1344" s="76" t="str">
        <f>IFERROR(IF(Tabla1[[#This Row],[CONCEPTO mx]]="","",VLOOKUP(Tabla1[[#This Row],[CONCEPTO mx]],Tabla2[#All],3,0)),"")</f>
        <v>Gestión Humana</v>
      </c>
      <c r="H1344" s="49" t="s">
        <v>413</v>
      </c>
      <c r="I1344" s="49" t="s">
        <v>2298</v>
      </c>
      <c r="J1344" s="59" t="s">
        <v>3369</v>
      </c>
    </row>
    <row r="1345" spans="1:12" x14ac:dyDescent="0.25">
      <c r="A1345" s="51">
        <v>43504</v>
      </c>
      <c r="C1345" s="59" t="s">
        <v>3061</v>
      </c>
      <c r="D1345" s="49" t="s">
        <v>51</v>
      </c>
      <c r="E1345" s="49" t="s">
        <v>3250</v>
      </c>
      <c r="F1345" s="76" t="str">
        <f>IFERROR(IF(Tabla1[[#This Row],[CONCEPTO mx]]="","",VLOOKUP(Tabla1[[#This Row],[CONCEPTO mx]],Tabla2[#All],2,0)),"")</f>
        <v>CM12</v>
      </c>
      <c r="G1345" s="76" t="str">
        <f>IFERROR(IF(Tabla1[[#This Row],[CONCEPTO mx]]="","",VLOOKUP(Tabla1[[#This Row],[CONCEPTO mx]],Tabla2[#All],3,0)),"")</f>
        <v>SST</v>
      </c>
      <c r="H1345" s="49" t="s">
        <v>413</v>
      </c>
      <c r="I1345" s="49" t="s">
        <v>2298</v>
      </c>
      <c r="J1345" s="49" t="s">
        <v>3344</v>
      </c>
      <c r="K1345" s="51">
        <v>43486</v>
      </c>
      <c r="L1345" s="59" t="s">
        <v>3345</v>
      </c>
    </row>
    <row r="1346" spans="1:12" x14ac:dyDescent="0.25">
      <c r="A1346" s="51">
        <v>43504</v>
      </c>
      <c r="B1346" s="59">
        <v>1027959527</v>
      </c>
      <c r="C1346" s="59" t="s">
        <v>3362</v>
      </c>
      <c r="D1346" s="49" t="s">
        <v>51</v>
      </c>
      <c r="E1346" s="49" t="s">
        <v>3249</v>
      </c>
      <c r="F1346" s="76" t="str">
        <f>IFERROR(IF(Tabla1[[#This Row],[CONCEPTO mx]]="","",VLOOKUP(Tabla1[[#This Row],[CONCEPTO mx]],Tabla2[#All],2,0)),"")</f>
        <v>CM3</v>
      </c>
      <c r="G1346" s="76" t="str">
        <f>IFERROR(IF(Tabla1[[#This Row],[CONCEPTO mx]]="","",VLOOKUP(Tabla1[[#This Row],[CONCEPTO mx]],Tabla2[#All],3,0)),"")</f>
        <v>SST</v>
      </c>
      <c r="H1346" s="49" t="s">
        <v>550</v>
      </c>
      <c r="I1346" s="49" t="s">
        <v>2298</v>
      </c>
      <c r="J1346" s="49" t="s">
        <v>2314</v>
      </c>
    </row>
    <row r="1347" spans="1:12" x14ac:dyDescent="0.25">
      <c r="A1347" s="51">
        <v>43504</v>
      </c>
      <c r="C1347" s="59" t="s">
        <v>3265</v>
      </c>
      <c r="D1347" s="49" t="s">
        <v>51</v>
      </c>
      <c r="E1347" s="49" t="s">
        <v>3195</v>
      </c>
      <c r="F1347" s="76" t="str">
        <f>IFERROR(IF(Tabla1[[#This Row],[CONCEPTO mx]]="","",VLOOKUP(Tabla1[[#This Row],[CONCEPTO mx]],Tabla2[#All],2,0)),"")</f>
        <v>CM19</v>
      </c>
      <c r="G1347" s="76" t="str">
        <f>IFERROR(IF(Tabla1[[#This Row],[CONCEPTO mx]]="","",VLOOKUP(Tabla1[[#This Row],[CONCEPTO mx]],Tabla2[#All],3,0)),"")</f>
        <v>SST</v>
      </c>
      <c r="H1347" s="49" t="s">
        <v>2391</v>
      </c>
      <c r="I1347" s="49" t="s">
        <v>2298</v>
      </c>
      <c r="J1347" s="59" t="s">
        <v>3266</v>
      </c>
      <c r="L1347" s="59" t="s">
        <v>3363</v>
      </c>
    </row>
    <row r="1348" spans="1:12" x14ac:dyDescent="0.25">
      <c r="A1348" s="51">
        <v>43504</v>
      </c>
      <c r="B1348" s="59">
        <v>1028024665</v>
      </c>
      <c r="C1348" s="59" t="s">
        <v>1530</v>
      </c>
      <c r="D1348" s="49" t="s">
        <v>51</v>
      </c>
      <c r="E1348" s="49" t="s">
        <v>3250</v>
      </c>
      <c r="F1348" s="76" t="str">
        <f>IFERROR(IF(Tabla1[[#This Row],[CONCEPTO mx]]="","",VLOOKUP(Tabla1[[#This Row],[CONCEPTO mx]],Tabla2[#All],2,0)),"")</f>
        <v>CM12</v>
      </c>
      <c r="G1348" s="76" t="str">
        <f>IFERROR(IF(Tabla1[[#This Row],[CONCEPTO mx]]="","",VLOOKUP(Tabla1[[#This Row],[CONCEPTO mx]],Tabla2[#All],3,0)),"")</f>
        <v>SST</v>
      </c>
      <c r="H1348" s="49" t="s">
        <v>413</v>
      </c>
      <c r="I1348" s="49" t="s">
        <v>3392</v>
      </c>
      <c r="J1348" s="49" t="s">
        <v>4464</v>
      </c>
      <c r="L1348" s="59" t="s">
        <v>3314</v>
      </c>
    </row>
    <row r="1349" spans="1:12" x14ac:dyDescent="0.25">
      <c r="A1349" s="51">
        <v>43504</v>
      </c>
      <c r="B1349" s="59">
        <v>1040379924</v>
      </c>
      <c r="C1349" s="59" t="s">
        <v>3357</v>
      </c>
      <c r="D1349" s="49" t="s">
        <v>51</v>
      </c>
      <c r="E1349" s="49" t="s">
        <v>3250</v>
      </c>
      <c r="F1349" s="76" t="str">
        <f>IFERROR(IF(Tabla1[[#This Row],[CONCEPTO mx]]="","",VLOOKUP(Tabla1[[#This Row],[CONCEPTO mx]],Tabla2[#All],2,0)),"")</f>
        <v>CM12</v>
      </c>
      <c r="G1349" s="76" t="str">
        <f>IFERROR(IF(Tabla1[[#This Row],[CONCEPTO mx]]="","",VLOOKUP(Tabla1[[#This Row],[CONCEPTO mx]],Tabla2[#All],3,0)),"")</f>
        <v>SST</v>
      </c>
      <c r="H1349" s="49" t="s">
        <v>516</v>
      </c>
      <c r="I1349" s="49" t="s">
        <v>2298</v>
      </c>
      <c r="J1349" s="81" t="s">
        <v>3335</v>
      </c>
      <c r="L1349" s="49" t="s">
        <v>3373</v>
      </c>
    </row>
    <row r="1350" spans="1:12" x14ac:dyDescent="0.25">
      <c r="A1350" s="51">
        <v>43504</v>
      </c>
      <c r="B1350" s="59">
        <v>1028035527</v>
      </c>
      <c r="C1350" s="59" t="s">
        <v>3343</v>
      </c>
      <c r="D1350" s="49" t="s">
        <v>51</v>
      </c>
      <c r="E1350" s="49" t="s">
        <v>3197</v>
      </c>
      <c r="F1350" s="76" t="str">
        <f>IFERROR(IF(Tabla1[[#This Row],[CONCEPTO mx]]="","",VLOOKUP(Tabla1[[#This Row],[CONCEPTO mx]],Tabla2[#All],2,0)),"")</f>
        <v>CM14</v>
      </c>
      <c r="G1350" s="76" t="str">
        <f>IFERROR(IF(Tabla1[[#This Row],[CONCEPTO mx]]="","",VLOOKUP(Tabla1[[#This Row],[CONCEPTO mx]],Tabla2[#All],3,0)),"")</f>
        <v>SST</v>
      </c>
      <c r="H1350" s="49" t="s">
        <v>516</v>
      </c>
      <c r="I1350" s="49" t="s">
        <v>2419</v>
      </c>
      <c r="J1350" s="59" t="s">
        <v>4465</v>
      </c>
    </row>
    <row r="1351" spans="1:12" x14ac:dyDescent="0.25">
      <c r="A1351" s="51">
        <v>43504</v>
      </c>
      <c r="B1351" s="59">
        <v>1039284957</v>
      </c>
      <c r="C1351" s="59" t="s">
        <v>3358</v>
      </c>
      <c r="D1351" s="49" t="s">
        <v>51</v>
      </c>
      <c r="E1351" s="49" t="s">
        <v>3250</v>
      </c>
      <c r="F1351" s="76" t="str">
        <f>IFERROR(IF(Tabla1[[#This Row],[CONCEPTO mx]]="","",VLOOKUP(Tabla1[[#This Row],[CONCEPTO mx]],Tabla2[#All],2,0)),"")</f>
        <v>CM12</v>
      </c>
      <c r="G1351" s="76" t="str">
        <f>IFERROR(IF(Tabla1[[#This Row],[CONCEPTO mx]]="","",VLOOKUP(Tabla1[[#This Row],[CONCEPTO mx]],Tabla2[#All],3,0)),"")</f>
        <v>SST</v>
      </c>
      <c r="H1351" s="49" t="s">
        <v>470</v>
      </c>
      <c r="I1351" s="49" t="s">
        <v>2298</v>
      </c>
      <c r="J1351" s="59" t="s">
        <v>3063</v>
      </c>
      <c r="L1351" s="59" t="s">
        <v>3374</v>
      </c>
    </row>
    <row r="1352" spans="1:12" x14ac:dyDescent="0.25">
      <c r="A1352" s="51">
        <v>43504</v>
      </c>
      <c r="B1352" s="59">
        <v>71351155</v>
      </c>
      <c r="C1352" s="59" t="s">
        <v>3379</v>
      </c>
      <c r="D1352" s="49" t="s">
        <v>51</v>
      </c>
      <c r="E1352" s="49" t="s">
        <v>3248</v>
      </c>
      <c r="F1352" s="76" t="str">
        <f>IFERROR(IF(Tabla1[[#This Row],[CONCEPTO mx]]="","",VLOOKUP(Tabla1[[#This Row],[CONCEPTO mx]],Tabla2[#All],2,0)),"")</f>
        <v>CM1</v>
      </c>
      <c r="G1352" s="76" t="str">
        <f>IFERROR(IF(Tabla1[[#This Row],[CONCEPTO mx]]="","",VLOOKUP(Tabla1[[#This Row],[CONCEPTO mx]],Tabla2[#All],3,0)),"")</f>
        <v>Gestión Humana</v>
      </c>
      <c r="H1352" s="49" t="s">
        <v>2394</v>
      </c>
      <c r="I1352" s="49" t="s">
        <v>2298</v>
      </c>
      <c r="J1352" s="49" t="s">
        <v>2845</v>
      </c>
    </row>
    <row r="1353" spans="1:12" x14ac:dyDescent="0.25">
      <c r="A1353" s="51">
        <v>43504</v>
      </c>
      <c r="B1353" s="59">
        <v>1023882388</v>
      </c>
      <c r="C1353" s="59" t="s">
        <v>3352</v>
      </c>
      <c r="D1353" s="49" t="s">
        <v>51</v>
      </c>
      <c r="E1353" s="49" t="s">
        <v>3315</v>
      </c>
      <c r="F1353" s="76" t="str">
        <f>IFERROR(IF(Tabla1[[#This Row],[CONCEPTO mx]]="","",VLOOKUP(Tabla1[[#This Row],[CONCEPTO mx]],Tabla2[#All],2,0)),"")</f>
        <v>CM40</v>
      </c>
      <c r="G1353" s="76" t="str">
        <f>IFERROR(IF(Tabla1[[#This Row],[CONCEPTO mx]]="","",VLOOKUP(Tabla1[[#This Row],[CONCEPTO mx]],Tabla2[#All],3,0)),"")</f>
        <v>SST</v>
      </c>
      <c r="H1353" s="49" t="s">
        <v>470</v>
      </c>
      <c r="I1353" s="49" t="s">
        <v>2298</v>
      </c>
      <c r="J1353" s="49" t="s">
        <v>2826</v>
      </c>
      <c r="L1353" s="59" t="s">
        <v>3351</v>
      </c>
    </row>
    <row r="1354" spans="1:12" x14ac:dyDescent="0.25">
      <c r="A1354" s="51">
        <v>43504</v>
      </c>
      <c r="C1354" s="59" t="s">
        <v>3365</v>
      </c>
      <c r="E1354" s="49" t="s">
        <v>2355</v>
      </c>
      <c r="F1354" s="76" t="str">
        <f>IFERROR(IF(Tabla1[[#This Row],[CONCEPTO mx]]="","",VLOOKUP(Tabla1[[#This Row],[CONCEPTO mx]],Tabla2[#All],2,0)),"")</f>
        <v>CM13</v>
      </c>
      <c r="G1354" s="76" t="str">
        <f>IFERROR(IF(Tabla1[[#This Row],[CONCEPTO mx]]="","",VLOOKUP(Tabla1[[#This Row],[CONCEPTO mx]],Tabla2[#All],3,0)),"")</f>
        <v>Gestión Humana</v>
      </c>
      <c r="H1354" s="49" t="s">
        <v>334</v>
      </c>
      <c r="I1354" s="49" t="s">
        <v>2298</v>
      </c>
      <c r="J1354" s="49" t="s">
        <v>2341</v>
      </c>
      <c r="L1354" s="59" t="s">
        <v>3366</v>
      </c>
    </row>
    <row r="1355" spans="1:12" x14ac:dyDescent="0.25">
      <c r="A1355" s="51">
        <v>43504</v>
      </c>
      <c r="B1355" s="59">
        <v>71353488</v>
      </c>
      <c r="C1355" s="59" t="s">
        <v>3367</v>
      </c>
      <c r="D1355" s="49" t="s">
        <v>51</v>
      </c>
      <c r="E1355" s="49" t="s">
        <v>3250</v>
      </c>
      <c r="F1355" s="76" t="str">
        <f>IFERROR(IF(Tabla1[[#This Row],[CONCEPTO mx]]="","",VLOOKUP(Tabla1[[#This Row],[CONCEPTO mx]],Tabla2[#All],2,0)),"")</f>
        <v>CM12</v>
      </c>
      <c r="G1355" s="76" t="str">
        <f>IFERROR(IF(Tabla1[[#This Row],[CONCEPTO mx]]="","",VLOOKUP(Tabla1[[#This Row],[CONCEPTO mx]],Tabla2[#All],3,0)),"")</f>
        <v>SST</v>
      </c>
      <c r="H1355" s="49" t="s">
        <v>486</v>
      </c>
      <c r="I1355" s="49" t="s">
        <v>2298</v>
      </c>
      <c r="J1355" s="49" t="s">
        <v>2341</v>
      </c>
      <c r="L1355" s="59" t="s">
        <v>3314</v>
      </c>
    </row>
    <row r="1356" spans="1:12" x14ac:dyDescent="0.25">
      <c r="A1356" s="51">
        <v>43504</v>
      </c>
      <c r="C1356" s="59" t="s">
        <v>3286</v>
      </c>
      <c r="D1356" s="49" t="s">
        <v>180</v>
      </c>
      <c r="E1356" s="49" t="s">
        <v>3185</v>
      </c>
      <c r="F1356" s="76" t="str">
        <f>IFERROR(IF(Tabla1[[#This Row],[CONCEPTO mx]]="","",VLOOKUP(Tabla1[[#This Row],[CONCEPTO mx]],Tabla2[#All],2,0)),"")</f>
        <v>CM5</v>
      </c>
      <c r="G1356" s="76" t="str">
        <f>IFERROR(IF(Tabla1[[#This Row],[CONCEPTO mx]]="","",VLOOKUP(Tabla1[[#This Row],[CONCEPTO mx]],Tabla2[#All],3,0)),"")</f>
        <v>SST</v>
      </c>
      <c r="H1356" s="49" t="s">
        <v>438</v>
      </c>
      <c r="I1356" s="49" t="s">
        <v>2298</v>
      </c>
      <c r="J1356" s="59" t="s">
        <v>1632</v>
      </c>
      <c r="K1356" s="51">
        <v>43496</v>
      </c>
    </row>
    <row r="1357" spans="1:12" x14ac:dyDescent="0.25">
      <c r="A1357" s="51">
        <v>43504</v>
      </c>
      <c r="B1357" s="59">
        <v>8436377</v>
      </c>
      <c r="C1357" s="59" t="s">
        <v>3354</v>
      </c>
      <c r="D1357" s="49" t="s">
        <v>180</v>
      </c>
      <c r="E1357" s="49" t="s">
        <v>3185</v>
      </c>
      <c r="F1357" s="76" t="str">
        <f>IFERROR(IF(Tabla1[[#This Row],[CONCEPTO mx]]="","",VLOOKUP(Tabla1[[#This Row],[CONCEPTO mx]],Tabla2[#All],2,0)),"")</f>
        <v>CM5</v>
      </c>
      <c r="G1357" s="76" t="str">
        <f>IFERROR(IF(Tabla1[[#This Row],[CONCEPTO mx]]="","",VLOOKUP(Tabla1[[#This Row],[CONCEPTO mx]],Tabla2[#All],3,0)),"")</f>
        <v>SST</v>
      </c>
      <c r="H1357" s="49" t="s">
        <v>438</v>
      </c>
      <c r="I1357" s="49" t="s">
        <v>2298</v>
      </c>
      <c r="J1357" s="59" t="s">
        <v>1632</v>
      </c>
      <c r="L1357" s="59" t="s">
        <v>3353</v>
      </c>
    </row>
    <row r="1358" spans="1:12" x14ac:dyDescent="0.25">
      <c r="A1358" s="51">
        <v>43504</v>
      </c>
      <c r="C1358" s="59" t="s">
        <v>3347</v>
      </c>
      <c r="D1358" s="49" t="s">
        <v>180</v>
      </c>
      <c r="E1358" s="49" t="s">
        <v>3193</v>
      </c>
      <c r="F1358" s="76" t="str">
        <f>IFERROR(IF(Tabla1[[#This Row],[CONCEPTO mx]]="","",VLOOKUP(Tabla1[[#This Row],[CONCEPTO mx]],Tabla2[#All],2,0)),"")</f>
        <v>CM30</v>
      </c>
      <c r="G1358" s="76" t="str">
        <f>IFERROR(IF(Tabla1[[#This Row],[CONCEPTO mx]]="","",VLOOKUP(Tabla1[[#This Row],[CONCEPTO mx]],Tabla2[#All],3,0)),"")</f>
        <v>SST</v>
      </c>
      <c r="H1358" s="49" t="s">
        <v>486</v>
      </c>
      <c r="I1358" s="49" t="s">
        <v>2298</v>
      </c>
      <c r="J1358" s="59" t="s">
        <v>3349</v>
      </c>
      <c r="L1358" s="59" t="s">
        <v>3348</v>
      </c>
    </row>
    <row r="1359" spans="1:12" x14ac:dyDescent="0.25">
      <c r="A1359" s="51">
        <v>43509</v>
      </c>
      <c r="B1359" s="50">
        <v>71352195</v>
      </c>
      <c r="C1359" s="49" t="s">
        <v>3377</v>
      </c>
      <c r="D1359" s="49" t="s">
        <v>51</v>
      </c>
      <c r="E1359" s="49" t="s">
        <v>2401</v>
      </c>
      <c r="F1359" s="76" t="str">
        <f>IFERROR(IF(Tabla1[[#This Row],[CONCEPTO mx]]="","",VLOOKUP(Tabla1[[#This Row],[CONCEPTO mx]],Tabla2[#All],2,0)),"")</f>
        <v>CM28</v>
      </c>
      <c r="G1359" s="76" t="str">
        <f>IFERROR(IF(Tabla1[[#This Row],[CONCEPTO mx]]="","",VLOOKUP(Tabla1[[#This Row],[CONCEPTO mx]],Tabla2[#All],3,0)),"")</f>
        <v>SST</v>
      </c>
      <c r="H1359" s="49" t="s">
        <v>388</v>
      </c>
      <c r="I1359" s="49" t="s">
        <v>2298</v>
      </c>
      <c r="J1359" s="49" t="s">
        <v>2302</v>
      </c>
    </row>
    <row r="1360" spans="1:12" x14ac:dyDescent="0.25">
      <c r="A1360" s="51">
        <v>43509</v>
      </c>
      <c r="B1360" s="50">
        <v>1078578494</v>
      </c>
      <c r="C1360" s="59" t="s">
        <v>3375</v>
      </c>
      <c r="D1360" s="49" t="s">
        <v>180</v>
      </c>
      <c r="E1360" s="49" t="s">
        <v>3198</v>
      </c>
      <c r="F1360" s="76" t="str">
        <f>IFERROR(IF(Tabla1[[#This Row],[CONCEPTO mx]]="","",VLOOKUP(Tabla1[[#This Row],[CONCEPTO mx]],Tabla2[#All],2,0)),"")</f>
        <v>CM6</v>
      </c>
      <c r="G1360" s="76" t="str">
        <f>IFERROR(IF(Tabla1[[#This Row],[CONCEPTO mx]]="","",VLOOKUP(Tabla1[[#This Row],[CONCEPTO mx]],Tabla2[#All],3,0)),"")</f>
        <v>SST</v>
      </c>
      <c r="H1360" s="49" t="s">
        <v>388</v>
      </c>
      <c r="I1360" s="49" t="s">
        <v>2298</v>
      </c>
      <c r="J1360" s="49" t="s">
        <v>2353</v>
      </c>
      <c r="L1360" s="59" t="s">
        <v>3384</v>
      </c>
    </row>
    <row r="1361" spans="1:12" x14ac:dyDescent="0.25">
      <c r="A1361" s="51">
        <v>43509</v>
      </c>
      <c r="B1361" s="50">
        <v>1028007251</v>
      </c>
      <c r="C1361" s="49" t="s">
        <v>3376</v>
      </c>
      <c r="D1361" s="49" t="s">
        <v>51</v>
      </c>
      <c r="E1361" s="49" t="s">
        <v>3250</v>
      </c>
      <c r="F1361" s="76" t="str">
        <f>IFERROR(IF(Tabla1[[#This Row],[CONCEPTO mx]]="","",VLOOKUP(Tabla1[[#This Row],[CONCEPTO mx]],Tabla2[#All],2,0)),"")</f>
        <v>CM12</v>
      </c>
      <c r="G1361" s="76" t="str">
        <f>IFERROR(IF(Tabla1[[#This Row],[CONCEPTO mx]]="","",VLOOKUP(Tabla1[[#This Row],[CONCEPTO mx]],Tabla2[#All],3,0)),"")</f>
        <v>SST</v>
      </c>
      <c r="H1361" s="49" t="s">
        <v>2394</v>
      </c>
      <c r="I1361" s="49" t="s">
        <v>2298</v>
      </c>
      <c r="J1361" s="49" t="s">
        <v>2353</v>
      </c>
    </row>
    <row r="1362" spans="1:12" x14ac:dyDescent="0.25">
      <c r="A1362" s="51">
        <v>43510</v>
      </c>
      <c r="B1362" s="59">
        <v>8436628</v>
      </c>
      <c r="C1362" s="59" t="s">
        <v>3393</v>
      </c>
      <c r="D1362" s="49" t="s">
        <v>51</v>
      </c>
      <c r="E1362" s="49" t="s">
        <v>3394</v>
      </c>
      <c r="F1362" s="76" t="str">
        <f>IFERROR(IF(Tabla1[[#This Row],[CONCEPTO mx]]="","",VLOOKUP(Tabla1[[#This Row],[CONCEPTO mx]],Tabla2[#All],2,0)),"")</f>
        <v>CM41</v>
      </c>
      <c r="G1362" s="76" t="str">
        <f>IFERROR(IF(Tabla1[[#This Row],[CONCEPTO mx]]="","",VLOOKUP(Tabla1[[#This Row],[CONCEPTO mx]],Tabla2[#All],3,0)),"")</f>
        <v>SST</v>
      </c>
      <c r="H1362" s="49" t="s">
        <v>2391</v>
      </c>
      <c r="I1362" s="49" t="s">
        <v>2298</v>
      </c>
      <c r="J1362" s="49" t="s">
        <v>3396</v>
      </c>
    </row>
    <row r="1363" spans="1:12" x14ac:dyDescent="0.25">
      <c r="A1363" s="51">
        <v>43510</v>
      </c>
      <c r="B1363" s="59">
        <v>71257240</v>
      </c>
      <c r="C1363" s="59" t="s">
        <v>3398</v>
      </c>
      <c r="D1363" s="49" t="s">
        <v>51</v>
      </c>
      <c r="E1363" s="49" t="s">
        <v>3250</v>
      </c>
      <c r="F1363" s="76" t="str">
        <f>IFERROR(IF(Tabla1[[#This Row],[CONCEPTO mx]]="","",VLOOKUP(Tabla1[[#This Row],[CONCEPTO mx]],Tabla2[#All],2,0)),"")</f>
        <v>CM12</v>
      </c>
      <c r="G1363" s="76" t="str">
        <f>IFERROR(IF(Tabla1[[#This Row],[CONCEPTO mx]]="","",VLOOKUP(Tabla1[[#This Row],[CONCEPTO mx]],Tabla2[#All],3,0)),"")</f>
        <v>SST</v>
      </c>
      <c r="H1363" s="49" t="s">
        <v>438</v>
      </c>
      <c r="I1363" s="49" t="s">
        <v>2298</v>
      </c>
      <c r="J1363" s="59" t="s">
        <v>3399</v>
      </c>
      <c r="L1363" s="59" t="s">
        <v>2597</v>
      </c>
    </row>
    <row r="1364" spans="1:12" x14ac:dyDescent="0.25">
      <c r="A1364" s="51">
        <v>43510</v>
      </c>
      <c r="B1364" s="59">
        <v>10903398</v>
      </c>
      <c r="C1364" s="59" t="s">
        <v>3382</v>
      </c>
      <c r="E1364" s="49" t="s">
        <v>2355</v>
      </c>
      <c r="F1364" s="76" t="str">
        <f>IFERROR(IF(Tabla1[[#This Row],[CONCEPTO mx]]="","",VLOOKUP(Tabla1[[#This Row],[CONCEPTO mx]],Tabla2[#All],2,0)),"")</f>
        <v>CM13</v>
      </c>
      <c r="G1364" s="76" t="str">
        <f>IFERROR(IF(Tabla1[[#This Row],[CONCEPTO mx]]="","",VLOOKUP(Tabla1[[#This Row],[CONCEPTO mx]],Tabla2[#All],3,0)),"")</f>
        <v>Gestión Humana</v>
      </c>
      <c r="H1364" s="49" t="s">
        <v>387</v>
      </c>
      <c r="I1364" s="49" t="s">
        <v>2298</v>
      </c>
      <c r="J1364" s="49" t="s">
        <v>2353</v>
      </c>
    </row>
    <row r="1365" spans="1:12" x14ac:dyDescent="0.25">
      <c r="A1365" s="51">
        <v>43510</v>
      </c>
      <c r="B1365" s="59">
        <v>1001031977</v>
      </c>
      <c r="C1365" s="59" t="s">
        <v>3383</v>
      </c>
      <c r="D1365" s="49" t="s">
        <v>180</v>
      </c>
      <c r="E1365" s="49" t="s">
        <v>3188</v>
      </c>
      <c r="F1365" s="76" t="str">
        <f>IFERROR(IF(Tabla1[[#This Row],[CONCEPTO mx]]="","",VLOOKUP(Tabla1[[#This Row],[CONCEPTO mx]],Tabla2[#All],2,0)),"")</f>
        <v>CM7</v>
      </c>
      <c r="G1365" s="76" t="str">
        <f>IFERROR(IF(Tabla1[[#This Row],[CONCEPTO mx]]="","",VLOOKUP(Tabla1[[#This Row],[CONCEPTO mx]],Tabla2[#All],3,0)),"")</f>
        <v>SST</v>
      </c>
      <c r="H1365" s="49" t="s">
        <v>387</v>
      </c>
      <c r="I1365" s="49" t="s">
        <v>2298</v>
      </c>
      <c r="J1365" s="49" t="s">
        <v>2353</v>
      </c>
    </row>
    <row r="1366" spans="1:12" x14ac:dyDescent="0.25">
      <c r="A1366" s="51">
        <v>43510</v>
      </c>
      <c r="B1366" s="59">
        <v>1040360590</v>
      </c>
      <c r="C1366" s="59" t="s">
        <v>3402</v>
      </c>
      <c r="D1366" s="49" t="s">
        <v>51</v>
      </c>
      <c r="E1366" s="49" t="s">
        <v>3315</v>
      </c>
      <c r="F1366" s="76" t="str">
        <f>IFERROR(IF(Tabla1[[#This Row],[CONCEPTO mx]]="","",VLOOKUP(Tabla1[[#This Row],[CONCEPTO mx]],Tabla2[#All],2,0)),"")</f>
        <v>CM40</v>
      </c>
      <c r="G1366" s="76" t="str">
        <f>IFERROR(IF(Tabla1[[#This Row],[CONCEPTO mx]]="","",VLOOKUP(Tabla1[[#This Row],[CONCEPTO mx]],Tabla2[#All],3,0)),"")</f>
        <v>SST</v>
      </c>
      <c r="H1366" s="49" t="s">
        <v>486</v>
      </c>
      <c r="I1366" s="49" t="s">
        <v>2298</v>
      </c>
      <c r="J1366" s="49" t="s">
        <v>2845</v>
      </c>
      <c r="L1366" s="59" t="s">
        <v>3403</v>
      </c>
    </row>
    <row r="1367" spans="1:12" x14ac:dyDescent="0.25">
      <c r="A1367" s="51">
        <v>43510</v>
      </c>
      <c r="B1367" s="59">
        <v>1073994649</v>
      </c>
      <c r="C1367" s="59" t="s">
        <v>3381</v>
      </c>
      <c r="D1367" s="49" t="s">
        <v>51</v>
      </c>
      <c r="E1367" s="49" t="s">
        <v>3248</v>
      </c>
      <c r="F1367" s="76" t="str">
        <f>IFERROR(IF(Tabla1[[#This Row],[CONCEPTO mx]]="","",VLOOKUP(Tabla1[[#This Row],[CONCEPTO mx]],Tabla2[#All],2,0)),"")</f>
        <v>CM1</v>
      </c>
      <c r="G1367" s="76" t="str">
        <f>IFERROR(IF(Tabla1[[#This Row],[CONCEPTO mx]]="","",VLOOKUP(Tabla1[[#This Row],[CONCEPTO mx]],Tabla2[#All],3,0)),"")</f>
        <v>Gestión Humana</v>
      </c>
      <c r="H1367" s="49" t="s">
        <v>387</v>
      </c>
      <c r="I1367" s="49" t="s">
        <v>2298</v>
      </c>
      <c r="J1367" s="49" t="s">
        <v>2865</v>
      </c>
    </row>
    <row r="1368" spans="1:12" x14ac:dyDescent="0.25">
      <c r="A1368" s="51">
        <v>43510</v>
      </c>
      <c r="B1368" s="59">
        <v>1045516679</v>
      </c>
      <c r="C1368" s="59" t="s">
        <v>3401</v>
      </c>
      <c r="D1368" s="49" t="s">
        <v>51</v>
      </c>
      <c r="E1368" s="49" t="s">
        <v>3248</v>
      </c>
      <c r="F1368" s="76" t="str">
        <f>IFERROR(IF(Tabla1[[#This Row],[CONCEPTO mx]]="","",VLOOKUP(Tabla1[[#This Row],[CONCEPTO mx]],Tabla2[#All],2,0)),"")</f>
        <v>CM1</v>
      </c>
      <c r="G1368" s="76" t="str">
        <f>IFERROR(IF(Tabla1[[#This Row],[CONCEPTO mx]]="","",VLOOKUP(Tabla1[[#This Row],[CONCEPTO mx]],Tabla2[#All],3,0)),"")</f>
        <v>Gestión Humana</v>
      </c>
      <c r="H1368" s="49" t="s">
        <v>438</v>
      </c>
      <c r="I1368" s="49" t="s">
        <v>2298</v>
      </c>
      <c r="J1368" s="49" t="s">
        <v>2409</v>
      </c>
    </row>
    <row r="1369" spans="1:12" x14ac:dyDescent="0.25">
      <c r="A1369" s="51">
        <v>43510</v>
      </c>
      <c r="B1369" s="59">
        <v>1028036843</v>
      </c>
      <c r="C1369" s="59" t="s">
        <v>3390</v>
      </c>
      <c r="D1369" s="49" t="s">
        <v>51</v>
      </c>
      <c r="E1369" s="49" t="s">
        <v>3249</v>
      </c>
      <c r="F1369" s="76" t="str">
        <f>IFERROR(IF(Tabla1[[#This Row],[CONCEPTO mx]]="","",VLOOKUP(Tabla1[[#This Row],[CONCEPTO mx]],Tabla2[#All],2,0)),"")</f>
        <v>CM3</v>
      </c>
      <c r="G1369" s="76" t="str">
        <f>IFERROR(IF(Tabla1[[#This Row],[CONCEPTO mx]]="","",VLOOKUP(Tabla1[[#This Row],[CONCEPTO mx]],Tabla2[#All],3,0)),"")</f>
        <v>SST</v>
      </c>
      <c r="H1369" s="49" t="s">
        <v>413</v>
      </c>
      <c r="I1369" s="49" t="s">
        <v>2298</v>
      </c>
      <c r="J1369" s="49" t="s">
        <v>2307</v>
      </c>
    </row>
    <row r="1370" spans="1:12" x14ac:dyDescent="0.25">
      <c r="A1370" s="51">
        <v>43510</v>
      </c>
      <c r="B1370" s="59">
        <v>1038822852</v>
      </c>
      <c r="C1370" s="59" t="s">
        <v>3404</v>
      </c>
      <c r="D1370" s="49" t="s">
        <v>51</v>
      </c>
      <c r="E1370" s="49" t="s">
        <v>3248</v>
      </c>
      <c r="F1370" s="76" t="str">
        <f>IFERROR(IF(Tabla1[[#This Row],[CONCEPTO mx]]="","",VLOOKUP(Tabla1[[#This Row],[CONCEPTO mx]],Tabla2[#All],2,0)),"")</f>
        <v>CM1</v>
      </c>
      <c r="G1370" s="76" t="str">
        <f>IFERROR(IF(Tabla1[[#This Row],[CONCEPTO mx]]="","",VLOOKUP(Tabla1[[#This Row],[CONCEPTO mx]],Tabla2[#All],3,0)),"")</f>
        <v>Gestión Humana</v>
      </c>
      <c r="H1370" s="49" t="s">
        <v>2391</v>
      </c>
      <c r="I1370" s="49" t="s">
        <v>2298</v>
      </c>
      <c r="J1370" s="49" t="s">
        <v>475</v>
      </c>
    </row>
    <row r="1371" spans="1:12" x14ac:dyDescent="0.25">
      <c r="A1371" s="51">
        <v>43510</v>
      </c>
      <c r="B1371" s="59">
        <v>1003070139</v>
      </c>
      <c r="C1371" s="59" t="s">
        <v>3400</v>
      </c>
      <c r="D1371" s="49" t="s">
        <v>51</v>
      </c>
      <c r="E1371" s="49" t="s">
        <v>3248</v>
      </c>
      <c r="F1371" s="76" t="str">
        <f>IFERROR(IF(Tabla1[[#This Row],[CONCEPTO mx]]="","",VLOOKUP(Tabla1[[#This Row],[CONCEPTO mx]],Tabla2[#All],2,0)),"")</f>
        <v>CM1</v>
      </c>
      <c r="G1371" s="76" t="str">
        <f>IFERROR(IF(Tabla1[[#This Row],[CONCEPTO mx]]="","",VLOOKUP(Tabla1[[#This Row],[CONCEPTO mx]],Tabla2[#All],3,0)),"")</f>
        <v>Gestión Humana</v>
      </c>
      <c r="H1371" s="49" t="s">
        <v>2391</v>
      </c>
      <c r="I1371" s="49" t="s">
        <v>2298</v>
      </c>
      <c r="J1371" s="49" t="s">
        <v>2297</v>
      </c>
    </row>
    <row r="1372" spans="1:12" x14ac:dyDescent="0.25">
      <c r="A1372" s="51">
        <v>43510</v>
      </c>
      <c r="B1372" s="59">
        <v>1037122427</v>
      </c>
      <c r="C1372" s="59" t="s">
        <v>3391</v>
      </c>
      <c r="D1372" s="49" t="s">
        <v>51</v>
      </c>
      <c r="E1372" s="49" t="s">
        <v>3248</v>
      </c>
      <c r="F1372" s="76" t="str">
        <f>IFERROR(IF(Tabla1[[#This Row],[CONCEPTO mx]]="","",VLOOKUP(Tabla1[[#This Row],[CONCEPTO mx]],Tabla2[#All],2,0)),"")</f>
        <v>CM1</v>
      </c>
      <c r="G1372" s="76" t="str">
        <f>IFERROR(IF(Tabla1[[#This Row],[CONCEPTO mx]]="","",VLOOKUP(Tabla1[[#This Row],[CONCEPTO mx]],Tabla2[#All],3,0)),"")</f>
        <v>Gestión Humana</v>
      </c>
      <c r="H1372" s="49" t="s">
        <v>2393</v>
      </c>
      <c r="I1372" s="49" t="s">
        <v>2298</v>
      </c>
      <c r="J1372" s="49" t="s">
        <v>2302</v>
      </c>
    </row>
    <row r="1373" spans="1:12" x14ac:dyDescent="0.25">
      <c r="A1373" s="51">
        <v>43510</v>
      </c>
      <c r="B1373" s="59">
        <v>10280140706</v>
      </c>
      <c r="C1373" s="59" t="s">
        <v>3385</v>
      </c>
      <c r="D1373" s="49" t="s">
        <v>51</v>
      </c>
      <c r="E1373" s="49" t="s">
        <v>3248</v>
      </c>
      <c r="F1373" s="76" t="str">
        <f>IFERROR(IF(Tabla1[[#This Row],[CONCEPTO mx]]="","",VLOOKUP(Tabla1[[#This Row],[CONCEPTO mx]],Tabla2[#All],2,0)),"")</f>
        <v>CM1</v>
      </c>
      <c r="G1373" s="76" t="str">
        <f>IFERROR(IF(Tabla1[[#This Row],[CONCEPTO mx]]="","",VLOOKUP(Tabla1[[#This Row],[CONCEPTO mx]],Tabla2[#All],3,0)),"")</f>
        <v>Gestión Humana</v>
      </c>
      <c r="H1373" s="49" t="s">
        <v>486</v>
      </c>
      <c r="I1373" s="49" t="s">
        <v>2298</v>
      </c>
      <c r="J1373" s="49" t="s">
        <v>3386</v>
      </c>
    </row>
    <row r="1374" spans="1:12" x14ac:dyDescent="0.25">
      <c r="A1374" s="51">
        <v>43510</v>
      </c>
      <c r="B1374" s="59">
        <v>1001597127</v>
      </c>
      <c r="C1374" s="59" t="s">
        <v>3388</v>
      </c>
      <c r="D1374" s="49" t="s">
        <v>51</v>
      </c>
      <c r="E1374" s="49" t="s">
        <v>3248</v>
      </c>
      <c r="F1374" s="76" t="str">
        <f>IFERROR(IF(Tabla1[[#This Row],[CONCEPTO mx]]="","",VLOOKUP(Tabla1[[#This Row],[CONCEPTO mx]],Tabla2[#All],2,0)),"")</f>
        <v>CM1</v>
      </c>
      <c r="G1374" s="76" t="str">
        <f>IFERROR(IF(Tabla1[[#This Row],[CONCEPTO mx]]="","",VLOOKUP(Tabla1[[#This Row],[CONCEPTO mx]],Tabla2[#All],3,0)),"")</f>
        <v>Gestión Humana</v>
      </c>
      <c r="H1374" s="49" t="s">
        <v>550</v>
      </c>
      <c r="I1374" s="49" t="s">
        <v>2298</v>
      </c>
      <c r="J1374" s="49" t="s">
        <v>2302</v>
      </c>
    </row>
    <row r="1375" spans="1:12" x14ac:dyDescent="0.25">
      <c r="A1375" s="51">
        <v>43510</v>
      </c>
      <c r="B1375" s="59">
        <v>1067097012</v>
      </c>
      <c r="C1375" s="59" t="s">
        <v>3389</v>
      </c>
      <c r="D1375" s="49" t="s">
        <v>51</v>
      </c>
      <c r="E1375" s="49" t="s">
        <v>3249</v>
      </c>
      <c r="F1375" s="76" t="str">
        <f>IFERROR(IF(Tabla1[[#This Row],[CONCEPTO mx]]="","",VLOOKUP(Tabla1[[#This Row],[CONCEPTO mx]],Tabla2[#All],2,0)),"")</f>
        <v>CM3</v>
      </c>
      <c r="G1375" s="76" t="str">
        <f>IFERROR(IF(Tabla1[[#This Row],[CONCEPTO mx]]="","",VLOOKUP(Tabla1[[#This Row],[CONCEPTO mx]],Tabla2[#All],3,0)),"")</f>
        <v>SST</v>
      </c>
      <c r="H1375" s="49" t="s">
        <v>413</v>
      </c>
      <c r="I1375" s="49" t="s">
        <v>2298</v>
      </c>
      <c r="J1375" s="49" t="s">
        <v>2819</v>
      </c>
    </row>
    <row r="1376" spans="1:12" x14ac:dyDescent="0.25">
      <c r="A1376" s="51">
        <v>43510</v>
      </c>
      <c r="B1376" s="59">
        <v>1001669771</v>
      </c>
      <c r="C1376" s="59" t="s">
        <v>3405</v>
      </c>
      <c r="D1376" s="49" t="s">
        <v>180</v>
      </c>
      <c r="E1376" s="49" t="s">
        <v>3188</v>
      </c>
      <c r="F1376" s="76" t="str">
        <f>IFERROR(IF(Tabla1[[#This Row],[CONCEPTO mx]]="","",VLOOKUP(Tabla1[[#This Row],[CONCEPTO mx]],Tabla2[#All],2,0)),"")</f>
        <v>CM7</v>
      </c>
      <c r="G1376" s="76" t="str">
        <f>IFERROR(IF(Tabla1[[#This Row],[CONCEPTO mx]]="","",VLOOKUP(Tabla1[[#This Row],[CONCEPTO mx]],Tabla2[#All],3,0)),"")</f>
        <v>SST</v>
      </c>
      <c r="H1376" s="49" t="s">
        <v>438</v>
      </c>
      <c r="I1376" s="49" t="s">
        <v>2298</v>
      </c>
      <c r="J1376" s="49" t="s">
        <v>2805</v>
      </c>
      <c r="L1376" s="49" t="s">
        <v>3406</v>
      </c>
    </row>
    <row r="1377" spans="1:12" x14ac:dyDescent="0.25">
      <c r="A1377" s="51">
        <v>43510</v>
      </c>
      <c r="B1377" s="59">
        <v>1028037507</v>
      </c>
      <c r="C1377" s="59" t="s">
        <v>3387</v>
      </c>
      <c r="D1377" s="49" t="s">
        <v>51</v>
      </c>
      <c r="E1377" s="49" t="s">
        <v>3248</v>
      </c>
      <c r="F1377" s="76" t="str">
        <f>IFERROR(IF(Tabla1[[#This Row],[CONCEPTO mx]]="","",VLOOKUP(Tabla1[[#This Row],[CONCEPTO mx]],Tabla2[#All],2,0)),"")</f>
        <v>CM1</v>
      </c>
      <c r="G1377" s="76" t="str">
        <f>IFERROR(IF(Tabla1[[#This Row],[CONCEPTO mx]]="","",VLOOKUP(Tabla1[[#This Row],[CONCEPTO mx]],Tabla2[#All],3,0)),"")</f>
        <v>Gestión Humana</v>
      </c>
      <c r="H1377" s="49" t="s">
        <v>550</v>
      </c>
      <c r="I1377" s="49" t="s">
        <v>2298</v>
      </c>
      <c r="J1377" s="49" t="s">
        <v>2853</v>
      </c>
    </row>
    <row r="1378" spans="1:12" x14ac:dyDescent="0.25">
      <c r="A1378" s="51">
        <v>43510</v>
      </c>
      <c r="B1378" s="59">
        <v>1028029341</v>
      </c>
      <c r="C1378" s="59" t="s">
        <v>1913</v>
      </c>
      <c r="D1378" s="49" t="s">
        <v>51</v>
      </c>
      <c r="E1378" s="49" t="s">
        <v>3248</v>
      </c>
      <c r="F1378" s="76" t="str">
        <f>IFERROR(IF(Tabla1[[#This Row],[CONCEPTO mx]]="","",VLOOKUP(Tabla1[[#This Row],[CONCEPTO mx]],Tabla2[#All],2,0)),"")</f>
        <v>CM1</v>
      </c>
      <c r="G1378" s="76" t="str">
        <f>IFERROR(IF(Tabla1[[#This Row],[CONCEPTO mx]]="","",VLOOKUP(Tabla1[[#This Row],[CONCEPTO mx]],Tabla2[#All],3,0)),"")</f>
        <v>Gestión Humana</v>
      </c>
      <c r="H1378" s="49" t="s">
        <v>406</v>
      </c>
      <c r="I1378" s="49" t="s">
        <v>3392</v>
      </c>
      <c r="J1378" s="49" t="s">
        <v>2702</v>
      </c>
    </row>
    <row r="1379" spans="1:12" x14ac:dyDescent="0.25">
      <c r="A1379" s="51">
        <v>43510</v>
      </c>
      <c r="B1379" s="59">
        <v>1027958567</v>
      </c>
      <c r="C1379" s="59" t="s">
        <v>3397</v>
      </c>
      <c r="D1379" s="49" t="s">
        <v>51</v>
      </c>
      <c r="E1379" s="49" t="s">
        <v>3249</v>
      </c>
      <c r="F1379" s="76" t="str">
        <f>IFERROR(IF(Tabla1[[#This Row],[CONCEPTO mx]]="","",VLOOKUP(Tabla1[[#This Row],[CONCEPTO mx]],Tabla2[#All],2,0)),"")</f>
        <v>CM3</v>
      </c>
      <c r="G1379" s="76" t="str">
        <f>IFERROR(IF(Tabla1[[#This Row],[CONCEPTO mx]]="","",VLOOKUP(Tabla1[[#This Row],[CONCEPTO mx]],Tabla2[#All],3,0)),"")</f>
        <v>SST</v>
      </c>
      <c r="H1379" s="49" t="s">
        <v>387</v>
      </c>
      <c r="I1379" s="49" t="s">
        <v>2298</v>
      </c>
      <c r="J1379" s="49" t="s">
        <v>2409</v>
      </c>
    </row>
    <row r="1380" spans="1:12" x14ac:dyDescent="0.25">
      <c r="A1380" s="51">
        <v>43514</v>
      </c>
      <c r="B1380" s="59">
        <v>72149003</v>
      </c>
      <c r="C1380" s="59" t="s">
        <v>3407</v>
      </c>
      <c r="D1380" s="49" t="s">
        <v>51</v>
      </c>
      <c r="E1380" s="49" t="s">
        <v>3315</v>
      </c>
      <c r="F1380" s="76" t="str">
        <f>IFERROR(IF(Tabla1[[#This Row],[CONCEPTO mx]]="","",VLOOKUP(Tabla1[[#This Row],[CONCEPTO mx]],Tabla2[#All],2,0)),"")</f>
        <v>CM40</v>
      </c>
      <c r="G1380" s="76" t="str">
        <f>IFERROR(IF(Tabla1[[#This Row],[CONCEPTO mx]]="","",VLOOKUP(Tabla1[[#This Row],[CONCEPTO mx]],Tabla2[#All],3,0)),"")</f>
        <v>SST</v>
      </c>
      <c r="H1380" s="49" t="s">
        <v>542</v>
      </c>
      <c r="I1380" s="49" t="s">
        <v>3392</v>
      </c>
      <c r="J1380" s="49" t="s">
        <v>2318</v>
      </c>
      <c r="L1380" s="49" t="s">
        <v>3408</v>
      </c>
    </row>
    <row r="1381" spans="1:12" x14ac:dyDescent="0.25">
      <c r="A1381" s="51">
        <v>43515</v>
      </c>
      <c r="B1381" s="59">
        <v>1045522118</v>
      </c>
      <c r="C1381" s="59" t="s">
        <v>3426</v>
      </c>
      <c r="D1381" s="49" t="s">
        <v>51</v>
      </c>
      <c r="E1381" s="49" t="s">
        <v>3248</v>
      </c>
      <c r="F1381" s="76" t="str">
        <f>IFERROR(IF(Tabla1[[#This Row],[CONCEPTO mx]]="","",VLOOKUP(Tabla1[[#This Row],[CONCEPTO mx]],Tabla2[#All],2,0)),"")</f>
        <v>CM1</v>
      </c>
      <c r="G1381" s="76" t="str">
        <f>IFERROR(IF(Tabla1[[#This Row],[CONCEPTO mx]]="","",VLOOKUP(Tabla1[[#This Row],[CONCEPTO mx]],Tabla2[#All],3,0)),"")</f>
        <v>Gestión Humana</v>
      </c>
      <c r="H1381" s="49" t="s">
        <v>542</v>
      </c>
      <c r="I1381" s="49" t="s">
        <v>2512</v>
      </c>
      <c r="J1381" s="49" t="s">
        <v>3427</v>
      </c>
    </row>
    <row r="1382" spans="1:12" x14ac:dyDescent="0.25">
      <c r="A1382" s="51">
        <v>43515</v>
      </c>
      <c r="B1382" s="59">
        <v>1028022283</v>
      </c>
      <c r="C1382" s="59" t="s">
        <v>3422</v>
      </c>
      <c r="D1382" s="49" t="s">
        <v>51</v>
      </c>
      <c r="E1382" s="49" t="s">
        <v>3315</v>
      </c>
      <c r="F1382" s="76" t="str">
        <f>IFERROR(IF(Tabla1[[#This Row],[CONCEPTO mx]]="","",VLOOKUP(Tabla1[[#This Row],[CONCEPTO mx]],Tabla2[#All],2,0)),"")</f>
        <v>CM40</v>
      </c>
      <c r="G1382" s="76" t="str">
        <f>IFERROR(IF(Tabla1[[#This Row],[CONCEPTO mx]]="","",VLOOKUP(Tabla1[[#This Row],[CONCEPTO mx]],Tabla2[#All],3,0)),"")</f>
        <v>SST</v>
      </c>
      <c r="H1382" s="49" t="s">
        <v>439</v>
      </c>
      <c r="I1382" s="49" t="s">
        <v>2298</v>
      </c>
      <c r="J1382" s="49" t="s">
        <v>3423</v>
      </c>
      <c r="L1382" s="49" t="s">
        <v>2911</v>
      </c>
    </row>
    <row r="1383" spans="1:12" x14ac:dyDescent="0.25">
      <c r="A1383" s="51">
        <v>43515</v>
      </c>
      <c r="B1383" s="59">
        <v>1007529172</v>
      </c>
      <c r="C1383" s="59" t="s">
        <v>3421</v>
      </c>
      <c r="D1383" s="49" t="s">
        <v>51</v>
      </c>
      <c r="E1383" s="49" t="s">
        <v>3248</v>
      </c>
      <c r="F1383" s="76" t="str">
        <f>IFERROR(IF(Tabla1[[#This Row],[CONCEPTO mx]]="","",VLOOKUP(Tabla1[[#This Row],[CONCEPTO mx]],Tabla2[#All],2,0)),"")</f>
        <v>CM1</v>
      </c>
      <c r="G1383" s="76" t="str">
        <f>IFERROR(IF(Tabla1[[#This Row],[CONCEPTO mx]]="","",VLOOKUP(Tabla1[[#This Row],[CONCEPTO mx]],Tabla2[#All],3,0)),"")</f>
        <v>Gestión Humana</v>
      </c>
      <c r="H1383" s="49" t="s">
        <v>406</v>
      </c>
      <c r="I1383" s="49" t="s">
        <v>2298</v>
      </c>
      <c r="J1383" s="49" t="s">
        <v>2302</v>
      </c>
    </row>
    <row r="1384" spans="1:12" x14ac:dyDescent="0.25">
      <c r="A1384" s="51">
        <v>43515</v>
      </c>
      <c r="B1384" s="59">
        <v>1040373047</v>
      </c>
      <c r="C1384" s="59" t="s">
        <v>3419</v>
      </c>
      <c r="D1384" s="49" t="s">
        <v>180</v>
      </c>
      <c r="E1384" s="49" t="s">
        <v>3187</v>
      </c>
      <c r="F1384" s="76" t="str">
        <f>IFERROR(IF(Tabla1[[#This Row],[CONCEPTO mx]]="","",VLOOKUP(Tabla1[[#This Row],[CONCEPTO mx]],Tabla2[#All],2,0)),"")</f>
        <v>CM8</v>
      </c>
      <c r="G1384" s="76" t="str">
        <f>IFERROR(IF(Tabla1[[#This Row],[CONCEPTO mx]]="","",VLOOKUP(Tabla1[[#This Row],[CONCEPTO mx]],Tabla2[#All],3,0)),"")</f>
        <v>Gestión Humana</v>
      </c>
      <c r="H1384" s="49" t="s">
        <v>343</v>
      </c>
      <c r="I1384" s="49" t="s">
        <v>3392</v>
      </c>
      <c r="J1384" s="49" t="s">
        <v>3243</v>
      </c>
      <c r="L1384" s="59" t="s">
        <v>3420</v>
      </c>
    </row>
    <row r="1385" spans="1:12" x14ac:dyDescent="0.25">
      <c r="A1385" s="51">
        <v>43515</v>
      </c>
      <c r="B1385" s="59">
        <v>1041254941</v>
      </c>
      <c r="C1385" s="59" t="s">
        <v>3416</v>
      </c>
      <c r="D1385" s="49" t="s">
        <v>51</v>
      </c>
      <c r="E1385" s="49" t="s">
        <v>3249</v>
      </c>
      <c r="F1385" s="76" t="str">
        <f>IFERROR(IF(Tabla1[[#This Row],[CONCEPTO mx]]="","",VLOOKUP(Tabla1[[#This Row],[CONCEPTO mx]],Tabla2[#All],2,0)),"")</f>
        <v>CM3</v>
      </c>
      <c r="G1385" s="76" t="str">
        <f>IFERROR(IF(Tabla1[[#This Row],[CONCEPTO mx]]="","",VLOOKUP(Tabla1[[#This Row],[CONCEPTO mx]],Tabla2[#All],3,0)),"")</f>
        <v>SST</v>
      </c>
      <c r="H1385" s="49" t="s">
        <v>2391</v>
      </c>
      <c r="I1385" s="49" t="s">
        <v>2298</v>
      </c>
      <c r="J1385" s="49" t="s">
        <v>2353</v>
      </c>
    </row>
    <row r="1386" spans="1:12" x14ac:dyDescent="0.25">
      <c r="A1386" s="51">
        <v>43515</v>
      </c>
      <c r="B1386" s="59">
        <v>1074005579</v>
      </c>
      <c r="C1386" s="59" t="s">
        <v>3424</v>
      </c>
      <c r="D1386" s="49" t="s">
        <v>51</v>
      </c>
      <c r="E1386" s="49" t="s">
        <v>3197</v>
      </c>
      <c r="F1386" s="76" t="str">
        <f>IFERROR(IF(Tabla1[[#This Row],[CONCEPTO mx]]="","",VLOOKUP(Tabla1[[#This Row],[CONCEPTO mx]],Tabla2[#All],2,0)),"")</f>
        <v>CM14</v>
      </c>
      <c r="G1386" s="76" t="str">
        <f>IFERROR(IF(Tabla1[[#This Row],[CONCEPTO mx]]="","",VLOOKUP(Tabla1[[#This Row],[CONCEPTO mx]],Tabla2[#All],3,0)),"")</f>
        <v>SST</v>
      </c>
      <c r="H1386" s="49" t="s">
        <v>343</v>
      </c>
      <c r="I1386" s="49" t="s">
        <v>3392</v>
      </c>
      <c r="J1386" s="49" t="s">
        <v>3425</v>
      </c>
    </row>
    <row r="1387" spans="1:12" x14ac:dyDescent="0.25">
      <c r="A1387" s="51">
        <v>43515</v>
      </c>
      <c r="B1387" s="59">
        <v>1045490275</v>
      </c>
      <c r="C1387" s="52" t="s">
        <v>3135</v>
      </c>
      <c r="D1387" s="67" t="s">
        <v>180</v>
      </c>
      <c r="E1387" s="49" t="s">
        <v>3174</v>
      </c>
      <c r="F1387" s="49" t="str">
        <f>IFERROR(IF(Tabla1[[#This Row],[CONCEPTO mx]]="","",VLOOKUP(Tabla1[[#This Row],[CONCEPTO mx]],Tabla2[#All],2,0)),"")</f>
        <v>CM2</v>
      </c>
      <c r="G1387" s="49" t="str">
        <f>IFERROR(IF(Tabla1[[#This Row],[CONCEPTO mx]]="","",VLOOKUP(Tabla1[[#This Row],[CONCEPTO mx]],Tabla2[#All],3,0)),"")</f>
        <v>SST</v>
      </c>
      <c r="H1387" s="49" t="s">
        <v>2394</v>
      </c>
      <c r="I1387" s="49" t="s">
        <v>2298</v>
      </c>
      <c r="J1387" s="52" t="s">
        <v>3134</v>
      </c>
      <c r="K1387" s="51">
        <v>43493</v>
      </c>
    </row>
    <row r="1388" spans="1:12" x14ac:dyDescent="0.25">
      <c r="A1388" s="51">
        <v>43515</v>
      </c>
      <c r="B1388" s="59">
        <v>1007868795</v>
      </c>
      <c r="C1388" s="59" t="s">
        <v>3415</v>
      </c>
      <c r="D1388" s="49" t="s">
        <v>51</v>
      </c>
      <c r="E1388" s="49" t="s">
        <v>3249</v>
      </c>
      <c r="F1388" s="76" t="str">
        <f>IFERROR(IF(Tabla1[[#This Row],[CONCEPTO mx]]="","",VLOOKUP(Tabla1[[#This Row],[CONCEPTO mx]],Tabla2[#All],2,0)),"")</f>
        <v>CM3</v>
      </c>
      <c r="G1388" s="76" t="str">
        <f>IFERROR(IF(Tabla1[[#This Row],[CONCEPTO mx]]="","",VLOOKUP(Tabla1[[#This Row],[CONCEPTO mx]],Tabla2[#All],3,0)),"")</f>
        <v>SST</v>
      </c>
      <c r="H1388" s="49" t="s">
        <v>486</v>
      </c>
      <c r="I1388" s="49" t="s">
        <v>2298</v>
      </c>
      <c r="J1388" s="49" t="s">
        <v>2819</v>
      </c>
    </row>
    <row r="1389" spans="1:12" x14ac:dyDescent="0.25">
      <c r="A1389" s="51">
        <v>43515</v>
      </c>
      <c r="B1389" s="59">
        <v>1037479607</v>
      </c>
      <c r="C1389" s="59" t="s">
        <v>3417</v>
      </c>
      <c r="D1389" s="49" t="s">
        <v>51</v>
      </c>
      <c r="E1389" s="49" t="s">
        <v>3249</v>
      </c>
      <c r="F1389" s="76" t="str">
        <f>IFERROR(IF(Tabla1[[#This Row],[CONCEPTO mx]]="","",VLOOKUP(Tabla1[[#This Row],[CONCEPTO mx]],Tabla2[#All],2,0)),"")</f>
        <v>CM3</v>
      </c>
      <c r="G1389" s="76" t="str">
        <f>IFERROR(IF(Tabla1[[#This Row],[CONCEPTO mx]]="","",VLOOKUP(Tabla1[[#This Row],[CONCEPTO mx]],Tabla2[#All],3,0)),"")</f>
        <v>SST</v>
      </c>
      <c r="H1389" s="49" t="s">
        <v>438</v>
      </c>
      <c r="I1389" s="49" t="s">
        <v>2298</v>
      </c>
      <c r="J1389" s="49" t="s">
        <v>3418</v>
      </c>
    </row>
    <row r="1390" spans="1:12" x14ac:dyDescent="0.25">
      <c r="A1390" s="51">
        <v>43515</v>
      </c>
      <c r="B1390" s="59">
        <v>1063719655</v>
      </c>
      <c r="C1390" s="59" t="s">
        <v>3410</v>
      </c>
      <c r="D1390" s="49" t="s">
        <v>51</v>
      </c>
      <c r="E1390" s="49" t="s">
        <v>3249</v>
      </c>
      <c r="F1390" s="76" t="str">
        <f>IFERROR(IF(Tabla1[[#This Row],[CONCEPTO mx]]="","",VLOOKUP(Tabla1[[#This Row],[CONCEPTO mx]],Tabla2[#All],2,0)),"")</f>
        <v>CM3</v>
      </c>
      <c r="G1390" s="76" t="str">
        <f>IFERROR(IF(Tabla1[[#This Row],[CONCEPTO mx]]="","",VLOOKUP(Tabla1[[#This Row],[CONCEPTO mx]],Tabla2[#All],3,0)),"")</f>
        <v>SST</v>
      </c>
      <c r="H1390" s="49" t="s">
        <v>2394</v>
      </c>
      <c r="I1390" s="49" t="s">
        <v>2298</v>
      </c>
      <c r="J1390" s="49" t="s">
        <v>3411</v>
      </c>
    </row>
    <row r="1391" spans="1:12" x14ac:dyDescent="0.25">
      <c r="A1391" s="51">
        <v>43515</v>
      </c>
      <c r="B1391" s="59">
        <v>24336071</v>
      </c>
      <c r="C1391" s="59" t="s">
        <v>3412</v>
      </c>
      <c r="D1391" s="49" t="s">
        <v>180</v>
      </c>
      <c r="E1391" s="49" t="s">
        <v>3413</v>
      </c>
      <c r="F1391" s="76" t="str">
        <f>IFERROR(IF(Tabla1[[#This Row],[CONCEPTO mx]]="","",VLOOKUP(Tabla1[[#This Row],[CONCEPTO mx]],Tabla2[#All],2,0)),"")</f>
        <v>CM42</v>
      </c>
      <c r="G1391" s="76" t="str">
        <f>IFERROR(IF(Tabla1[[#This Row],[CONCEPTO mx]]="","",VLOOKUP(Tabla1[[#This Row],[CONCEPTO mx]],Tabla2[#All],3,0)),"")</f>
        <v>SST</v>
      </c>
      <c r="H1391" s="49" t="s">
        <v>486</v>
      </c>
      <c r="I1391" s="49" t="s">
        <v>2298</v>
      </c>
      <c r="J1391" s="49" t="s">
        <v>4233</v>
      </c>
    </row>
    <row r="1392" spans="1:12" x14ac:dyDescent="0.25">
      <c r="A1392" s="51">
        <v>43516</v>
      </c>
      <c r="B1392" s="59">
        <v>1037544668</v>
      </c>
      <c r="C1392" s="59" t="s">
        <v>3429</v>
      </c>
      <c r="D1392" s="49" t="s">
        <v>51</v>
      </c>
      <c r="E1392" s="49" t="s">
        <v>3248</v>
      </c>
      <c r="F1392" s="76" t="str">
        <f>IFERROR(IF(Tabla1[[#This Row],[CONCEPTO mx]]="","",VLOOKUP(Tabla1[[#This Row],[CONCEPTO mx]],Tabla2[#All],2,0)),"")</f>
        <v>CM1</v>
      </c>
      <c r="G1392" s="76" t="str">
        <f>IFERROR(IF(Tabla1[[#This Row],[CONCEPTO mx]]="","",VLOOKUP(Tabla1[[#This Row],[CONCEPTO mx]],Tabla2[#All],3,0)),"")</f>
        <v>Gestión Humana</v>
      </c>
      <c r="H1392" s="49" t="s">
        <v>387</v>
      </c>
      <c r="I1392" s="49" t="s">
        <v>3392</v>
      </c>
      <c r="J1392" s="59" t="s">
        <v>3430</v>
      </c>
    </row>
    <row r="1393" spans="1:12" x14ac:dyDescent="0.25">
      <c r="A1393" s="51">
        <v>43516</v>
      </c>
      <c r="B1393" s="59">
        <v>1028020102</v>
      </c>
      <c r="C1393" s="59" t="s">
        <v>1906</v>
      </c>
      <c r="D1393" s="49" t="s">
        <v>51</v>
      </c>
      <c r="E1393" s="49" t="s">
        <v>3249</v>
      </c>
      <c r="F1393" s="76" t="str">
        <f>IFERROR(IF(Tabla1[[#This Row],[CONCEPTO mx]]="","",VLOOKUP(Tabla1[[#This Row],[CONCEPTO mx]],Tabla2[#All],2,0)),"")</f>
        <v>CM3</v>
      </c>
      <c r="G1393" s="76" t="str">
        <f>IFERROR(IF(Tabla1[[#This Row],[CONCEPTO mx]]="","",VLOOKUP(Tabla1[[#This Row],[CONCEPTO mx]],Tabla2[#All],3,0)),"")</f>
        <v>SST</v>
      </c>
      <c r="H1393" s="49" t="s">
        <v>387</v>
      </c>
      <c r="I1393" s="49" t="s">
        <v>2298</v>
      </c>
      <c r="J1393" s="49" t="s">
        <v>2314</v>
      </c>
    </row>
    <row r="1394" spans="1:12" x14ac:dyDescent="0.25">
      <c r="A1394" s="51">
        <v>43516</v>
      </c>
      <c r="B1394" s="50">
        <v>71674020</v>
      </c>
      <c r="C1394" s="49" t="s">
        <v>3378</v>
      </c>
      <c r="D1394" s="49" t="s">
        <v>51</v>
      </c>
      <c r="E1394" s="49" t="s">
        <v>3315</v>
      </c>
      <c r="F1394" s="76" t="str">
        <f>IFERROR(IF(Tabla1[[#This Row],[CONCEPTO mx]]="","",VLOOKUP(Tabla1[[#This Row],[CONCEPTO mx]],Tabla2[#All],2,0)),"")</f>
        <v>CM40</v>
      </c>
      <c r="G1394" s="76" t="str">
        <f>IFERROR(IF(Tabla1[[#This Row],[CONCEPTO mx]]="","",VLOOKUP(Tabla1[[#This Row],[CONCEPTO mx]],Tabla2[#All],3,0)),"")</f>
        <v>SST</v>
      </c>
      <c r="H1394" s="49" t="s">
        <v>542</v>
      </c>
      <c r="I1394" s="49" t="s">
        <v>3392</v>
      </c>
      <c r="J1394" s="49" t="s">
        <v>4466</v>
      </c>
      <c r="K1394" s="51">
        <v>43509</v>
      </c>
      <c r="L1394" s="59" t="s">
        <v>3428</v>
      </c>
    </row>
    <row r="1395" spans="1:12" x14ac:dyDescent="0.25">
      <c r="A1395" s="51">
        <v>43516</v>
      </c>
      <c r="B1395" s="59">
        <v>1112793738</v>
      </c>
      <c r="C1395" s="59" t="s">
        <v>3434</v>
      </c>
      <c r="D1395" s="49" t="s">
        <v>51</v>
      </c>
      <c r="E1395" s="49" t="s">
        <v>3188</v>
      </c>
      <c r="F1395" s="76" t="str">
        <f>IFERROR(IF(Tabla1[[#This Row],[CONCEPTO mx]]="","",VLOOKUP(Tabla1[[#This Row],[CONCEPTO mx]],Tabla2[#All],2,0)),"")</f>
        <v>CM7</v>
      </c>
      <c r="G1395" s="76" t="str">
        <f>IFERROR(IF(Tabla1[[#This Row],[CONCEPTO mx]]="","",VLOOKUP(Tabla1[[#This Row],[CONCEPTO mx]],Tabla2[#All],3,0)),"")</f>
        <v>SST</v>
      </c>
      <c r="H1395" s="49" t="s">
        <v>484</v>
      </c>
      <c r="I1395" s="49" t="s">
        <v>2512</v>
      </c>
      <c r="J1395" s="49" t="s">
        <v>3435</v>
      </c>
    </row>
    <row r="1396" spans="1:12" x14ac:dyDescent="0.25">
      <c r="A1396" s="51">
        <v>43516</v>
      </c>
      <c r="B1396" s="59">
        <v>1001031273</v>
      </c>
      <c r="C1396" s="59" t="s">
        <v>3431</v>
      </c>
      <c r="D1396" s="49" t="s">
        <v>51</v>
      </c>
      <c r="E1396" s="49" t="s">
        <v>3250</v>
      </c>
      <c r="F1396" s="76" t="str">
        <f>IFERROR(IF(Tabla1[[#This Row],[CONCEPTO mx]]="","",VLOOKUP(Tabla1[[#This Row],[CONCEPTO mx]],Tabla2[#All],2,0)),"")</f>
        <v>CM12</v>
      </c>
      <c r="G1396" s="76" t="str">
        <f>IFERROR(IF(Tabla1[[#This Row],[CONCEPTO mx]]="","",VLOOKUP(Tabla1[[#This Row],[CONCEPTO mx]],Tabla2[#All],3,0)),"")</f>
        <v>SST</v>
      </c>
      <c r="H1396" s="49" t="s">
        <v>441</v>
      </c>
      <c r="I1396" s="49" t="s">
        <v>2512</v>
      </c>
      <c r="J1396" s="49" t="s">
        <v>3432</v>
      </c>
      <c r="L1396" s="59" t="s">
        <v>3433</v>
      </c>
    </row>
    <row r="1397" spans="1:12" x14ac:dyDescent="0.25">
      <c r="A1397" s="51">
        <v>43521</v>
      </c>
      <c r="B1397" s="59">
        <v>71944932</v>
      </c>
      <c r="C1397" s="59" t="s">
        <v>3798</v>
      </c>
      <c r="D1397" s="49" t="s">
        <v>51</v>
      </c>
      <c r="E1397" s="49" t="s">
        <v>3184</v>
      </c>
      <c r="F1397" s="76" t="str">
        <f>IFERROR(IF(Tabla1[[#This Row],[CONCEPTO mx]]="","",VLOOKUP(Tabla1[[#This Row],[CONCEPTO mx]],Tabla2[#All],2,0)),"")</f>
        <v/>
      </c>
      <c r="G1397" s="76" t="str">
        <f>IFERROR(IF(Tabla1[[#This Row],[CONCEPTO mx]]="","",VLOOKUP(Tabla1[[#This Row],[CONCEPTO mx]],Tabla2[#All],3,0)),"")</f>
        <v/>
      </c>
      <c r="H1397" s="49" t="s">
        <v>387</v>
      </c>
      <c r="I1397" s="49" t="s">
        <v>2298</v>
      </c>
      <c r="J1397" s="49" t="s">
        <v>2819</v>
      </c>
      <c r="L1397" s="59" t="s">
        <v>3442</v>
      </c>
    </row>
    <row r="1398" spans="1:12" x14ac:dyDescent="0.25">
      <c r="A1398" s="51">
        <v>43521</v>
      </c>
      <c r="B1398" s="59">
        <v>1073827928</v>
      </c>
      <c r="C1398" s="59" t="s">
        <v>3436</v>
      </c>
      <c r="D1398" s="49" t="s">
        <v>51</v>
      </c>
      <c r="E1398" s="49" t="s">
        <v>3248</v>
      </c>
      <c r="F1398" s="76" t="str">
        <f>IFERROR(IF(Tabla1[[#This Row],[CONCEPTO mx]]="","",VLOOKUP(Tabla1[[#This Row],[CONCEPTO mx]],Tabla2[#All],2,0)),"")</f>
        <v>CM1</v>
      </c>
      <c r="G1398" s="76" t="str">
        <f>IFERROR(IF(Tabla1[[#This Row],[CONCEPTO mx]]="","",VLOOKUP(Tabla1[[#This Row],[CONCEPTO mx]],Tabla2[#All],3,0)),"")</f>
        <v>Gestión Humana</v>
      </c>
      <c r="H1398" s="49" t="s">
        <v>406</v>
      </c>
      <c r="I1398" s="49" t="s">
        <v>2298</v>
      </c>
      <c r="J1398" s="49" t="s">
        <v>3437</v>
      </c>
    </row>
    <row r="1399" spans="1:12" x14ac:dyDescent="0.25">
      <c r="A1399" s="51">
        <v>43521</v>
      </c>
      <c r="B1399" s="59">
        <v>1040797173</v>
      </c>
      <c r="C1399" s="59" t="s">
        <v>3444</v>
      </c>
      <c r="E1399" s="49" t="s">
        <v>2355</v>
      </c>
      <c r="F1399" s="76" t="str">
        <f>IFERROR(IF(Tabla1[[#This Row],[CONCEPTO mx]]="","",VLOOKUP(Tabla1[[#This Row],[CONCEPTO mx]],Tabla2[#All],2,0)),"")</f>
        <v>CM13</v>
      </c>
      <c r="G1399" s="76" t="str">
        <f>IFERROR(IF(Tabla1[[#This Row],[CONCEPTO mx]]="","",VLOOKUP(Tabla1[[#This Row],[CONCEPTO mx]],Tabla2[#All],3,0)),"")</f>
        <v>Gestión Humana</v>
      </c>
      <c r="H1399" s="49" t="s">
        <v>388</v>
      </c>
      <c r="I1399" s="49" t="s">
        <v>2298</v>
      </c>
      <c r="J1399" s="49" t="s">
        <v>2302</v>
      </c>
    </row>
    <row r="1400" spans="1:12" x14ac:dyDescent="0.25">
      <c r="A1400" s="51">
        <v>43521</v>
      </c>
      <c r="B1400" s="59">
        <v>10288029204</v>
      </c>
      <c r="C1400" s="59" t="s">
        <v>3448</v>
      </c>
      <c r="D1400" s="49" t="s">
        <v>51</v>
      </c>
      <c r="E1400" s="49" t="s">
        <v>3248</v>
      </c>
      <c r="F1400" s="76" t="str">
        <f>IFERROR(IF(Tabla1[[#This Row],[CONCEPTO mx]]="","",VLOOKUP(Tabla1[[#This Row],[CONCEPTO mx]],Tabla2[#All],2,0)),"")</f>
        <v>CM1</v>
      </c>
      <c r="G1400" s="76" t="str">
        <f>IFERROR(IF(Tabla1[[#This Row],[CONCEPTO mx]]="","",VLOOKUP(Tabla1[[#This Row],[CONCEPTO mx]],Tabla2[#All],3,0)),"")</f>
        <v>Gestión Humana</v>
      </c>
      <c r="H1400" s="49" t="s">
        <v>413</v>
      </c>
      <c r="I1400" s="49" t="s">
        <v>2419</v>
      </c>
      <c r="J1400" s="49" t="s">
        <v>3425</v>
      </c>
    </row>
    <row r="1401" spans="1:12" x14ac:dyDescent="0.25">
      <c r="A1401" s="51">
        <v>43521</v>
      </c>
      <c r="B1401" s="59">
        <v>8338840</v>
      </c>
      <c r="C1401" s="59" t="s">
        <v>3439</v>
      </c>
      <c r="D1401" s="49" t="s">
        <v>180</v>
      </c>
      <c r="E1401" s="49" t="s">
        <v>3187</v>
      </c>
      <c r="F1401" s="76" t="str">
        <f>IFERROR(IF(Tabla1[[#This Row],[CONCEPTO mx]]="","",VLOOKUP(Tabla1[[#This Row],[CONCEPTO mx]],Tabla2[#All],2,0)),"")</f>
        <v>CM8</v>
      </c>
      <c r="G1401" s="76" t="str">
        <f>IFERROR(IF(Tabla1[[#This Row],[CONCEPTO mx]]="","",VLOOKUP(Tabla1[[#This Row],[CONCEPTO mx]],Tabla2[#All],3,0)),"")</f>
        <v>Gestión Humana</v>
      </c>
      <c r="H1401" s="49" t="s">
        <v>387</v>
      </c>
      <c r="I1401" s="49" t="s">
        <v>2298</v>
      </c>
      <c r="J1401" s="49" t="s">
        <v>2819</v>
      </c>
      <c r="L1401" s="77" t="s">
        <v>3438</v>
      </c>
    </row>
    <row r="1402" spans="1:12" x14ac:dyDescent="0.25">
      <c r="A1402" s="51">
        <v>43521</v>
      </c>
      <c r="B1402" s="59">
        <v>1028004787</v>
      </c>
      <c r="C1402" s="59" t="s">
        <v>3445</v>
      </c>
      <c r="D1402" s="49" t="s">
        <v>51</v>
      </c>
      <c r="E1402" s="49" t="s">
        <v>3188</v>
      </c>
      <c r="F1402" s="76" t="str">
        <f>IFERROR(IF(Tabla1[[#This Row],[CONCEPTO mx]]="","",VLOOKUP(Tabla1[[#This Row],[CONCEPTO mx]],Tabla2[#All],2,0)),"")</f>
        <v>CM7</v>
      </c>
      <c r="G1402" s="76" t="str">
        <f>IFERROR(IF(Tabla1[[#This Row],[CONCEPTO mx]]="","",VLOOKUP(Tabla1[[#This Row],[CONCEPTO mx]],Tabla2[#All],3,0)),"")</f>
        <v>SST</v>
      </c>
      <c r="H1402" s="49" t="s">
        <v>388</v>
      </c>
      <c r="I1402" s="49" t="s">
        <v>2512</v>
      </c>
      <c r="J1402" s="49" t="s">
        <v>3446</v>
      </c>
    </row>
    <row r="1403" spans="1:12" x14ac:dyDescent="0.25">
      <c r="A1403" s="51">
        <v>43521</v>
      </c>
      <c r="B1403" s="59">
        <v>1045528295</v>
      </c>
      <c r="C1403" s="59" t="s">
        <v>3440</v>
      </c>
      <c r="D1403" s="49" t="s">
        <v>180</v>
      </c>
      <c r="E1403" s="49" t="s">
        <v>3188</v>
      </c>
      <c r="F1403" s="76" t="str">
        <f>IFERROR(IF(Tabla1[[#This Row],[CONCEPTO mx]]="","",VLOOKUP(Tabla1[[#This Row],[CONCEPTO mx]],Tabla2[#All],2,0)),"")</f>
        <v>CM7</v>
      </c>
      <c r="G1403" s="76" t="str">
        <f>IFERROR(IF(Tabla1[[#This Row],[CONCEPTO mx]]="","",VLOOKUP(Tabla1[[#This Row],[CONCEPTO mx]],Tabla2[#All],3,0)),"")</f>
        <v>SST</v>
      </c>
      <c r="H1403" s="49" t="s">
        <v>542</v>
      </c>
      <c r="I1403" s="49" t="s">
        <v>2512</v>
      </c>
      <c r="J1403" s="49" t="s">
        <v>2879</v>
      </c>
    </row>
    <row r="1404" spans="1:12" x14ac:dyDescent="0.25">
      <c r="A1404" s="51">
        <v>43521</v>
      </c>
      <c r="B1404" s="59">
        <v>1028028337</v>
      </c>
      <c r="C1404" s="59" t="s">
        <v>3443</v>
      </c>
      <c r="D1404" s="49" t="s">
        <v>51</v>
      </c>
      <c r="E1404" s="49" t="s">
        <v>3248</v>
      </c>
      <c r="F1404" s="76" t="str">
        <f>IFERROR(IF(Tabla1[[#This Row],[CONCEPTO mx]]="","",VLOOKUP(Tabla1[[#This Row],[CONCEPTO mx]],Tabla2[#All],2,0)),"")</f>
        <v>CM1</v>
      </c>
      <c r="G1404" s="76" t="str">
        <f>IFERROR(IF(Tabla1[[#This Row],[CONCEPTO mx]]="","",VLOOKUP(Tabla1[[#This Row],[CONCEPTO mx]],Tabla2[#All],3,0)),"")</f>
        <v>Gestión Humana</v>
      </c>
      <c r="H1404" s="49" t="s">
        <v>528</v>
      </c>
      <c r="I1404" s="49" t="s">
        <v>2512</v>
      </c>
      <c r="J1404" s="49" t="s">
        <v>2879</v>
      </c>
    </row>
    <row r="1405" spans="1:12" x14ac:dyDescent="0.25">
      <c r="A1405" s="51">
        <v>43521</v>
      </c>
      <c r="B1405" s="59">
        <v>1003309014</v>
      </c>
      <c r="C1405" s="59" t="s">
        <v>3450</v>
      </c>
      <c r="D1405" s="49" t="s">
        <v>180</v>
      </c>
      <c r="E1405" s="49" t="s">
        <v>3185</v>
      </c>
      <c r="F1405" s="76" t="str">
        <f>IFERROR(IF(Tabla1[[#This Row],[CONCEPTO mx]]="","",VLOOKUP(Tabla1[[#This Row],[CONCEPTO mx]],Tabla2[#All],2,0)),"")</f>
        <v>CM5</v>
      </c>
      <c r="G1405" s="76" t="str">
        <f>IFERROR(IF(Tabla1[[#This Row],[CONCEPTO mx]]="","",VLOOKUP(Tabla1[[#This Row],[CONCEPTO mx]],Tabla2[#All],3,0)),"")</f>
        <v>SST</v>
      </c>
      <c r="H1405" s="49" t="s">
        <v>406</v>
      </c>
      <c r="I1405" s="49" t="s">
        <v>2298</v>
      </c>
      <c r="J1405" s="49" t="s">
        <v>2819</v>
      </c>
      <c r="L1405" s="59" t="s">
        <v>3449</v>
      </c>
    </row>
    <row r="1406" spans="1:12" x14ac:dyDescent="0.25">
      <c r="A1406" s="51">
        <v>43521</v>
      </c>
      <c r="B1406" s="59">
        <v>1028013443</v>
      </c>
      <c r="C1406" s="59" t="s">
        <v>3447</v>
      </c>
      <c r="D1406" s="49" t="s">
        <v>51</v>
      </c>
      <c r="E1406" s="49" t="s">
        <v>3249</v>
      </c>
      <c r="F1406" s="76" t="str">
        <f>IFERROR(IF(Tabla1[[#This Row],[CONCEPTO mx]]="","",VLOOKUP(Tabla1[[#This Row],[CONCEPTO mx]],Tabla2[#All],2,0)),"")</f>
        <v>CM3</v>
      </c>
      <c r="G1406" s="76" t="str">
        <f>IFERROR(IF(Tabla1[[#This Row],[CONCEPTO mx]]="","",VLOOKUP(Tabla1[[#This Row],[CONCEPTO mx]],Tabla2[#All],3,0)),"")</f>
        <v>SST</v>
      </c>
      <c r="H1406" s="49" t="s">
        <v>438</v>
      </c>
      <c r="I1406" s="49" t="s">
        <v>2298</v>
      </c>
      <c r="J1406" s="49" t="s">
        <v>3124</v>
      </c>
    </row>
    <row r="1407" spans="1:12" x14ac:dyDescent="0.25">
      <c r="A1407" s="51">
        <v>43522</v>
      </c>
      <c r="B1407" s="59">
        <v>1028037855</v>
      </c>
      <c r="C1407" s="59" t="s">
        <v>3462</v>
      </c>
      <c r="D1407" s="49" t="s">
        <v>51</v>
      </c>
      <c r="E1407" s="49" t="s">
        <v>3248</v>
      </c>
      <c r="F1407" s="76" t="str">
        <f>IFERROR(IF(Tabla1[[#This Row],[CONCEPTO mx]]="","",VLOOKUP(Tabla1[[#This Row],[CONCEPTO mx]],Tabla2[#All],2,0)),"")</f>
        <v>CM1</v>
      </c>
      <c r="G1407" s="76" t="str">
        <f>IFERROR(IF(Tabla1[[#This Row],[CONCEPTO mx]]="","",VLOOKUP(Tabla1[[#This Row],[CONCEPTO mx]],Tabla2[#All],3,0)),"")</f>
        <v>Gestión Humana</v>
      </c>
      <c r="H1407" s="49" t="s">
        <v>387</v>
      </c>
      <c r="I1407" s="49" t="s">
        <v>2298</v>
      </c>
      <c r="J1407" s="49" t="s">
        <v>2811</v>
      </c>
    </row>
    <row r="1408" spans="1:12" x14ac:dyDescent="0.25">
      <c r="A1408" s="51">
        <v>43522</v>
      </c>
      <c r="B1408" s="59">
        <v>1028041301</v>
      </c>
      <c r="C1408" s="59" t="s">
        <v>3451</v>
      </c>
      <c r="D1408" s="49" t="s">
        <v>51</v>
      </c>
      <c r="E1408" s="49" t="s">
        <v>3174</v>
      </c>
      <c r="F1408" s="76" t="str">
        <f>IFERROR(IF(Tabla1[[#This Row],[CONCEPTO mx]]="","",VLOOKUP(Tabla1[[#This Row],[CONCEPTO mx]],Tabla2[#All],2,0)),"")</f>
        <v>CM2</v>
      </c>
      <c r="G1408" s="76" t="str">
        <f>IFERROR(IF(Tabla1[[#This Row],[CONCEPTO mx]]="","",VLOOKUP(Tabla1[[#This Row],[CONCEPTO mx]],Tabla2[#All],3,0)),"")</f>
        <v>SST</v>
      </c>
      <c r="H1408" s="49" t="s">
        <v>413</v>
      </c>
      <c r="I1408" s="49" t="s">
        <v>2512</v>
      </c>
      <c r="J1408" s="49" t="s">
        <v>3452</v>
      </c>
      <c r="L1408" s="59" t="s">
        <v>3493</v>
      </c>
    </row>
    <row r="1409" spans="1:12" x14ac:dyDescent="0.25">
      <c r="A1409" s="51">
        <v>43522</v>
      </c>
      <c r="B1409" s="59">
        <v>1028001470</v>
      </c>
      <c r="C1409" s="59" t="s">
        <v>3458</v>
      </c>
      <c r="D1409" s="49" t="s">
        <v>51</v>
      </c>
      <c r="E1409" s="49" t="s">
        <v>3248</v>
      </c>
      <c r="F1409" s="76" t="str">
        <f>IFERROR(IF(Tabla1[[#This Row],[CONCEPTO mx]]="","",VLOOKUP(Tabla1[[#This Row],[CONCEPTO mx]],Tabla2[#All],2,0)),"")</f>
        <v>CM1</v>
      </c>
      <c r="G1409" s="76" t="str">
        <f>IFERROR(IF(Tabla1[[#This Row],[CONCEPTO mx]]="","",VLOOKUP(Tabla1[[#This Row],[CONCEPTO mx]],Tabla2[#All],3,0)),"")</f>
        <v>Gestión Humana</v>
      </c>
      <c r="H1409" s="49" t="s">
        <v>486</v>
      </c>
      <c r="I1409" s="49" t="s">
        <v>2298</v>
      </c>
      <c r="J1409" s="49" t="s">
        <v>2302</v>
      </c>
    </row>
    <row r="1410" spans="1:12" x14ac:dyDescent="0.25">
      <c r="A1410" s="51">
        <v>43522</v>
      </c>
      <c r="B1410" s="59">
        <v>1001026189</v>
      </c>
      <c r="C1410" s="59" t="s">
        <v>3455</v>
      </c>
      <c r="D1410" s="49" t="s">
        <v>51</v>
      </c>
      <c r="E1410" s="49" t="s">
        <v>3248</v>
      </c>
      <c r="F1410" s="76" t="str">
        <f>IFERROR(IF(Tabla1[[#This Row],[CONCEPTO mx]]="","",VLOOKUP(Tabla1[[#This Row],[CONCEPTO mx]],Tabla2[#All],2,0)),"")</f>
        <v>CM1</v>
      </c>
      <c r="G1410" s="76" t="str">
        <f>IFERROR(IF(Tabla1[[#This Row],[CONCEPTO mx]]="","",VLOOKUP(Tabla1[[#This Row],[CONCEPTO mx]],Tabla2[#All],3,0)),"")</f>
        <v>Gestión Humana</v>
      </c>
      <c r="H1410" s="49" t="s">
        <v>528</v>
      </c>
      <c r="I1410" s="49" t="s">
        <v>2512</v>
      </c>
      <c r="J1410" s="49" t="s">
        <v>3456</v>
      </c>
    </row>
    <row r="1411" spans="1:12" x14ac:dyDescent="0.25">
      <c r="A1411" s="51">
        <v>43522</v>
      </c>
      <c r="C1411" s="59" t="s">
        <v>3454</v>
      </c>
      <c r="D1411" s="49" t="s">
        <v>51</v>
      </c>
      <c r="E1411" s="49" t="s">
        <v>3248</v>
      </c>
      <c r="F1411" s="76" t="str">
        <f>IFERROR(IF(Tabla1[[#This Row],[CONCEPTO mx]]="","",VLOOKUP(Tabla1[[#This Row],[CONCEPTO mx]],Tabla2[#All],2,0)),"")</f>
        <v>CM1</v>
      </c>
      <c r="G1411" s="76" t="str">
        <f>IFERROR(IF(Tabla1[[#This Row],[CONCEPTO mx]]="","",VLOOKUP(Tabla1[[#This Row],[CONCEPTO mx]],Tabla2[#All],3,0)),"")</f>
        <v>Gestión Humana</v>
      </c>
      <c r="H1411" s="49" t="s">
        <v>413</v>
      </c>
      <c r="I1411" s="49" t="s">
        <v>2298</v>
      </c>
      <c r="J1411" s="49" t="s">
        <v>3453</v>
      </c>
    </row>
    <row r="1412" spans="1:12" x14ac:dyDescent="0.25">
      <c r="A1412" s="51">
        <v>43522</v>
      </c>
      <c r="B1412" s="59">
        <v>8362638</v>
      </c>
      <c r="C1412" s="59" t="s">
        <v>3457</v>
      </c>
      <c r="D1412" s="49" t="s">
        <v>51</v>
      </c>
      <c r="E1412" s="49" t="s">
        <v>3248</v>
      </c>
      <c r="F1412" s="76" t="str">
        <f>IFERROR(IF(Tabla1[[#This Row],[CONCEPTO mx]]="","",VLOOKUP(Tabla1[[#This Row],[CONCEPTO mx]],Tabla2[#All],2,0)),"")</f>
        <v>CM1</v>
      </c>
      <c r="G1412" s="76" t="str">
        <f>IFERROR(IF(Tabla1[[#This Row],[CONCEPTO mx]]="","",VLOOKUP(Tabla1[[#This Row],[CONCEPTO mx]],Tabla2[#All],3,0)),"")</f>
        <v>Gestión Humana</v>
      </c>
      <c r="H1412" s="49" t="s">
        <v>2394</v>
      </c>
      <c r="I1412" s="49" t="s">
        <v>2298</v>
      </c>
      <c r="J1412" s="49" t="s">
        <v>2409</v>
      </c>
    </row>
    <row r="1413" spans="1:12" x14ac:dyDescent="0.25">
      <c r="A1413" s="51">
        <v>43522</v>
      </c>
      <c r="B1413" s="59">
        <v>1062425738</v>
      </c>
      <c r="C1413" s="59" t="s">
        <v>3461</v>
      </c>
      <c r="D1413" s="49" t="s">
        <v>51</v>
      </c>
      <c r="E1413" s="49" t="s">
        <v>3249</v>
      </c>
      <c r="F1413" s="76" t="str">
        <f>IFERROR(IF(Tabla1[[#This Row],[CONCEPTO mx]]="","",VLOOKUP(Tabla1[[#This Row],[CONCEPTO mx]],Tabla2[#All],2,0)),"")</f>
        <v>CM3</v>
      </c>
      <c r="G1413" s="76" t="str">
        <f>IFERROR(IF(Tabla1[[#This Row],[CONCEPTO mx]]="","",VLOOKUP(Tabla1[[#This Row],[CONCEPTO mx]],Tabla2[#All],3,0)),"")</f>
        <v>SST</v>
      </c>
      <c r="H1413" s="49" t="s">
        <v>486</v>
      </c>
      <c r="I1413" s="49" t="s">
        <v>2298</v>
      </c>
      <c r="J1413" s="49" t="s">
        <v>2353</v>
      </c>
    </row>
    <row r="1414" spans="1:12" x14ac:dyDescent="0.25">
      <c r="A1414" s="51">
        <v>43522</v>
      </c>
      <c r="B1414" s="59">
        <v>1033368861</v>
      </c>
      <c r="C1414" s="59" t="s">
        <v>3459</v>
      </c>
      <c r="D1414" s="49" t="s">
        <v>51</v>
      </c>
      <c r="E1414" s="49" t="s">
        <v>3315</v>
      </c>
      <c r="F1414" s="76" t="str">
        <f>IFERROR(IF(Tabla1[[#This Row],[CONCEPTO mx]]="","",VLOOKUP(Tabla1[[#This Row],[CONCEPTO mx]],Tabla2[#All],2,0)),"")</f>
        <v>CM40</v>
      </c>
      <c r="G1414" s="76" t="str">
        <f>IFERROR(IF(Tabla1[[#This Row],[CONCEPTO mx]]="","",VLOOKUP(Tabla1[[#This Row],[CONCEPTO mx]],Tabla2[#All],3,0)),"")</f>
        <v>SST</v>
      </c>
      <c r="H1414" s="49" t="s">
        <v>2394</v>
      </c>
      <c r="I1414" s="49" t="s">
        <v>2298</v>
      </c>
      <c r="J1414" s="49" t="s">
        <v>3460</v>
      </c>
      <c r="L1414" s="59" t="s">
        <v>3463</v>
      </c>
    </row>
    <row r="1415" spans="1:12" x14ac:dyDescent="0.25">
      <c r="A1415" s="51">
        <v>43523</v>
      </c>
      <c r="B1415" s="59">
        <v>1045523933</v>
      </c>
      <c r="C1415" s="59" t="s">
        <v>3465</v>
      </c>
      <c r="D1415" s="49" t="s">
        <v>51</v>
      </c>
      <c r="E1415" s="49" t="s">
        <v>3315</v>
      </c>
      <c r="F1415" s="76" t="str">
        <f>IFERROR(IF(Tabla1[[#This Row],[CONCEPTO mx]]="","",VLOOKUP(Tabla1[[#This Row],[CONCEPTO mx]],Tabla2[#All],2,0)),"")</f>
        <v>CM40</v>
      </c>
      <c r="G1415" s="76" t="str">
        <f>IFERROR(IF(Tabla1[[#This Row],[CONCEPTO mx]]="","",VLOOKUP(Tabla1[[#This Row],[CONCEPTO mx]],Tabla2[#All],3,0)),"")</f>
        <v>SST</v>
      </c>
      <c r="H1415" s="49" t="s">
        <v>438</v>
      </c>
      <c r="I1415" s="49" t="s">
        <v>2298</v>
      </c>
      <c r="J1415" s="49" t="s">
        <v>2319</v>
      </c>
      <c r="L1415" s="59" t="s">
        <v>2506</v>
      </c>
    </row>
    <row r="1416" spans="1:12" x14ac:dyDescent="0.25">
      <c r="A1416" s="51">
        <v>43523</v>
      </c>
      <c r="B1416" s="59">
        <v>1045516404</v>
      </c>
      <c r="C1416" s="59" t="s">
        <v>3476</v>
      </c>
      <c r="D1416" s="49" t="s">
        <v>51</v>
      </c>
      <c r="E1416" s="49" t="s">
        <v>3248</v>
      </c>
      <c r="F1416" s="76" t="str">
        <f>IFERROR(IF(Tabla1[[#This Row],[CONCEPTO mx]]="","",VLOOKUP(Tabla1[[#This Row],[CONCEPTO mx]],Tabla2[#All],2,0)),"")</f>
        <v>CM1</v>
      </c>
      <c r="G1416" s="76" t="str">
        <f>IFERROR(IF(Tabla1[[#This Row],[CONCEPTO mx]]="","",VLOOKUP(Tabla1[[#This Row],[CONCEPTO mx]],Tabla2[#All],3,0)),"")</f>
        <v>Gestión Humana</v>
      </c>
      <c r="H1416" s="49" t="s">
        <v>387</v>
      </c>
      <c r="I1416" s="49" t="s">
        <v>2298</v>
      </c>
      <c r="J1416" s="49" t="s">
        <v>3477</v>
      </c>
    </row>
    <row r="1417" spans="1:12" x14ac:dyDescent="0.25">
      <c r="A1417" s="51">
        <v>43523</v>
      </c>
      <c r="B1417" s="59">
        <v>1147957491</v>
      </c>
      <c r="C1417" s="59" t="s">
        <v>3481</v>
      </c>
      <c r="D1417" s="49" t="s">
        <v>51</v>
      </c>
      <c r="E1417" s="49" t="s">
        <v>3248</v>
      </c>
      <c r="F1417" s="76" t="str">
        <f>IFERROR(IF(Tabla1[[#This Row],[CONCEPTO mx]]="","",VLOOKUP(Tabla1[[#This Row],[CONCEPTO mx]],Tabla2[#All],2,0)),"")</f>
        <v>CM1</v>
      </c>
      <c r="G1417" s="76" t="str">
        <f>IFERROR(IF(Tabla1[[#This Row],[CONCEPTO mx]]="","",VLOOKUP(Tabla1[[#This Row],[CONCEPTO mx]],Tabla2[#All],3,0)),"")</f>
        <v>Gestión Humana</v>
      </c>
      <c r="H1417" s="49" t="s">
        <v>406</v>
      </c>
      <c r="I1417" s="49" t="s">
        <v>2298</v>
      </c>
      <c r="J1417" s="49" t="s">
        <v>3482</v>
      </c>
    </row>
    <row r="1418" spans="1:12" x14ac:dyDescent="0.25">
      <c r="A1418" s="51">
        <v>43523</v>
      </c>
      <c r="B1418" s="59">
        <v>1038806869</v>
      </c>
      <c r="C1418" s="59" t="s">
        <v>3464</v>
      </c>
      <c r="D1418" s="49" t="s">
        <v>51</v>
      </c>
      <c r="E1418" s="49" t="s">
        <v>3248</v>
      </c>
      <c r="F1418" s="76" t="str">
        <f>IFERROR(IF(Tabla1[[#This Row],[CONCEPTO mx]]="","",VLOOKUP(Tabla1[[#This Row],[CONCEPTO mx]],Tabla2[#All],2,0)),"")</f>
        <v>CM1</v>
      </c>
      <c r="G1418" s="76" t="str">
        <f>IFERROR(IF(Tabla1[[#This Row],[CONCEPTO mx]]="","",VLOOKUP(Tabla1[[#This Row],[CONCEPTO mx]],Tabla2[#All],3,0)),"")</f>
        <v>Gestión Humana</v>
      </c>
      <c r="H1418" s="49" t="s">
        <v>438</v>
      </c>
      <c r="I1418" s="49" t="s">
        <v>2298</v>
      </c>
      <c r="J1418" s="49" t="s">
        <v>2819</v>
      </c>
    </row>
    <row r="1419" spans="1:12" x14ac:dyDescent="0.25">
      <c r="A1419" s="51">
        <v>43523</v>
      </c>
      <c r="C1419" s="59" t="s">
        <v>3480</v>
      </c>
      <c r="D1419" s="49" t="s">
        <v>51</v>
      </c>
      <c r="E1419" s="49" t="s">
        <v>2635</v>
      </c>
      <c r="F1419" s="76" t="str">
        <f>IFERROR(IF(Tabla1[[#This Row],[CONCEPTO mx]]="","",VLOOKUP(Tabla1[[#This Row],[CONCEPTO mx]],Tabla2[#All],2,0)),"")</f>
        <v>CM21</v>
      </c>
      <c r="G1419" s="76" t="str">
        <f>IFERROR(IF(Tabla1[[#This Row],[CONCEPTO mx]]="","",VLOOKUP(Tabla1[[#This Row],[CONCEPTO mx]],Tabla2[#All],3,0)),"")</f>
        <v>SST</v>
      </c>
      <c r="H1419" s="49" t="s">
        <v>438</v>
      </c>
      <c r="I1419" s="49" t="s">
        <v>2298</v>
      </c>
      <c r="J1419" s="49" t="s">
        <v>2853</v>
      </c>
    </row>
    <row r="1420" spans="1:12" x14ac:dyDescent="0.25">
      <c r="A1420" s="51">
        <v>43523</v>
      </c>
      <c r="B1420" s="59">
        <v>16497833</v>
      </c>
      <c r="C1420" s="59" t="s">
        <v>3483</v>
      </c>
      <c r="D1420" s="49" t="s">
        <v>180</v>
      </c>
      <c r="E1420" s="49" t="s">
        <v>3185</v>
      </c>
      <c r="F1420" s="76" t="str">
        <f>IFERROR(IF(Tabla1[[#This Row],[CONCEPTO mx]]="","",VLOOKUP(Tabla1[[#This Row],[CONCEPTO mx]],Tabla2[#All],2,0)),"")</f>
        <v>CM5</v>
      </c>
      <c r="G1420" s="76" t="str">
        <f>IFERROR(IF(Tabla1[[#This Row],[CONCEPTO mx]]="","",VLOOKUP(Tabla1[[#This Row],[CONCEPTO mx]],Tabla2[#All],3,0)),"")</f>
        <v>SST</v>
      </c>
      <c r="H1420" s="49" t="s">
        <v>2391</v>
      </c>
      <c r="I1420" s="49" t="s">
        <v>2298</v>
      </c>
      <c r="J1420" s="49" t="s">
        <v>2788</v>
      </c>
      <c r="L1420" s="59" t="s">
        <v>3484</v>
      </c>
    </row>
    <row r="1421" spans="1:12" x14ac:dyDescent="0.25">
      <c r="A1421" s="51">
        <v>43523</v>
      </c>
      <c r="B1421" s="59">
        <v>1001593004</v>
      </c>
      <c r="C1421" s="59" t="s">
        <v>3468</v>
      </c>
      <c r="D1421" s="49" t="s">
        <v>51</v>
      </c>
      <c r="E1421" s="49" t="s">
        <v>3248</v>
      </c>
      <c r="F1421" s="76" t="str">
        <f>IFERROR(IF(Tabla1[[#This Row],[CONCEPTO mx]]="","",VLOOKUP(Tabla1[[#This Row],[CONCEPTO mx]],Tabla2[#All],2,0)),"")</f>
        <v>CM1</v>
      </c>
      <c r="G1421" s="76" t="str">
        <f>IFERROR(IF(Tabla1[[#This Row],[CONCEPTO mx]]="","",VLOOKUP(Tabla1[[#This Row],[CONCEPTO mx]],Tabla2[#All],3,0)),"")</f>
        <v>Gestión Humana</v>
      </c>
      <c r="H1421" s="49" t="s">
        <v>413</v>
      </c>
      <c r="I1421" s="49" t="s">
        <v>2298</v>
      </c>
      <c r="J1421" s="49" t="s">
        <v>2319</v>
      </c>
    </row>
    <row r="1422" spans="1:12" x14ac:dyDescent="0.25">
      <c r="A1422" s="51">
        <v>43523</v>
      </c>
      <c r="B1422" s="59">
        <v>1001593004</v>
      </c>
      <c r="C1422" s="59" t="s">
        <v>3468</v>
      </c>
      <c r="D1422" s="49" t="s">
        <v>51</v>
      </c>
      <c r="E1422" s="49" t="s">
        <v>3248</v>
      </c>
      <c r="F1422" s="76" t="str">
        <f>IFERROR(IF(Tabla1[[#This Row],[CONCEPTO mx]]="","",VLOOKUP(Tabla1[[#This Row],[CONCEPTO mx]],Tabla2[#All],2,0)),"")</f>
        <v>CM1</v>
      </c>
      <c r="G1422" s="76" t="str">
        <f>IFERROR(IF(Tabla1[[#This Row],[CONCEPTO mx]]="","",VLOOKUP(Tabla1[[#This Row],[CONCEPTO mx]],Tabla2[#All],3,0)),"")</f>
        <v>Gestión Humana</v>
      </c>
      <c r="H1422" s="49" t="s">
        <v>413</v>
      </c>
      <c r="I1422" s="49" t="s">
        <v>2298</v>
      </c>
      <c r="J1422" s="49" t="s">
        <v>2319</v>
      </c>
      <c r="L1422" s="77"/>
    </row>
    <row r="1423" spans="1:12" x14ac:dyDescent="0.25">
      <c r="A1423" s="51">
        <v>43523</v>
      </c>
      <c r="B1423" s="59">
        <v>1040357614</v>
      </c>
      <c r="C1423" s="59" t="s">
        <v>3470</v>
      </c>
      <c r="D1423" s="49" t="s">
        <v>180</v>
      </c>
      <c r="E1423" s="49" t="s">
        <v>3181</v>
      </c>
      <c r="F1423" s="76" t="str">
        <f>IFERROR(IF(Tabla1[[#This Row],[CONCEPTO mx]]="","",VLOOKUP(Tabla1[[#This Row],[CONCEPTO mx]],Tabla2[#All],2,0)),"")</f>
        <v>CM10</v>
      </c>
      <c r="G1423" s="76" t="str">
        <f>IFERROR(IF(Tabla1[[#This Row],[CONCEPTO mx]]="","",VLOOKUP(Tabla1[[#This Row],[CONCEPTO mx]],Tabla2[#All],3,0)),"")</f>
        <v>Gestión Humana</v>
      </c>
      <c r="H1423" s="49" t="s">
        <v>406</v>
      </c>
      <c r="I1423" s="49" t="s">
        <v>2298</v>
      </c>
      <c r="J1423" s="49" t="s">
        <v>3471</v>
      </c>
      <c r="L1423" s="59" t="s">
        <v>3472</v>
      </c>
    </row>
    <row r="1424" spans="1:12" x14ac:dyDescent="0.25">
      <c r="A1424" s="51">
        <v>43523</v>
      </c>
      <c r="B1424" s="59">
        <v>1045509171</v>
      </c>
      <c r="C1424" s="59" t="s">
        <v>3478</v>
      </c>
      <c r="D1424" s="49" t="s">
        <v>180</v>
      </c>
      <c r="E1424" s="49" t="s">
        <v>3190</v>
      </c>
      <c r="F1424" s="76" t="str">
        <f>IFERROR(IF(Tabla1[[#This Row],[CONCEPTO mx]]="","",VLOOKUP(Tabla1[[#This Row],[CONCEPTO mx]],Tabla2[#All],2,0)),"")</f>
        <v>CM26</v>
      </c>
      <c r="G1424" s="76" t="str">
        <f>IFERROR(IF(Tabla1[[#This Row],[CONCEPTO mx]]="","",VLOOKUP(Tabla1[[#This Row],[CONCEPTO mx]],Tabla2[#All],3,0)),"")</f>
        <v>SST</v>
      </c>
      <c r="H1424" s="49" t="s">
        <v>550</v>
      </c>
      <c r="I1424" s="49" t="s">
        <v>2298</v>
      </c>
      <c r="J1424" s="49" t="s">
        <v>3479</v>
      </c>
    </row>
    <row r="1425" spans="1:12" x14ac:dyDescent="0.25">
      <c r="A1425" s="51">
        <v>43523</v>
      </c>
      <c r="B1425" s="59">
        <v>1045497460</v>
      </c>
      <c r="C1425" s="59" t="s">
        <v>3474</v>
      </c>
      <c r="D1425" s="49" t="s">
        <v>180</v>
      </c>
      <c r="E1425" s="49" t="s">
        <v>3185</v>
      </c>
      <c r="F1425" s="76" t="str">
        <f>IFERROR(IF(Tabla1[[#This Row],[CONCEPTO mx]]="","",VLOOKUP(Tabla1[[#This Row],[CONCEPTO mx]],Tabla2[#All],2,0)),"")</f>
        <v>CM5</v>
      </c>
      <c r="G1425" s="76" t="str">
        <f>IFERROR(IF(Tabla1[[#This Row],[CONCEPTO mx]]="","",VLOOKUP(Tabla1[[#This Row],[CONCEPTO mx]],Tabla2[#All],3,0)),"")</f>
        <v>SST</v>
      </c>
      <c r="H1425" s="49" t="s">
        <v>388</v>
      </c>
      <c r="I1425" s="49" t="s">
        <v>2298</v>
      </c>
      <c r="J1425" s="49" t="s">
        <v>4233</v>
      </c>
      <c r="L1425" s="59" t="s">
        <v>3475</v>
      </c>
    </row>
    <row r="1426" spans="1:12" x14ac:dyDescent="0.25">
      <c r="A1426" s="51">
        <v>43523</v>
      </c>
      <c r="B1426" s="59">
        <v>15609281</v>
      </c>
      <c r="C1426" s="59" t="s">
        <v>3488</v>
      </c>
      <c r="D1426" s="49" t="s">
        <v>51</v>
      </c>
      <c r="E1426" s="49" t="s">
        <v>3197</v>
      </c>
      <c r="F1426" s="76" t="str">
        <f>IFERROR(IF(Tabla1[[#This Row],[CONCEPTO mx]]="","",VLOOKUP(Tabla1[[#This Row],[CONCEPTO mx]],Tabla2[#All],2,0)),"")</f>
        <v>CM14</v>
      </c>
      <c r="G1426" s="76" t="str">
        <f>IFERROR(IF(Tabla1[[#This Row],[CONCEPTO mx]]="","",VLOOKUP(Tabla1[[#This Row],[CONCEPTO mx]],Tabla2[#All],3,0)),"")</f>
        <v>SST</v>
      </c>
      <c r="H1426" s="49" t="s">
        <v>628</v>
      </c>
      <c r="I1426" s="49" t="s">
        <v>2298</v>
      </c>
      <c r="J1426" s="49" t="s">
        <v>3489</v>
      </c>
    </row>
    <row r="1427" spans="1:12" x14ac:dyDescent="0.25">
      <c r="A1427" s="51">
        <v>43523</v>
      </c>
      <c r="B1427" s="59">
        <v>11000937</v>
      </c>
      <c r="C1427" s="59" t="s">
        <v>3467</v>
      </c>
      <c r="D1427" s="49" t="s">
        <v>51</v>
      </c>
      <c r="E1427" s="49" t="s">
        <v>3315</v>
      </c>
      <c r="F1427" s="76" t="str">
        <f>IFERROR(IF(Tabla1[[#This Row],[CONCEPTO mx]]="","",VLOOKUP(Tabla1[[#This Row],[CONCEPTO mx]],Tabla2[#All],2,0)),"")</f>
        <v>CM40</v>
      </c>
      <c r="G1427" s="76" t="str">
        <f>IFERROR(IF(Tabla1[[#This Row],[CONCEPTO mx]]="","",VLOOKUP(Tabla1[[#This Row],[CONCEPTO mx]],Tabla2[#All],3,0)),"")</f>
        <v>SST</v>
      </c>
      <c r="H1427" s="49" t="s">
        <v>438</v>
      </c>
      <c r="I1427" s="49" t="s">
        <v>2298</v>
      </c>
      <c r="J1427" s="49" t="s">
        <v>2319</v>
      </c>
      <c r="L1427" s="59" t="s">
        <v>3466</v>
      </c>
    </row>
    <row r="1428" spans="1:12" x14ac:dyDescent="0.25">
      <c r="A1428" s="51">
        <v>43523</v>
      </c>
      <c r="B1428" s="59">
        <v>1001021124</v>
      </c>
      <c r="C1428" s="59" t="s">
        <v>3469</v>
      </c>
      <c r="D1428" s="49" t="s">
        <v>51</v>
      </c>
      <c r="E1428" s="49" t="s">
        <v>3249</v>
      </c>
      <c r="F1428" s="76" t="str">
        <f>IFERROR(IF(Tabla1[[#This Row],[CONCEPTO mx]]="","",VLOOKUP(Tabla1[[#This Row],[CONCEPTO mx]],Tabla2[#All],2,0)),"")</f>
        <v>CM3</v>
      </c>
      <c r="G1428" s="76" t="str">
        <f>IFERROR(IF(Tabla1[[#This Row],[CONCEPTO mx]]="","",VLOOKUP(Tabla1[[#This Row],[CONCEPTO mx]],Tabla2[#All],3,0)),"")</f>
        <v>SST</v>
      </c>
      <c r="H1428" s="49" t="s">
        <v>406</v>
      </c>
      <c r="I1428" s="49" t="s">
        <v>2298</v>
      </c>
      <c r="J1428" s="49" t="s">
        <v>2826</v>
      </c>
    </row>
    <row r="1429" spans="1:12" x14ac:dyDescent="0.25">
      <c r="A1429" s="51">
        <v>43523</v>
      </c>
      <c r="B1429" s="59">
        <v>1001021124</v>
      </c>
      <c r="C1429" s="59" t="s">
        <v>3469</v>
      </c>
      <c r="D1429" s="49" t="s">
        <v>51</v>
      </c>
      <c r="E1429" s="49" t="s">
        <v>3249</v>
      </c>
      <c r="F1429" s="76" t="str">
        <f>IFERROR(IF(Tabla1[[#This Row],[CONCEPTO mx]]="","",VLOOKUP(Tabla1[[#This Row],[CONCEPTO mx]],Tabla2[#All],2,0)),"")</f>
        <v>CM3</v>
      </c>
      <c r="G1429" s="76" t="str">
        <f>IFERROR(IF(Tabla1[[#This Row],[CONCEPTO mx]]="","",VLOOKUP(Tabla1[[#This Row],[CONCEPTO mx]],Tabla2[#All],3,0)),"")</f>
        <v>SST</v>
      </c>
      <c r="H1429" s="49" t="s">
        <v>406</v>
      </c>
      <c r="I1429" s="49" t="s">
        <v>2298</v>
      </c>
      <c r="J1429" s="49" t="s">
        <v>2826</v>
      </c>
      <c r="L1429" s="77"/>
    </row>
    <row r="1430" spans="1:12" x14ac:dyDescent="0.25">
      <c r="A1430" s="51">
        <v>43523</v>
      </c>
      <c r="B1430" s="59">
        <v>1045515223</v>
      </c>
      <c r="C1430" s="59" t="s">
        <v>3485</v>
      </c>
      <c r="D1430" s="49" t="s">
        <v>51</v>
      </c>
      <c r="E1430" s="49" t="s">
        <v>3250</v>
      </c>
      <c r="F1430" s="76" t="str">
        <f>IFERROR(IF(Tabla1[[#This Row],[CONCEPTO mx]]="","",VLOOKUP(Tabla1[[#This Row],[CONCEPTO mx]],Tabla2[#All],2,0)),"")</f>
        <v>CM12</v>
      </c>
      <c r="G1430" s="76" t="str">
        <f>IFERROR(IF(Tabla1[[#This Row],[CONCEPTO mx]]="","",VLOOKUP(Tabla1[[#This Row],[CONCEPTO mx]],Tabla2[#All],3,0)),"")</f>
        <v>SST</v>
      </c>
      <c r="H1430" s="49" t="s">
        <v>628</v>
      </c>
      <c r="I1430" s="49" t="s">
        <v>2512</v>
      </c>
      <c r="J1430" s="59" t="s">
        <v>3487</v>
      </c>
      <c r="L1430" s="59" t="s">
        <v>3486</v>
      </c>
    </row>
    <row r="1431" spans="1:12" x14ac:dyDescent="0.25">
      <c r="A1431" s="51">
        <v>43525</v>
      </c>
      <c r="B1431" s="59">
        <v>1027943145</v>
      </c>
      <c r="C1431" s="59" t="s">
        <v>3492</v>
      </c>
      <c r="D1431" s="49" t="s">
        <v>51</v>
      </c>
      <c r="E1431" s="49" t="s">
        <v>3248</v>
      </c>
      <c r="F1431" s="76" t="str">
        <f>IFERROR(IF(Tabla1[[#This Row],[CONCEPTO mx]]="","",VLOOKUP(Tabla1[[#This Row],[CONCEPTO mx]],Tabla2[#All],2,0)),"")</f>
        <v>CM1</v>
      </c>
      <c r="G1431" s="76" t="str">
        <f>IFERROR(IF(Tabla1[[#This Row],[CONCEPTO mx]]="","",VLOOKUP(Tabla1[[#This Row],[CONCEPTO mx]],Tabla2[#All],3,0)),"")</f>
        <v>Gestión Humana</v>
      </c>
      <c r="H1431" s="49" t="s">
        <v>628</v>
      </c>
      <c r="I1431" s="49" t="s">
        <v>2298</v>
      </c>
      <c r="J1431" s="49" t="s">
        <v>2819</v>
      </c>
    </row>
    <row r="1432" spans="1:12" x14ac:dyDescent="0.25">
      <c r="A1432" s="51">
        <v>43525</v>
      </c>
      <c r="B1432" s="59">
        <v>1124053359</v>
      </c>
      <c r="C1432" s="59" t="s">
        <v>3490</v>
      </c>
      <c r="D1432" s="49" t="s">
        <v>180</v>
      </c>
      <c r="E1432" s="49" t="s">
        <v>3188</v>
      </c>
      <c r="F1432" s="76" t="str">
        <f>IFERROR(IF(Tabla1[[#This Row],[CONCEPTO mx]]="","",VLOOKUP(Tabla1[[#This Row],[CONCEPTO mx]],Tabla2[#All],2,0)),"")</f>
        <v>CM7</v>
      </c>
      <c r="G1432" s="76" t="str">
        <f>IFERROR(IF(Tabla1[[#This Row],[CONCEPTO mx]]="","",VLOOKUP(Tabla1[[#This Row],[CONCEPTO mx]],Tabla2[#All],3,0)),"")</f>
        <v>SST</v>
      </c>
      <c r="H1432" s="49" t="s">
        <v>406</v>
      </c>
      <c r="I1432" s="49" t="s">
        <v>2298</v>
      </c>
      <c r="J1432" s="49" t="s">
        <v>2539</v>
      </c>
      <c r="L1432" s="59" t="s">
        <v>3491</v>
      </c>
    </row>
    <row r="1433" spans="1:12" x14ac:dyDescent="0.25">
      <c r="A1433" s="51">
        <v>43531</v>
      </c>
      <c r="B1433" s="50">
        <v>1040363949</v>
      </c>
      <c r="C1433" s="59" t="s">
        <v>3504</v>
      </c>
      <c r="D1433" s="49" t="s">
        <v>51</v>
      </c>
      <c r="E1433" s="49" t="s">
        <v>3248</v>
      </c>
      <c r="F1433" s="76" t="str">
        <f>IFERROR(IF(Tabla1[[#This Row],[CONCEPTO mx]]="","",VLOOKUP(Tabla1[[#This Row],[CONCEPTO mx]],Tabla2[#All],2,0)),"")</f>
        <v>CM1</v>
      </c>
      <c r="G1433" s="76" t="str">
        <f>IFERROR(IF(Tabla1[[#This Row],[CONCEPTO mx]]="","",VLOOKUP(Tabla1[[#This Row],[CONCEPTO mx]],Tabla2[#All],3,0)),"")</f>
        <v>Gestión Humana</v>
      </c>
      <c r="H1433" s="49" t="s">
        <v>438</v>
      </c>
      <c r="I1433" s="49" t="s">
        <v>2298</v>
      </c>
      <c r="J1433" s="49" t="s">
        <v>3505</v>
      </c>
    </row>
    <row r="1434" spans="1:12" x14ac:dyDescent="0.25">
      <c r="A1434" s="51">
        <v>43531</v>
      </c>
      <c r="B1434" s="59">
        <v>1128476469</v>
      </c>
      <c r="C1434" s="49" t="s">
        <v>3518</v>
      </c>
      <c r="D1434" s="49" t="s">
        <v>51</v>
      </c>
      <c r="E1434" s="49" t="s">
        <v>3250</v>
      </c>
      <c r="F1434" s="76" t="str">
        <f>IFERROR(IF(Tabla1[[#This Row],[CONCEPTO mx]]="","",VLOOKUP(Tabla1[[#This Row],[CONCEPTO mx]],Tabla2[#All],2,0)),"")</f>
        <v>CM12</v>
      </c>
      <c r="G1434" s="76" t="str">
        <f>IFERROR(IF(Tabla1[[#This Row],[CONCEPTO mx]]="","",VLOOKUP(Tabla1[[#This Row],[CONCEPTO mx]],Tabla2[#All],3,0)),"")</f>
        <v>SST</v>
      </c>
      <c r="H1434" s="49" t="s">
        <v>3519</v>
      </c>
      <c r="I1434" s="49" t="s">
        <v>3392</v>
      </c>
      <c r="J1434" s="49" t="s">
        <v>3524</v>
      </c>
      <c r="L1434" s="59" t="s">
        <v>3520</v>
      </c>
    </row>
    <row r="1435" spans="1:12" x14ac:dyDescent="0.25">
      <c r="A1435" s="51">
        <v>43531</v>
      </c>
      <c r="B1435" s="50">
        <v>71257954</v>
      </c>
      <c r="C1435" s="75" t="s">
        <v>3506</v>
      </c>
      <c r="D1435" s="49" t="s">
        <v>51</v>
      </c>
      <c r="E1435" s="49" t="s">
        <v>3250</v>
      </c>
      <c r="F1435" s="76" t="str">
        <f>IFERROR(IF(Tabla1[[#This Row],[CONCEPTO mx]]="","",VLOOKUP(Tabla1[[#This Row],[CONCEPTO mx]],Tabla2[#All],2,0)),"")</f>
        <v>CM12</v>
      </c>
      <c r="G1435" s="76" t="str">
        <f>IFERROR(IF(Tabla1[[#This Row],[CONCEPTO mx]]="","",VLOOKUP(Tabla1[[#This Row],[CONCEPTO mx]],Tabla2[#All],3,0)),"")</f>
        <v>SST</v>
      </c>
      <c r="H1435" s="49" t="s">
        <v>357</v>
      </c>
      <c r="I1435" s="49" t="s">
        <v>2298</v>
      </c>
      <c r="J1435" s="49" t="s">
        <v>3507</v>
      </c>
      <c r="L1435" s="59" t="s">
        <v>3508</v>
      </c>
    </row>
    <row r="1436" spans="1:12" x14ac:dyDescent="0.25">
      <c r="A1436" s="51">
        <v>43531</v>
      </c>
      <c r="B1436" s="59">
        <v>71257954</v>
      </c>
      <c r="C1436" s="75" t="s">
        <v>3506</v>
      </c>
      <c r="D1436" s="49" t="s">
        <v>51</v>
      </c>
      <c r="E1436" s="49" t="s">
        <v>3250</v>
      </c>
      <c r="F1436" s="76" t="str">
        <f>IFERROR(IF(Tabla1[[#This Row],[CONCEPTO mx]]="","",VLOOKUP(Tabla1[[#This Row],[CONCEPTO mx]],Tabla2[#All],2,0)),"")</f>
        <v>CM12</v>
      </c>
      <c r="G1436" s="76" t="str">
        <f>IFERROR(IF(Tabla1[[#This Row],[CONCEPTO mx]]="","",VLOOKUP(Tabla1[[#This Row],[CONCEPTO mx]],Tabla2[#All],3,0)),"")</f>
        <v>SST</v>
      </c>
      <c r="H1436" s="49" t="s">
        <v>628</v>
      </c>
      <c r="I1436" s="49" t="s">
        <v>1326</v>
      </c>
      <c r="J1436" s="49" t="s">
        <v>3503</v>
      </c>
    </row>
    <row r="1437" spans="1:12" x14ac:dyDescent="0.25">
      <c r="A1437" s="51">
        <v>43531</v>
      </c>
      <c r="B1437" s="81">
        <v>8324693</v>
      </c>
      <c r="C1437" s="59" t="s">
        <v>3496</v>
      </c>
      <c r="D1437" s="49" t="s">
        <v>51</v>
      </c>
      <c r="E1437" s="49" t="s">
        <v>3248</v>
      </c>
      <c r="F1437" s="76" t="str">
        <f>IFERROR(IF(Tabla1[[#This Row],[CONCEPTO mx]]="","",VLOOKUP(Tabla1[[#This Row],[CONCEPTO mx]],Tabla2[#All],2,0)),"")</f>
        <v>CM1</v>
      </c>
      <c r="G1437" s="76" t="str">
        <f>IFERROR(IF(Tabla1[[#This Row],[CONCEPTO mx]]="","",VLOOKUP(Tabla1[[#This Row],[CONCEPTO mx]],Tabla2[#All],3,0)),"")</f>
        <v>Gestión Humana</v>
      </c>
      <c r="H1437" s="49" t="s">
        <v>486</v>
      </c>
      <c r="I1437" s="49" t="s">
        <v>2298</v>
      </c>
      <c r="J1437" s="49" t="s">
        <v>2845</v>
      </c>
    </row>
    <row r="1438" spans="1:12" x14ac:dyDescent="0.25">
      <c r="A1438" s="51">
        <v>43531</v>
      </c>
      <c r="B1438" s="59">
        <v>1007608677</v>
      </c>
      <c r="C1438" s="59" t="s">
        <v>3500</v>
      </c>
      <c r="D1438" s="49" t="s">
        <v>51</v>
      </c>
      <c r="E1438" s="49" t="s">
        <v>2401</v>
      </c>
      <c r="F1438" s="76" t="str">
        <f>IFERROR(IF(Tabla1[[#This Row],[CONCEPTO mx]]="","",VLOOKUP(Tabla1[[#This Row],[CONCEPTO mx]],Tabla2[#All],2,0)),"")</f>
        <v>CM28</v>
      </c>
      <c r="G1438" s="76" t="str">
        <f>IFERROR(IF(Tabla1[[#This Row],[CONCEPTO mx]]="","",VLOOKUP(Tabla1[[#This Row],[CONCEPTO mx]],Tabla2[#All],3,0)),"")</f>
        <v>SST</v>
      </c>
      <c r="H1438" s="49" t="s">
        <v>438</v>
      </c>
      <c r="I1438" s="49" t="s">
        <v>2298</v>
      </c>
      <c r="J1438" s="49" t="s">
        <v>2353</v>
      </c>
      <c r="L1438" s="59" t="s">
        <v>3501</v>
      </c>
    </row>
    <row r="1439" spans="1:12" x14ac:dyDescent="0.25">
      <c r="A1439" s="51">
        <v>43531</v>
      </c>
      <c r="B1439" s="50">
        <v>71946378</v>
      </c>
      <c r="C1439" s="59" t="s">
        <v>3510</v>
      </c>
      <c r="D1439" s="49" t="s">
        <v>51</v>
      </c>
      <c r="E1439" s="49" t="s">
        <v>3250</v>
      </c>
      <c r="F1439" s="76" t="str">
        <f>IFERROR(IF(Tabla1[[#This Row],[CONCEPTO mx]]="","",VLOOKUP(Tabla1[[#This Row],[CONCEPTO mx]],Tabla2[#All],2,0)),"")</f>
        <v>CM12</v>
      </c>
      <c r="G1439" s="76" t="str">
        <f>IFERROR(IF(Tabla1[[#This Row],[CONCEPTO mx]]="","",VLOOKUP(Tabla1[[#This Row],[CONCEPTO mx]],Tabla2[#All],3,0)),"")</f>
        <v>SST</v>
      </c>
      <c r="H1439" s="49" t="s">
        <v>550</v>
      </c>
      <c r="I1439" s="49" t="s">
        <v>2298</v>
      </c>
      <c r="J1439" s="49" t="s">
        <v>3522</v>
      </c>
      <c r="L1439" s="59" t="s">
        <v>3511</v>
      </c>
    </row>
    <row r="1440" spans="1:12" x14ac:dyDescent="0.25">
      <c r="A1440" s="51">
        <v>43531</v>
      </c>
      <c r="B1440" s="59">
        <v>1040379775</v>
      </c>
      <c r="C1440" s="59" t="s">
        <v>3532</v>
      </c>
      <c r="D1440" s="49" t="s">
        <v>51</v>
      </c>
      <c r="E1440" s="49" t="s">
        <v>3315</v>
      </c>
      <c r="F1440" s="76" t="str">
        <f>IFERROR(IF(Tabla1[[#This Row],[CONCEPTO mx]]="","",VLOOKUP(Tabla1[[#This Row],[CONCEPTO mx]],Tabla2[#All],2,0)),"")</f>
        <v>CM40</v>
      </c>
      <c r="G1440" s="76" t="str">
        <f>IFERROR(IF(Tabla1[[#This Row],[CONCEPTO mx]]="","",VLOOKUP(Tabla1[[#This Row],[CONCEPTO mx]],Tabla2[#All],3,0)),"")</f>
        <v>SST</v>
      </c>
      <c r="H1440" s="49" t="s">
        <v>406</v>
      </c>
      <c r="I1440" s="49" t="s">
        <v>2298</v>
      </c>
      <c r="J1440" s="49" t="s">
        <v>2412</v>
      </c>
      <c r="L1440" s="59" t="s">
        <v>3541</v>
      </c>
    </row>
    <row r="1441" spans="1:12" x14ac:dyDescent="0.25">
      <c r="A1441" s="51">
        <v>43531</v>
      </c>
      <c r="B1441" s="59">
        <v>1038802666</v>
      </c>
      <c r="C1441" s="59" t="s">
        <v>1381</v>
      </c>
      <c r="D1441" s="49" t="s">
        <v>51</v>
      </c>
      <c r="E1441" s="77" t="s">
        <v>3250</v>
      </c>
      <c r="F1441" s="76" t="str">
        <f>IFERROR(IF(Tabla1[[#This Row],[CONCEPTO mx]]="","",VLOOKUP(Tabla1[[#This Row],[CONCEPTO mx]],Tabla2[#All],2,0)),"")</f>
        <v>CM12</v>
      </c>
      <c r="G1441" s="76" t="str">
        <f>IFERROR(IF(Tabla1[[#This Row],[CONCEPTO mx]]="","",VLOOKUP(Tabla1[[#This Row],[CONCEPTO mx]],Tabla2[#All],3,0)),"")</f>
        <v>SST</v>
      </c>
      <c r="H1441" s="49" t="s">
        <v>406</v>
      </c>
      <c r="I1441" s="49" t="s">
        <v>3392</v>
      </c>
      <c r="J1441" s="49" t="s">
        <v>3530</v>
      </c>
      <c r="L1441" s="59" t="s">
        <v>3531</v>
      </c>
    </row>
    <row r="1442" spans="1:12" x14ac:dyDescent="0.25">
      <c r="A1442" s="51">
        <v>43531</v>
      </c>
      <c r="B1442" s="59">
        <v>1063965537</v>
      </c>
      <c r="C1442" s="59" t="s">
        <v>3441</v>
      </c>
      <c r="D1442" s="49" t="s">
        <v>51</v>
      </c>
      <c r="E1442" s="49" t="s">
        <v>3315</v>
      </c>
      <c r="F1442" s="76" t="str">
        <f>IFERROR(IF(Tabla1[[#This Row],[CONCEPTO mx]]="","",VLOOKUP(Tabla1[[#This Row],[CONCEPTO mx]],Tabla2[#All],2,0)),"")</f>
        <v>CM40</v>
      </c>
      <c r="G1442" s="76" t="str">
        <f>IFERROR(IF(Tabla1[[#This Row],[CONCEPTO mx]]="","",VLOOKUP(Tabla1[[#This Row],[CONCEPTO mx]],Tabla2[#All],3,0)),"")</f>
        <v>SST</v>
      </c>
      <c r="H1442" s="49" t="s">
        <v>486</v>
      </c>
      <c r="I1442" s="49" t="s">
        <v>2298</v>
      </c>
      <c r="J1442" s="49" t="s">
        <v>2845</v>
      </c>
      <c r="K1442" s="51">
        <v>43521</v>
      </c>
      <c r="L1442" s="59" t="s">
        <v>3562</v>
      </c>
    </row>
    <row r="1443" spans="1:12" x14ac:dyDescent="0.25">
      <c r="A1443" s="51">
        <v>43531</v>
      </c>
      <c r="C1443" s="59" t="s">
        <v>3538</v>
      </c>
      <c r="D1443" s="49" t="s">
        <v>180</v>
      </c>
      <c r="E1443" s="49" t="s">
        <v>3185</v>
      </c>
      <c r="F1443" s="76" t="str">
        <f>IFERROR(IF(Tabla1[[#This Row],[CONCEPTO mx]]="","",VLOOKUP(Tabla1[[#This Row],[CONCEPTO mx]],Tabla2[#All],2,0)),"")</f>
        <v>CM5</v>
      </c>
      <c r="G1443" s="76" t="str">
        <f>IFERROR(IF(Tabla1[[#This Row],[CONCEPTO mx]]="","",VLOOKUP(Tabla1[[#This Row],[CONCEPTO mx]],Tabla2[#All],3,0)),"")</f>
        <v>SST</v>
      </c>
      <c r="H1443" s="49" t="s">
        <v>486</v>
      </c>
      <c r="I1443" s="49" t="s">
        <v>2298</v>
      </c>
      <c r="J1443" s="49" t="s">
        <v>2819</v>
      </c>
      <c r="L1443" s="59" t="s">
        <v>3537</v>
      </c>
    </row>
    <row r="1444" spans="1:12" x14ac:dyDescent="0.25">
      <c r="A1444" s="51">
        <v>43531</v>
      </c>
      <c r="B1444" s="59">
        <v>1028033887</v>
      </c>
      <c r="C1444" s="59" t="s">
        <v>3515</v>
      </c>
      <c r="D1444" s="49" t="s">
        <v>51</v>
      </c>
      <c r="E1444" s="49" t="s">
        <v>3249</v>
      </c>
      <c r="F1444" s="76" t="str">
        <f>IFERROR(IF(Tabla1[[#This Row],[CONCEPTO mx]]="","",VLOOKUP(Tabla1[[#This Row],[CONCEPTO mx]],Tabla2[#All],2,0)),"")</f>
        <v>CM3</v>
      </c>
      <c r="G1444" s="76" t="str">
        <f>IFERROR(IF(Tabla1[[#This Row],[CONCEPTO mx]]="","",VLOOKUP(Tabla1[[#This Row],[CONCEPTO mx]],Tabla2[#All],3,0)),"")</f>
        <v>SST</v>
      </c>
      <c r="H1444" s="49" t="s">
        <v>406</v>
      </c>
      <c r="I1444" s="49" t="s">
        <v>2298</v>
      </c>
      <c r="J1444" s="49" t="s">
        <v>3516</v>
      </c>
      <c r="L1444" s="59" t="s">
        <v>3517</v>
      </c>
    </row>
    <row r="1445" spans="1:12" x14ac:dyDescent="0.25">
      <c r="A1445" s="51">
        <v>43531</v>
      </c>
      <c r="B1445" s="59">
        <v>1001576457</v>
      </c>
      <c r="C1445" s="59" t="s">
        <v>3509</v>
      </c>
      <c r="D1445" s="49" t="s">
        <v>51</v>
      </c>
      <c r="E1445" s="49" t="s">
        <v>3248</v>
      </c>
      <c r="F1445" s="76" t="str">
        <f>IFERROR(IF(Tabla1[[#This Row],[CONCEPTO mx]]="","",VLOOKUP(Tabla1[[#This Row],[CONCEPTO mx]],Tabla2[#All],2,0)),"")</f>
        <v>CM1</v>
      </c>
      <c r="G1445" s="76" t="str">
        <f>IFERROR(IF(Tabla1[[#This Row],[CONCEPTO mx]]="","",VLOOKUP(Tabla1[[#This Row],[CONCEPTO mx]],Tabla2[#All],3,0)),"")</f>
        <v>Gestión Humana</v>
      </c>
      <c r="H1445" s="49" t="s">
        <v>2391</v>
      </c>
      <c r="I1445" s="49" t="s">
        <v>2298</v>
      </c>
      <c r="J1445" s="49" t="s">
        <v>4233</v>
      </c>
    </row>
    <row r="1446" spans="1:12" x14ac:dyDescent="0.25">
      <c r="A1446" s="51">
        <v>43531</v>
      </c>
      <c r="B1446" s="59">
        <v>1027962173</v>
      </c>
      <c r="C1446" s="59" t="s">
        <v>3521</v>
      </c>
      <c r="D1446" s="49" t="s">
        <v>51</v>
      </c>
      <c r="E1446" s="49" t="s">
        <v>3188</v>
      </c>
      <c r="F1446" s="76" t="str">
        <f>IFERROR(IF(Tabla1[[#This Row],[CONCEPTO mx]]="","",VLOOKUP(Tabla1[[#This Row],[CONCEPTO mx]],Tabla2[#All],2,0)),"")</f>
        <v>CM7</v>
      </c>
      <c r="G1446" s="76" t="str">
        <f>IFERROR(IF(Tabla1[[#This Row],[CONCEPTO mx]]="","",VLOOKUP(Tabla1[[#This Row],[CONCEPTO mx]],Tabla2[#All],3,0)),"")</f>
        <v>SST</v>
      </c>
      <c r="H1446" s="49" t="s">
        <v>406</v>
      </c>
      <c r="I1446" s="49" t="s">
        <v>3392</v>
      </c>
      <c r="J1446" s="49" t="s">
        <v>3498</v>
      </c>
      <c r="L1446" s="59" t="s">
        <v>3543</v>
      </c>
    </row>
    <row r="1447" spans="1:12" x14ac:dyDescent="0.25">
      <c r="A1447" s="51">
        <v>43531</v>
      </c>
      <c r="B1447" s="59">
        <v>1028028770</v>
      </c>
      <c r="C1447" s="59" t="s">
        <v>3495</v>
      </c>
      <c r="D1447" s="49" t="s">
        <v>51</v>
      </c>
      <c r="E1447" s="49" t="s">
        <v>3248</v>
      </c>
      <c r="F1447" s="76" t="str">
        <f>IFERROR(IF(Tabla1[[#This Row],[CONCEPTO mx]]="","",VLOOKUP(Tabla1[[#This Row],[CONCEPTO mx]],Tabla2[#All],2,0)),"")</f>
        <v>CM1</v>
      </c>
      <c r="G1447" s="76" t="str">
        <f>IFERROR(IF(Tabla1[[#This Row],[CONCEPTO mx]]="","",VLOOKUP(Tabla1[[#This Row],[CONCEPTO mx]],Tabla2[#All],3,0)),"")</f>
        <v>Gestión Humana</v>
      </c>
      <c r="H1447" s="49" t="s">
        <v>413</v>
      </c>
      <c r="I1447" s="49" t="s">
        <v>2298</v>
      </c>
      <c r="J1447" s="49" t="s">
        <v>2319</v>
      </c>
    </row>
    <row r="1448" spans="1:12" x14ac:dyDescent="0.25">
      <c r="A1448" s="51">
        <v>43531</v>
      </c>
      <c r="B1448" s="59">
        <v>71241233</v>
      </c>
      <c r="C1448" s="59" t="s">
        <v>3512</v>
      </c>
      <c r="D1448" s="49" t="s">
        <v>51</v>
      </c>
      <c r="E1448" s="49" t="s">
        <v>3248</v>
      </c>
      <c r="F1448" s="76" t="str">
        <f>IFERROR(IF(Tabla1[[#This Row],[CONCEPTO mx]]="","",VLOOKUP(Tabla1[[#This Row],[CONCEPTO mx]],Tabla2[#All],2,0)),"")</f>
        <v>CM1</v>
      </c>
      <c r="G1448" s="76" t="str">
        <f>IFERROR(IF(Tabla1[[#This Row],[CONCEPTO mx]]="","",VLOOKUP(Tabla1[[#This Row],[CONCEPTO mx]],Tabla2[#All],3,0)),"")</f>
        <v>Gestión Humana</v>
      </c>
      <c r="H1448" s="49" t="s">
        <v>484</v>
      </c>
      <c r="I1448" s="49" t="s">
        <v>2298</v>
      </c>
      <c r="J1448" s="49" t="s">
        <v>584</v>
      </c>
    </row>
    <row r="1449" spans="1:12" x14ac:dyDescent="0.25">
      <c r="A1449" s="51">
        <v>43531</v>
      </c>
      <c r="B1449" s="59">
        <v>11885904</v>
      </c>
      <c r="C1449" s="59" t="s">
        <v>3539</v>
      </c>
      <c r="D1449" s="49" t="s">
        <v>180</v>
      </c>
      <c r="E1449" s="49" t="s">
        <v>3198</v>
      </c>
      <c r="F1449" s="76" t="str">
        <f>IFERROR(IF(Tabla1[[#This Row],[CONCEPTO mx]]="","",VLOOKUP(Tabla1[[#This Row],[CONCEPTO mx]],Tabla2[#All],2,0)),"")</f>
        <v>CM6</v>
      </c>
      <c r="G1449" s="76" t="str">
        <f>IFERROR(IF(Tabla1[[#This Row],[CONCEPTO mx]]="","",VLOOKUP(Tabla1[[#This Row],[CONCEPTO mx]],Tabla2[#All],3,0)),"")</f>
        <v>SST</v>
      </c>
      <c r="H1449" s="49" t="s">
        <v>438</v>
      </c>
      <c r="I1449" s="49" t="s">
        <v>2298</v>
      </c>
      <c r="J1449" s="49" t="s">
        <v>3536</v>
      </c>
      <c r="L1449" s="59" t="s">
        <v>3542</v>
      </c>
    </row>
    <row r="1450" spans="1:12" x14ac:dyDescent="0.25">
      <c r="A1450" s="51">
        <v>43531</v>
      </c>
      <c r="B1450" s="59">
        <v>1003719739</v>
      </c>
      <c r="C1450" s="59" t="s">
        <v>3525</v>
      </c>
      <c r="D1450" s="49" t="s">
        <v>51</v>
      </c>
      <c r="E1450" s="49" t="s">
        <v>3250</v>
      </c>
      <c r="F1450" s="76" t="str">
        <f>IFERROR(IF(Tabla1[[#This Row],[CONCEPTO mx]]="","",VLOOKUP(Tabla1[[#This Row],[CONCEPTO mx]],Tabla2[#All],2,0)),"")</f>
        <v>CM12</v>
      </c>
      <c r="G1450" s="76" t="str">
        <f>IFERROR(IF(Tabla1[[#This Row],[CONCEPTO mx]]="","",VLOOKUP(Tabla1[[#This Row],[CONCEPTO mx]],Tabla2[#All],3,0)),"")</f>
        <v>SST</v>
      </c>
      <c r="H1450" s="49" t="s">
        <v>413</v>
      </c>
      <c r="I1450" s="49" t="s">
        <v>2298</v>
      </c>
      <c r="J1450" s="49" t="s">
        <v>1134</v>
      </c>
      <c r="L1450" s="59" t="s">
        <v>3526</v>
      </c>
    </row>
    <row r="1451" spans="1:12" x14ac:dyDescent="0.25">
      <c r="A1451" s="51">
        <v>43531</v>
      </c>
      <c r="B1451" s="59">
        <v>1028015716</v>
      </c>
      <c r="C1451" s="59" t="s">
        <v>3533</v>
      </c>
      <c r="D1451" s="49" t="s">
        <v>51</v>
      </c>
      <c r="E1451" s="49" t="s">
        <v>3315</v>
      </c>
      <c r="F1451" s="76" t="str">
        <f>IFERROR(IF(Tabla1[[#This Row],[CONCEPTO mx]]="","",VLOOKUP(Tabla1[[#This Row],[CONCEPTO mx]],Tabla2[#All],2,0)),"")</f>
        <v>CM40</v>
      </c>
      <c r="G1451" s="76" t="str">
        <f>IFERROR(IF(Tabla1[[#This Row],[CONCEPTO mx]]="","",VLOOKUP(Tabla1[[#This Row],[CONCEPTO mx]],Tabla2[#All],3,0)),"")</f>
        <v>SST</v>
      </c>
      <c r="H1451" s="49" t="s">
        <v>438</v>
      </c>
      <c r="I1451" s="49" t="s">
        <v>2298</v>
      </c>
      <c r="J1451" s="49" t="s">
        <v>3355</v>
      </c>
      <c r="L1451" s="59" t="s">
        <v>3540</v>
      </c>
    </row>
    <row r="1452" spans="1:12" x14ac:dyDescent="0.25">
      <c r="A1452" s="51">
        <v>43531</v>
      </c>
      <c r="B1452" s="59">
        <v>1027947834</v>
      </c>
      <c r="C1452" s="59" t="s">
        <v>3497</v>
      </c>
      <c r="D1452" s="49" t="s">
        <v>51</v>
      </c>
      <c r="E1452" s="49" t="s">
        <v>3315</v>
      </c>
      <c r="F1452" s="76" t="str">
        <f>IFERROR(IF(Tabla1[[#This Row],[CONCEPTO mx]]="","",VLOOKUP(Tabla1[[#This Row],[CONCEPTO mx]],Tabla2[#All],2,0)),"")</f>
        <v>CM40</v>
      </c>
      <c r="G1452" s="76" t="str">
        <f>IFERROR(IF(Tabla1[[#This Row],[CONCEPTO mx]]="","",VLOOKUP(Tabla1[[#This Row],[CONCEPTO mx]],Tabla2[#All],3,0)),"")</f>
        <v>SST</v>
      </c>
      <c r="H1452" s="49" t="s">
        <v>550</v>
      </c>
      <c r="I1452" s="49" t="s">
        <v>3392</v>
      </c>
      <c r="J1452" s="49" t="s">
        <v>3498</v>
      </c>
      <c r="L1452" s="49" t="s">
        <v>3499</v>
      </c>
    </row>
    <row r="1453" spans="1:12" x14ac:dyDescent="0.25">
      <c r="A1453" s="51">
        <v>43531</v>
      </c>
      <c r="B1453" s="50">
        <v>43146622</v>
      </c>
      <c r="C1453" s="59" t="s">
        <v>3527</v>
      </c>
      <c r="D1453" s="49" t="s">
        <v>51</v>
      </c>
      <c r="E1453" s="49" t="s">
        <v>3250</v>
      </c>
      <c r="F1453" s="76" t="str">
        <f>IFERROR(IF(Tabla1[[#This Row],[CONCEPTO mx]]="","",VLOOKUP(Tabla1[[#This Row],[CONCEPTO mx]],Tabla2[#All],2,0)),"")</f>
        <v>CM12</v>
      </c>
      <c r="G1453" s="76" t="str">
        <f>IFERROR(IF(Tabla1[[#This Row],[CONCEPTO mx]]="","",VLOOKUP(Tabla1[[#This Row],[CONCEPTO mx]],Tabla2[#All],3,0)),"")</f>
        <v>SST</v>
      </c>
      <c r="H1453" s="49" t="s">
        <v>352</v>
      </c>
      <c r="I1453" s="49" t="s">
        <v>1326</v>
      </c>
      <c r="J1453" s="49" t="s">
        <v>3528</v>
      </c>
      <c r="L1453" s="59" t="s">
        <v>3529</v>
      </c>
    </row>
    <row r="1454" spans="1:12" x14ac:dyDescent="0.25">
      <c r="A1454" s="51">
        <v>43531</v>
      </c>
      <c r="B1454" s="59">
        <v>1038810962</v>
      </c>
      <c r="C1454" s="59" t="s">
        <v>3502</v>
      </c>
      <c r="D1454" s="49" t="s">
        <v>51</v>
      </c>
      <c r="E1454" s="49" t="s">
        <v>3250</v>
      </c>
      <c r="F1454" s="76" t="str">
        <f>IFERROR(IF(Tabla1[[#This Row],[CONCEPTO mx]]="","",VLOOKUP(Tabla1[[#This Row],[CONCEPTO mx]],Tabla2[#All],2,0)),"")</f>
        <v>CM12</v>
      </c>
      <c r="G1454" s="76" t="str">
        <f>IFERROR(IF(Tabla1[[#This Row],[CONCEPTO mx]]="","",VLOOKUP(Tabla1[[#This Row],[CONCEPTO mx]],Tabla2[#All],3,0)),"")</f>
        <v>SST</v>
      </c>
      <c r="H1454" s="49" t="s">
        <v>2391</v>
      </c>
      <c r="I1454" s="49" t="s">
        <v>2298</v>
      </c>
      <c r="J1454" s="49" t="s">
        <v>3503</v>
      </c>
      <c r="L1454" s="52" t="s">
        <v>2914</v>
      </c>
    </row>
    <row r="1455" spans="1:12" x14ac:dyDescent="0.25">
      <c r="A1455" s="51">
        <v>43531</v>
      </c>
      <c r="B1455" s="59">
        <v>1041262774</v>
      </c>
      <c r="C1455" s="59" t="s">
        <v>3534</v>
      </c>
      <c r="E1455" s="49" t="s">
        <v>2355</v>
      </c>
      <c r="F1455" s="76" t="str">
        <f>IFERROR(IF(Tabla1[[#This Row],[CONCEPTO mx]]="","",VLOOKUP(Tabla1[[#This Row],[CONCEPTO mx]],Tabla2[#All],2,0)),"")</f>
        <v>CM13</v>
      </c>
      <c r="G1455" s="76" t="str">
        <f>IFERROR(IF(Tabla1[[#This Row],[CONCEPTO mx]]="","",VLOOKUP(Tabla1[[#This Row],[CONCEPTO mx]],Tabla2[#All],3,0)),"")</f>
        <v>Gestión Humana</v>
      </c>
      <c r="H1455" s="49" t="s">
        <v>628</v>
      </c>
      <c r="I1455" s="49" t="s">
        <v>2512</v>
      </c>
      <c r="J1455" s="49" t="s">
        <v>3535</v>
      </c>
      <c r="K1455" s="51">
        <v>43525</v>
      </c>
    </row>
    <row r="1456" spans="1:12" x14ac:dyDescent="0.25">
      <c r="A1456" s="51">
        <v>43535</v>
      </c>
      <c r="B1456" s="59">
        <v>1007623399</v>
      </c>
      <c r="C1456" s="59" t="s">
        <v>3553</v>
      </c>
      <c r="D1456" s="49" t="s">
        <v>51</v>
      </c>
      <c r="E1456" s="49" t="s">
        <v>3248</v>
      </c>
      <c r="F1456" s="76" t="str">
        <f>IFERROR(IF(Tabla1[[#This Row],[CONCEPTO mx]]="","",VLOOKUP(Tabla1[[#This Row],[CONCEPTO mx]],Tabla2[#All],2,0)),"")</f>
        <v>CM1</v>
      </c>
      <c r="G1456" s="76" t="str">
        <f>IFERROR(IF(Tabla1[[#This Row],[CONCEPTO mx]]="","",VLOOKUP(Tabla1[[#This Row],[CONCEPTO mx]],Tabla2[#All],3,0)),"")</f>
        <v>Gestión Humana</v>
      </c>
      <c r="H1456" s="49" t="s">
        <v>486</v>
      </c>
      <c r="I1456" s="49" t="s">
        <v>2298</v>
      </c>
      <c r="J1456" s="49" t="s">
        <v>2845</v>
      </c>
    </row>
    <row r="1457" spans="1:12" x14ac:dyDescent="0.25">
      <c r="A1457" s="51">
        <v>43535</v>
      </c>
      <c r="B1457" s="59">
        <v>1103118051</v>
      </c>
      <c r="C1457" s="59" t="s">
        <v>3555</v>
      </c>
      <c r="D1457" s="49" t="s">
        <v>51</v>
      </c>
      <c r="E1457" s="49" t="s">
        <v>2401</v>
      </c>
      <c r="F1457" s="76" t="str">
        <f>IFERROR(IF(Tabla1[[#This Row],[CONCEPTO mx]]="","",VLOOKUP(Tabla1[[#This Row],[CONCEPTO mx]],Tabla2[#All],2,0)),"")</f>
        <v>CM28</v>
      </c>
      <c r="G1457" s="76" t="str">
        <f>IFERROR(IF(Tabla1[[#This Row],[CONCEPTO mx]]="","",VLOOKUP(Tabla1[[#This Row],[CONCEPTO mx]],Tabla2[#All],3,0)),"")</f>
        <v>SST</v>
      </c>
      <c r="H1457" s="49" t="s">
        <v>439</v>
      </c>
      <c r="I1457" s="49" t="s">
        <v>2298</v>
      </c>
      <c r="J1457" s="49" t="s">
        <v>3423</v>
      </c>
      <c r="L1457" s="59" t="s">
        <v>2651</v>
      </c>
    </row>
    <row r="1458" spans="1:12" x14ac:dyDescent="0.25">
      <c r="A1458" s="51">
        <v>43535</v>
      </c>
      <c r="B1458" s="59">
        <v>1192726966</v>
      </c>
      <c r="C1458" s="59" t="s">
        <v>3544</v>
      </c>
      <c r="D1458" s="49" t="s">
        <v>51</v>
      </c>
      <c r="E1458" s="49" t="s">
        <v>3315</v>
      </c>
      <c r="F1458" s="76" t="str">
        <f>IFERROR(IF(Tabla1[[#This Row],[CONCEPTO mx]]="","",VLOOKUP(Tabla1[[#This Row],[CONCEPTO mx]],Tabla2[#All],2,0)),"")</f>
        <v>CM40</v>
      </c>
      <c r="G1458" s="76" t="str">
        <f>IFERROR(IF(Tabla1[[#This Row],[CONCEPTO mx]]="","",VLOOKUP(Tabla1[[#This Row],[CONCEPTO mx]],Tabla2[#All],3,0)),"")</f>
        <v>SST</v>
      </c>
      <c r="H1458" s="49" t="s">
        <v>406</v>
      </c>
      <c r="I1458" s="49" t="s">
        <v>2298</v>
      </c>
      <c r="J1458" s="49" t="s">
        <v>2314</v>
      </c>
      <c r="L1458" s="59" t="s">
        <v>3545</v>
      </c>
    </row>
    <row r="1459" spans="1:12" x14ac:dyDescent="0.25">
      <c r="A1459" s="51">
        <v>43535</v>
      </c>
      <c r="C1459" s="59" t="s">
        <v>3551</v>
      </c>
      <c r="D1459" s="49" t="s">
        <v>51</v>
      </c>
      <c r="E1459" s="49" t="s">
        <v>3249</v>
      </c>
      <c r="F1459" s="76" t="str">
        <f>IFERROR(IF(Tabla1[[#This Row],[CONCEPTO mx]]="","",VLOOKUP(Tabla1[[#This Row],[CONCEPTO mx]],Tabla2[#All],2,0)),"")</f>
        <v>CM3</v>
      </c>
      <c r="G1459" s="76" t="str">
        <f>IFERROR(IF(Tabla1[[#This Row],[CONCEPTO mx]]="","",VLOOKUP(Tabla1[[#This Row],[CONCEPTO mx]],Tabla2[#All],3,0)),"")</f>
        <v>SST</v>
      </c>
      <c r="H1459" s="49" t="s">
        <v>406</v>
      </c>
      <c r="I1459" s="49" t="s">
        <v>2512</v>
      </c>
      <c r="J1459" s="49" t="s">
        <v>3552</v>
      </c>
    </row>
    <row r="1460" spans="1:12" x14ac:dyDescent="0.25">
      <c r="A1460" s="51">
        <v>43535</v>
      </c>
      <c r="C1460" s="59" t="s">
        <v>3549</v>
      </c>
      <c r="D1460" s="49" t="s">
        <v>180</v>
      </c>
      <c r="E1460" s="49" t="s">
        <v>3192</v>
      </c>
      <c r="F1460" s="76" t="str">
        <f>IFERROR(IF(Tabla1[[#This Row],[CONCEPTO mx]]="","",VLOOKUP(Tabla1[[#This Row],[CONCEPTO mx]],Tabla2[#All],2,0)),"")</f>
        <v>CM29</v>
      </c>
      <c r="G1460" s="76" t="str">
        <f>IFERROR(IF(Tabla1[[#This Row],[CONCEPTO mx]]="","",VLOOKUP(Tabla1[[#This Row],[CONCEPTO mx]],Tabla2[#All],3,0)),"")</f>
        <v>SST</v>
      </c>
      <c r="H1460" s="49" t="s">
        <v>343</v>
      </c>
      <c r="I1460" s="49" t="s">
        <v>2419</v>
      </c>
      <c r="J1460" s="49" t="s">
        <v>3547</v>
      </c>
      <c r="L1460" s="59" t="s">
        <v>3550</v>
      </c>
    </row>
    <row r="1461" spans="1:12" x14ac:dyDescent="0.25">
      <c r="A1461" s="51">
        <v>43535</v>
      </c>
      <c r="B1461" s="59">
        <v>1039452672</v>
      </c>
      <c r="C1461" s="59" t="s">
        <v>3546</v>
      </c>
      <c r="D1461" s="49" t="s">
        <v>51</v>
      </c>
      <c r="E1461" s="49" t="s">
        <v>3188</v>
      </c>
      <c r="F1461" s="76" t="str">
        <f>IFERROR(IF(Tabla1[[#This Row],[CONCEPTO mx]]="","",VLOOKUP(Tabla1[[#This Row],[CONCEPTO mx]],Tabla2[#All],2,0)),"")</f>
        <v>CM7</v>
      </c>
      <c r="G1461" s="76" t="str">
        <f>IFERROR(IF(Tabla1[[#This Row],[CONCEPTO mx]]="","",VLOOKUP(Tabla1[[#This Row],[CONCEPTO mx]],Tabla2[#All],3,0)),"")</f>
        <v>SST</v>
      </c>
      <c r="H1461" s="49" t="s">
        <v>387</v>
      </c>
      <c r="I1461" s="49" t="s">
        <v>2419</v>
      </c>
      <c r="J1461" s="49" t="s">
        <v>3547</v>
      </c>
      <c r="L1461" s="59" t="s">
        <v>3548</v>
      </c>
    </row>
    <row r="1462" spans="1:12" x14ac:dyDescent="0.25">
      <c r="A1462" s="51">
        <v>43537</v>
      </c>
      <c r="B1462" s="59">
        <v>10679364383</v>
      </c>
      <c r="C1462" s="59" t="s">
        <v>3576</v>
      </c>
      <c r="D1462" s="49" t="s">
        <v>51</v>
      </c>
      <c r="E1462" s="49" t="s">
        <v>3315</v>
      </c>
      <c r="F1462" s="76" t="str">
        <f>IFERROR(IF(Tabla1[[#This Row],[CONCEPTO mx]]="","",VLOOKUP(Tabla1[[#This Row],[CONCEPTO mx]],Tabla2[#All],2,0)),"")</f>
        <v>CM40</v>
      </c>
      <c r="G1462" s="76" t="str">
        <f>IFERROR(IF(Tabla1[[#This Row],[CONCEPTO mx]]="","",VLOOKUP(Tabla1[[#This Row],[CONCEPTO mx]],Tabla2[#All],3,0)),"")</f>
        <v>SST</v>
      </c>
      <c r="H1462" s="49" t="s">
        <v>486</v>
      </c>
      <c r="I1462" s="49" t="s">
        <v>2298</v>
      </c>
      <c r="J1462" s="49" t="s">
        <v>2845</v>
      </c>
    </row>
    <row r="1463" spans="1:12" x14ac:dyDescent="0.25">
      <c r="A1463" s="51">
        <v>43537</v>
      </c>
      <c r="B1463" s="59">
        <v>1079293137</v>
      </c>
      <c r="C1463" s="59" t="s">
        <v>3575</v>
      </c>
      <c r="D1463" s="49" t="s">
        <v>51</v>
      </c>
      <c r="E1463" s="49" t="s">
        <v>3249</v>
      </c>
      <c r="F1463" s="76" t="str">
        <f>IFERROR(IF(Tabla1[[#This Row],[CONCEPTO mx]]="","",VLOOKUP(Tabla1[[#This Row],[CONCEPTO mx]],Tabla2[#All],2,0)),"")</f>
        <v>CM3</v>
      </c>
      <c r="G1463" s="76" t="str">
        <f>IFERROR(IF(Tabla1[[#This Row],[CONCEPTO mx]]="","",VLOOKUP(Tabla1[[#This Row],[CONCEPTO mx]],Tabla2[#All],3,0)),"")</f>
        <v>SST</v>
      </c>
      <c r="H1463" s="49" t="s">
        <v>486</v>
      </c>
      <c r="I1463" s="49" t="s">
        <v>2298</v>
      </c>
      <c r="J1463" s="49" t="s">
        <v>2341</v>
      </c>
    </row>
    <row r="1464" spans="1:12" x14ac:dyDescent="0.25">
      <c r="A1464" s="51">
        <v>43537</v>
      </c>
      <c r="B1464" s="59">
        <v>1040373561</v>
      </c>
      <c r="C1464" s="59" t="s">
        <v>3569</v>
      </c>
      <c r="D1464" s="54" t="s">
        <v>51</v>
      </c>
      <c r="E1464" s="49" t="s">
        <v>3250</v>
      </c>
      <c r="F1464" s="76" t="str">
        <f>IFERROR(IF(Tabla1[[#This Row],[CONCEPTO mx]]="","",VLOOKUP(Tabla1[[#This Row],[CONCEPTO mx]],Tabla2[#All],2,0)),"")</f>
        <v>CM12</v>
      </c>
      <c r="G1464" s="76" t="str">
        <f>IFERROR(IF(Tabla1[[#This Row],[CONCEPTO mx]]="","",VLOOKUP(Tabla1[[#This Row],[CONCEPTO mx]],Tabla2[#All],3,0)),"")</f>
        <v>SST</v>
      </c>
      <c r="H1464" s="49" t="s">
        <v>516</v>
      </c>
      <c r="I1464" s="49" t="s">
        <v>2298</v>
      </c>
      <c r="J1464" s="49" t="s">
        <v>3571</v>
      </c>
      <c r="L1464" s="59" t="s">
        <v>3584</v>
      </c>
    </row>
    <row r="1465" spans="1:12" x14ac:dyDescent="0.25">
      <c r="A1465" s="51">
        <v>43537</v>
      </c>
      <c r="B1465" s="59">
        <v>1075023249</v>
      </c>
      <c r="C1465" s="59" t="s">
        <v>3566</v>
      </c>
      <c r="D1465" s="49" t="s">
        <v>51</v>
      </c>
      <c r="E1465" s="49" t="s">
        <v>3248</v>
      </c>
      <c r="F1465" s="76" t="str">
        <f>IFERROR(IF(Tabla1[[#This Row],[CONCEPTO mx]]="","",VLOOKUP(Tabla1[[#This Row],[CONCEPTO mx]],Tabla2[#All],2,0)),"")</f>
        <v>CM1</v>
      </c>
      <c r="G1465" s="76" t="str">
        <f>IFERROR(IF(Tabla1[[#This Row],[CONCEPTO mx]]="","",VLOOKUP(Tabla1[[#This Row],[CONCEPTO mx]],Tabla2[#All],3,0)),"")</f>
        <v>Gestión Humana</v>
      </c>
      <c r="H1465" s="49" t="s">
        <v>2391</v>
      </c>
      <c r="I1465" s="49" t="s">
        <v>2298</v>
      </c>
      <c r="J1465" s="49" t="s">
        <v>2422</v>
      </c>
    </row>
    <row r="1466" spans="1:12" x14ac:dyDescent="0.25">
      <c r="A1466" s="51">
        <v>43537</v>
      </c>
      <c r="B1466" s="59">
        <v>1007649397</v>
      </c>
      <c r="C1466" s="59" t="s">
        <v>3557</v>
      </c>
      <c r="D1466" s="49" t="s">
        <v>51</v>
      </c>
      <c r="E1466" s="49" t="s">
        <v>3248</v>
      </c>
      <c r="F1466" s="76" t="str">
        <f>IFERROR(IF(Tabla1[[#This Row],[CONCEPTO mx]]="","",VLOOKUP(Tabla1[[#This Row],[CONCEPTO mx]],Tabla2[#All],2,0)),"")</f>
        <v>CM1</v>
      </c>
      <c r="G1466" s="76" t="str">
        <f>IFERROR(IF(Tabla1[[#This Row],[CONCEPTO mx]]="","",VLOOKUP(Tabla1[[#This Row],[CONCEPTO mx]],Tabla2[#All],3,0)),"")</f>
        <v>Gestión Humana</v>
      </c>
      <c r="H1466" s="49" t="s">
        <v>406</v>
      </c>
      <c r="I1466" s="49" t="s">
        <v>2298</v>
      </c>
      <c r="J1466" s="49" t="s">
        <v>3558</v>
      </c>
    </row>
    <row r="1467" spans="1:12" x14ac:dyDescent="0.25">
      <c r="A1467" s="51">
        <v>43537</v>
      </c>
      <c r="B1467" s="59">
        <v>1040380823</v>
      </c>
      <c r="C1467" s="59" t="s">
        <v>3573</v>
      </c>
      <c r="D1467" s="49" t="s">
        <v>51</v>
      </c>
      <c r="E1467" s="49" t="s">
        <v>3248</v>
      </c>
      <c r="F1467" s="76" t="str">
        <f>IFERROR(IF(Tabla1[[#This Row],[CONCEPTO mx]]="","",VLOOKUP(Tabla1[[#This Row],[CONCEPTO mx]],Tabla2[#All],2,0)),"")</f>
        <v>CM1</v>
      </c>
      <c r="G1467" s="76" t="str">
        <f>IFERROR(IF(Tabla1[[#This Row],[CONCEPTO mx]]="","",VLOOKUP(Tabla1[[#This Row],[CONCEPTO mx]],Tabla2[#All],3,0)),"")</f>
        <v>Gestión Humana</v>
      </c>
      <c r="H1467" s="49" t="s">
        <v>438</v>
      </c>
      <c r="I1467" s="49" t="s">
        <v>2298</v>
      </c>
      <c r="J1467" s="49" t="s">
        <v>3574</v>
      </c>
    </row>
    <row r="1468" spans="1:12" x14ac:dyDescent="0.25">
      <c r="A1468" s="51">
        <v>43537</v>
      </c>
      <c r="B1468" s="59">
        <v>78745660</v>
      </c>
      <c r="C1468" s="59" t="s">
        <v>3494</v>
      </c>
      <c r="D1468" s="54" t="s">
        <v>51</v>
      </c>
      <c r="E1468" s="49" t="s">
        <v>3315</v>
      </c>
      <c r="F1468" s="76" t="str">
        <f>IFERROR(IF(Tabla1[[#This Row],[CONCEPTO mx]]="","",VLOOKUP(Tabla1[[#This Row],[CONCEPTO mx]],Tabla2[#All],2,0)),"")</f>
        <v>CM40</v>
      </c>
      <c r="G1468" s="76" t="str">
        <f>IFERROR(IF(Tabla1[[#This Row],[CONCEPTO mx]]="","",VLOOKUP(Tabla1[[#This Row],[CONCEPTO mx]],Tabla2[#All],3,0)),"")</f>
        <v>SST</v>
      </c>
      <c r="H1468" s="49" t="s">
        <v>343</v>
      </c>
      <c r="I1468" s="49" t="s">
        <v>3392</v>
      </c>
      <c r="J1468" s="49" t="s">
        <v>2328</v>
      </c>
      <c r="K1468" s="51">
        <v>43531</v>
      </c>
      <c r="L1468" s="59" t="s">
        <v>3583</v>
      </c>
    </row>
    <row r="1469" spans="1:12" x14ac:dyDescent="0.25">
      <c r="A1469" s="51">
        <v>43537</v>
      </c>
      <c r="B1469" s="59">
        <v>1028006092</v>
      </c>
      <c r="C1469" s="59" t="s">
        <v>3570</v>
      </c>
      <c r="D1469" s="49" t="s">
        <v>180</v>
      </c>
      <c r="E1469" s="49" t="s">
        <v>3185</v>
      </c>
      <c r="F1469" s="76" t="str">
        <f>IFERROR(IF(Tabla1[[#This Row],[CONCEPTO mx]]="","",VLOOKUP(Tabla1[[#This Row],[CONCEPTO mx]],Tabla2[#All],2,0)),"")</f>
        <v>CM5</v>
      </c>
      <c r="G1469" s="76" t="str">
        <f>IFERROR(IF(Tabla1[[#This Row],[CONCEPTO mx]]="","",VLOOKUP(Tabla1[[#This Row],[CONCEPTO mx]],Tabla2[#All],3,0)),"")</f>
        <v>SST</v>
      </c>
      <c r="H1469" s="49" t="s">
        <v>486</v>
      </c>
      <c r="I1469" s="49" t="s">
        <v>2298</v>
      </c>
      <c r="J1469" s="49" t="s">
        <v>4233</v>
      </c>
      <c r="L1469" s="59" t="s">
        <v>3572</v>
      </c>
    </row>
    <row r="1470" spans="1:12" x14ac:dyDescent="0.25">
      <c r="A1470" s="51">
        <v>43537</v>
      </c>
      <c r="B1470" s="50">
        <v>1100695225</v>
      </c>
      <c r="C1470" s="59" t="s">
        <v>3585</v>
      </c>
      <c r="D1470" s="49" t="s">
        <v>180</v>
      </c>
      <c r="E1470" s="49" t="s">
        <v>3413</v>
      </c>
      <c r="F1470" s="76" t="str">
        <f>IFERROR(IF(Tabla1[[#This Row],[CONCEPTO mx]]="","",VLOOKUP(Tabla1[[#This Row],[CONCEPTO mx]],Tabla2[#All],2,0)),"")</f>
        <v>CM42</v>
      </c>
      <c r="G1470" s="76" t="str">
        <f>IFERROR(IF(Tabla1[[#This Row],[CONCEPTO mx]]="","",VLOOKUP(Tabla1[[#This Row],[CONCEPTO mx]],Tabla2[#All],3,0)),"")</f>
        <v>SST</v>
      </c>
      <c r="H1470" s="49" t="s">
        <v>406</v>
      </c>
      <c r="I1470" s="49" t="s">
        <v>2298</v>
      </c>
      <c r="J1470" s="49" t="s">
        <v>2353</v>
      </c>
      <c r="L1470" s="59" t="s">
        <v>3586</v>
      </c>
    </row>
    <row r="1471" spans="1:12" x14ac:dyDescent="0.25">
      <c r="A1471" s="51">
        <v>43537</v>
      </c>
      <c r="B1471" s="59">
        <v>8324508</v>
      </c>
      <c r="C1471" s="59" t="s">
        <v>3556</v>
      </c>
      <c r="D1471" s="49" t="s">
        <v>51</v>
      </c>
      <c r="E1471" s="49" t="s">
        <v>3249</v>
      </c>
      <c r="F1471" s="76" t="str">
        <f>IFERROR(IF(Tabla1[[#This Row],[CONCEPTO mx]]="","",VLOOKUP(Tabla1[[#This Row],[CONCEPTO mx]],Tabla2[#All],2,0)),"")</f>
        <v>CM3</v>
      </c>
      <c r="G1471" s="76" t="str">
        <f>IFERROR(IF(Tabla1[[#This Row],[CONCEPTO mx]]="","",VLOOKUP(Tabla1[[#This Row],[CONCEPTO mx]],Tabla2[#All],3,0)),"")</f>
        <v>SST</v>
      </c>
      <c r="H1471" s="49" t="s">
        <v>406</v>
      </c>
      <c r="I1471" s="49" t="s">
        <v>2298</v>
      </c>
      <c r="J1471" s="49" t="s">
        <v>2314</v>
      </c>
    </row>
    <row r="1472" spans="1:12" x14ac:dyDescent="0.25">
      <c r="A1472" s="51">
        <v>43537</v>
      </c>
      <c r="B1472" s="59">
        <v>71942606</v>
      </c>
      <c r="C1472" s="59" t="s">
        <v>3580</v>
      </c>
      <c r="D1472" s="49" t="s">
        <v>180</v>
      </c>
      <c r="E1472" s="49" t="s">
        <v>3187</v>
      </c>
      <c r="F1472" s="76" t="str">
        <f>IFERROR(IF(Tabla1[[#This Row],[CONCEPTO mx]]="","",VLOOKUP(Tabla1[[#This Row],[CONCEPTO mx]],Tabla2[#All],2,0)),"")</f>
        <v>CM8</v>
      </c>
      <c r="G1472" s="76" t="str">
        <f>IFERROR(IF(Tabla1[[#This Row],[CONCEPTO mx]]="","",VLOOKUP(Tabla1[[#This Row],[CONCEPTO mx]],Tabla2[#All],3,0)),"")</f>
        <v>Gestión Humana</v>
      </c>
      <c r="H1472" s="49" t="s">
        <v>438</v>
      </c>
      <c r="I1472" s="49" t="s">
        <v>2298</v>
      </c>
      <c r="J1472" s="49" t="s">
        <v>2353</v>
      </c>
      <c r="L1472" s="59" t="s">
        <v>3581</v>
      </c>
    </row>
    <row r="1473" spans="1:12" x14ac:dyDescent="0.25">
      <c r="A1473" s="51">
        <v>43537</v>
      </c>
      <c r="B1473" s="59">
        <v>1028010567</v>
      </c>
      <c r="C1473" s="59" t="s">
        <v>3559</v>
      </c>
      <c r="D1473" s="49" t="s">
        <v>51</v>
      </c>
      <c r="E1473" s="49" t="s">
        <v>3248</v>
      </c>
      <c r="F1473" s="76" t="str">
        <f>IFERROR(IF(Tabla1[[#This Row],[CONCEPTO mx]]="","",VLOOKUP(Tabla1[[#This Row],[CONCEPTO mx]],Tabla2[#All],2,0)),"")</f>
        <v>CM1</v>
      </c>
      <c r="G1473" s="76" t="str">
        <f>IFERROR(IF(Tabla1[[#This Row],[CONCEPTO mx]]="","",VLOOKUP(Tabla1[[#This Row],[CONCEPTO mx]],Tabla2[#All],3,0)),"")</f>
        <v>Gestión Humana</v>
      </c>
      <c r="H1473" s="49" t="s">
        <v>542</v>
      </c>
      <c r="I1473" s="49" t="s">
        <v>2298</v>
      </c>
      <c r="J1473" s="49" t="s">
        <v>3560</v>
      </c>
    </row>
    <row r="1474" spans="1:12" x14ac:dyDescent="0.25">
      <c r="A1474" s="51">
        <v>43537</v>
      </c>
      <c r="B1474" s="59">
        <v>1068587780</v>
      </c>
      <c r="C1474" s="59" t="s">
        <v>3409</v>
      </c>
      <c r="D1474" s="54" t="s">
        <v>51</v>
      </c>
      <c r="E1474" s="49" t="s">
        <v>3315</v>
      </c>
      <c r="F1474" s="76" t="str">
        <f>IFERROR(IF(Tabla1[[#This Row],[CONCEPTO mx]]="","",VLOOKUP(Tabla1[[#This Row],[CONCEPTO mx]],Tabla2[#All],2,0)),"")</f>
        <v>CM40</v>
      </c>
      <c r="G1474" s="76" t="str">
        <f>IFERROR(IF(Tabla1[[#This Row],[CONCEPTO mx]]="","",VLOOKUP(Tabla1[[#This Row],[CONCEPTO mx]],Tabla2[#All],3,0)),"")</f>
        <v>SST</v>
      </c>
      <c r="H1474" s="49" t="s">
        <v>406</v>
      </c>
      <c r="I1474" s="49" t="s">
        <v>3392</v>
      </c>
      <c r="J1474" s="49" t="s">
        <v>2318</v>
      </c>
      <c r="K1474" s="51">
        <v>43514</v>
      </c>
      <c r="L1474" s="49" t="s">
        <v>3598</v>
      </c>
    </row>
    <row r="1475" spans="1:12" x14ac:dyDescent="0.25">
      <c r="A1475" s="51">
        <v>43537</v>
      </c>
      <c r="B1475" s="59">
        <v>71257784</v>
      </c>
      <c r="C1475" s="59" t="s">
        <v>3582</v>
      </c>
      <c r="D1475" s="49" t="s">
        <v>51</v>
      </c>
      <c r="E1475" s="49" t="s">
        <v>2401</v>
      </c>
      <c r="F1475" s="76" t="str">
        <f>IFERROR(IF(Tabla1[[#This Row],[CONCEPTO mx]]="","",VLOOKUP(Tabla1[[#This Row],[CONCEPTO mx]],Tabla2[#All],2,0)),"")</f>
        <v>CM28</v>
      </c>
      <c r="G1475" s="76" t="str">
        <f>IFERROR(IF(Tabla1[[#This Row],[CONCEPTO mx]]="","",VLOOKUP(Tabla1[[#This Row],[CONCEPTO mx]],Tabla2[#All],3,0)),"")</f>
        <v>SST</v>
      </c>
      <c r="H1475" s="49" t="s">
        <v>438</v>
      </c>
      <c r="I1475" s="49" t="s">
        <v>2298</v>
      </c>
      <c r="J1475" s="49" t="s">
        <v>2863</v>
      </c>
    </row>
    <row r="1476" spans="1:12" x14ac:dyDescent="0.25">
      <c r="A1476" s="51">
        <v>43537</v>
      </c>
      <c r="B1476" s="59">
        <v>71254226</v>
      </c>
      <c r="C1476" s="59" t="s">
        <v>3561</v>
      </c>
      <c r="D1476" s="49" t="s">
        <v>51</v>
      </c>
      <c r="E1476" s="49" t="s">
        <v>3197</v>
      </c>
      <c r="F1476" s="76" t="str">
        <f>IFERROR(IF(Tabla1[[#This Row],[CONCEPTO mx]]="","",VLOOKUP(Tabla1[[#This Row],[CONCEPTO mx]],Tabla2[#All],2,0)),"")</f>
        <v>CM14</v>
      </c>
      <c r="G1476" s="76" t="str">
        <f>IFERROR(IF(Tabla1[[#This Row],[CONCEPTO mx]]="","",VLOOKUP(Tabla1[[#This Row],[CONCEPTO mx]],Tabla2[#All],3,0)),"")</f>
        <v>SST</v>
      </c>
      <c r="H1476" s="49" t="s">
        <v>352</v>
      </c>
      <c r="I1476" s="49" t="s">
        <v>2298</v>
      </c>
      <c r="J1476" s="49" t="s">
        <v>3563</v>
      </c>
    </row>
    <row r="1477" spans="1:12" x14ac:dyDescent="0.25">
      <c r="A1477" s="51">
        <v>43537</v>
      </c>
      <c r="B1477" s="59">
        <v>1040372284</v>
      </c>
      <c r="C1477" s="59" t="s">
        <v>3564</v>
      </c>
      <c r="D1477" s="49" t="s">
        <v>180</v>
      </c>
      <c r="E1477" s="49" t="s">
        <v>3185</v>
      </c>
      <c r="F1477" s="76" t="str">
        <f>IFERROR(IF(Tabla1[[#This Row],[CONCEPTO mx]]="","",VLOOKUP(Tabla1[[#This Row],[CONCEPTO mx]],Tabla2[#All],2,0)),"")</f>
        <v>CM5</v>
      </c>
      <c r="G1477" s="76" t="str">
        <f>IFERROR(IF(Tabla1[[#This Row],[CONCEPTO mx]]="","",VLOOKUP(Tabla1[[#This Row],[CONCEPTO mx]],Tabla2[#All],3,0)),"")</f>
        <v>SST</v>
      </c>
      <c r="H1477" s="49" t="s">
        <v>438</v>
      </c>
      <c r="I1477" s="49" t="s">
        <v>2298</v>
      </c>
      <c r="J1477" s="49" t="s">
        <v>2302</v>
      </c>
    </row>
    <row r="1478" spans="1:12" x14ac:dyDescent="0.25">
      <c r="A1478" s="51">
        <v>43537</v>
      </c>
      <c r="B1478" s="59">
        <v>39425198</v>
      </c>
      <c r="C1478" s="59" t="s">
        <v>1952</v>
      </c>
      <c r="D1478" s="54" t="s">
        <v>51</v>
      </c>
      <c r="E1478" s="49" t="s">
        <v>3315</v>
      </c>
      <c r="F1478" s="76" t="str">
        <f>IFERROR(IF(Tabla1[[#This Row],[CONCEPTO mx]]="","",VLOOKUP(Tabla1[[#This Row],[CONCEPTO mx]],Tabla2[#All],2,0)),"")</f>
        <v>CM40</v>
      </c>
      <c r="G1478" s="76" t="str">
        <f>IFERROR(IF(Tabla1[[#This Row],[CONCEPTO mx]]="","",VLOOKUP(Tabla1[[#This Row],[CONCEPTO mx]],Tabla2[#All],3,0)),"")</f>
        <v>SST</v>
      </c>
      <c r="H1478" s="49" t="s">
        <v>438</v>
      </c>
      <c r="I1478" s="49" t="s">
        <v>2298</v>
      </c>
      <c r="J1478" s="49" t="s">
        <v>2341</v>
      </c>
      <c r="L1478" s="49" t="s">
        <v>3638</v>
      </c>
    </row>
    <row r="1479" spans="1:12" x14ac:dyDescent="0.25">
      <c r="A1479" s="51">
        <v>43537</v>
      </c>
      <c r="B1479" s="59">
        <v>8328153</v>
      </c>
      <c r="C1479" s="59" t="s">
        <v>3565</v>
      </c>
      <c r="D1479" s="49" t="s">
        <v>51</v>
      </c>
      <c r="E1479" s="49" t="s">
        <v>3248</v>
      </c>
      <c r="F1479" s="76" t="str">
        <f>IFERROR(IF(Tabla1[[#This Row],[CONCEPTO mx]]="","",VLOOKUP(Tabla1[[#This Row],[CONCEPTO mx]],Tabla2[#All],2,0)),"")</f>
        <v>CM1</v>
      </c>
      <c r="G1479" s="76" t="str">
        <f>IFERROR(IF(Tabla1[[#This Row],[CONCEPTO mx]]="","",VLOOKUP(Tabla1[[#This Row],[CONCEPTO mx]],Tabla2[#All],3,0)),"")</f>
        <v>Gestión Humana</v>
      </c>
      <c r="H1479" s="49" t="s">
        <v>486</v>
      </c>
      <c r="I1479" s="49" t="s">
        <v>2298</v>
      </c>
      <c r="J1479" s="49" t="s">
        <v>2819</v>
      </c>
    </row>
    <row r="1480" spans="1:12" x14ac:dyDescent="0.25">
      <c r="A1480" s="51">
        <v>43537</v>
      </c>
      <c r="B1480" s="59">
        <v>1028005833</v>
      </c>
      <c r="C1480" s="59" t="s">
        <v>3577</v>
      </c>
      <c r="D1480" s="49" t="s">
        <v>51</v>
      </c>
      <c r="E1480" s="49" t="s">
        <v>3250</v>
      </c>
      <c r="F1480" s="76" t="str">
        <f>IFERROR(IF(Tabla1[[#This Row],[CONCEPTO mx]]="","",VLOOKUP(Tabla1[[#This Row],[CONCEPTO mx]],Tabla2[#All],2,0)),"")</f>
        <v>CM12</v>
      </c>
      <c r="G1480" s="76" t="str">
        <f>IFERROR(IF(Tabla1[[#This Row],[CONCEPTO mx]]="","",VLOOKUP(Tabla1[[#This Row],[CONCEPTO mx]],Tabla2[#All],3,0)),"")</f>
        <v>SST</v>
      </c>
      <c r="H1480" s="49" t="s">
        <v>3519</v>
      </c>
      <c r="I1480" s="49" t="s">
        <v>2512</v>
      </c>
      <c r="L1480" s="59" t="s">
        <v>2911</v>
      </c>
    </row>
    <row r="1481" spans="1:12" x14ac:dyDescent="0.25">
      <c r="A1481" s="51">
        <v>43537</v>
      </c>
      <c r="B1481" s="59">
        <v>1040381665</v>
      </c>
      <c r="C1481" s="59" t="s">
        <v>1216</v>
      </c>
      <c r="D1481" s="49" t="s">
        <v>51</v>
      </c>
      <c r="E1481" s="49" t="s">
        <v>3250</v>
      </c>
      <c r="F1481" s="76" t="str">
        <f>IFERROR(IF(Tabla1[[#This Row],[CONCEPTO mx]]="","",VLOOKUP(Tabla1[[#This Row],[CONCEPTO mx]],Tabla2[#All],2,0)),"")</f>
        <v>CM12</v>
      </c>
      <c r="G1481" s="76" t="str">
        <f>IFERROR(IF(Tabla1[[#This Row],[CONCEPTO mx]]="","",VLOOKUP(Tabla1[[#This Row],[CONCEPTO mx]],Tabla2[#All],3,0)),"")</f>
        <v>SST</v>
      </c>
      <c r="H1481" s="49" t="s">
        <v>438</v>
      </c>
      <c r="I1481" s="49" t="s">
        <v>2298</v>
      </c>
      <c r="J1481" s="49" t="s">
        <v>2319</v>
      </c>
    </row>
    <row r="1482" spans="1:12" x14ac:dyDescent="0.25">
      <c r="A1482" s="51">
        <v>43537</v>
      </c>
      <c r="B1482" s="59">
        <v>1028017176</v>
      </c>
      <c r="C1482" s="59" t="s">
        <v>3567</v>
      </c>
      <c r="D1482" s="54" t="s">
        <v>180</v>
      </c>
      <c r="E1482" s="49" t="s">
        <v>3184</v>
      </c>
      <c r="F1482" s="76" t="str">
        <f>IFERROR(IF(Tabla1[[#This Row],[CONCEPTO mx]]="","",VLOOKUP(Tabla1[[#This Row],[CONCEPTO mx]],Tabla2[#All],2,0)),"")</f>
        <v/>
      </c>
      <c r="G1482" s="76" t="str">
        <f>IFERROR(IF(Tabla1[[#This Row],[CONCEPTO mx]]="","",VLOOKUP(Tabla1[[#This Row],[CONCEPTO mx]],Tabla2[#All],3,0)),"")</f>
        <v/>
      </c>
      <c r="H1482" s="49" t="s">
        <v>486</v>
      </c>
      <c r="I1482" s="49" t="s">
        <v>2298</v>
      </c>
      <c r="J1482" s="49" t="s">
        <v>2302</v>
      </c>
      <c r="L1482" s="59" t="s">
        <v>3568</v>
      </c>
    </row>
    <row r="1483" spans="1:12" x14ac:dyDescent="0.25">
      <c r="A1483" s="51">
        <v>43537</v>
      </c>
      <c r="C1483" s="59" t="s">
        <v>3578</v>
      </c>
      <c r="D1483" s="49" t="s">
        <v>51</v>
      </c>
      <c r="E1483" s="49" t="s">
        <v>3249</v>
      </c>
      <c r="F1483" s="76" t="str">
        <f>IFERROR(IF(Tabla1[[#This Row],[CONCEPTO mx]]="","",VLOOKUP(Tabla1[[#This Row],[CONCEPTO mx]],Tabla2[#All],2,0)),"")</f>
        <v>CM3</v>
      </c>
      <c r="G1483" s="76" t="str">
        <f>IFERROR(IF(Tabla1[[#This Row],[CONCEPTO mx]]="","",VLOOKUP(Tabla1[[#This Row],[CONCEPTO mx]],Tabla2[#All],3,0)),"")</f>
        <v>SST</v>
      </c>
      <c r="H1483" s="49" t="s">
        <v>438</v>
      </c>
      <c r="I1483" s="49" t="s">
        <v>2298</v>
      </c>
      <c r="J1483" s="49" t="s">
        <v>3579</v>
      </c>
    </row>
    <row r="1484" spans="1:12" x14ac:dyDescent="0.25">
      <c r="A1484" s="51">
        <v>43538</v>
      </c>
      <c r="B1484" s="50">
        <v>10903398</v>
      </c>
      <c r="C1484" s="59" t="s">
        <v>3382</v>
      </c>
      <c r="D1484" s="49" t="s">
        <v>180</v>
      </c>
      <c r="E1484" s="49" t="s">
        <v>3174</v>
      </c>
      <c r="F1484" s="76" t="str">
        <f>IFERROR(IF(Tabla1[[#This Row],[CONCEPTO mx]]="","",VLOOKUP(Tabla1[[#This Row],[CONCEPTO mx]],Tabla2[#All],2,0)),"")</f>
        <v>CM2</v>
      </c>
      <c r="G1484" s="76" t="str">
        <f>IFERROR(IF(Tabla1[[#This Row],[CONCEPTO mx]]="","",VLOOKUP(Tabla1[[#This Row],[CONCEPTO mx]],Tabla2[#All],3,0)),"")</f>
        <v>SST</v>
      </c>
      <c r="H1484" s="49" t="s">
        <v>387</v>
      </c>
      <c r="I1484" s="49" t="s">
        <v>2298</v>
      </c>
      <c r="J1484" s="49" t="s">
        <v>2353</v>
      </c>
      <c r="L1484" s="49" t="s">
        <v>3587</v>
      </c>
    </row>
    <row r="1485" spans="1:12" x14ac:dyDescent="0.25">
      <c r="A1485" s="51">
        <v>43538</v>
      </c>
      <c r="B1485" s="50">
        <v>1040367486</v>
      </c>
      <c r="C1485" s="59" t="s">
        <v>3592</v>
      </c>
      <c r="D1485" s="49" t="s">
        <v>51</v>
      </c>
      <c r="E1485" s="49" t="s">
        <v>3250</v>
      </c>
      <c r="F1485" s="76" t="str">
        <f>IFERROR(IF(Tabla1[[#This Row],[CONCEPTO mx]]="","",VLOOKUP(Tabla1[[#This Row],[CONCEPTO mx]],Tabla2[#All],2,0)),"")</f>
        <v>CM12</v>
      </c>
      <c r="G1485" s="76" t="str">
        <f>IFERROR(IF(Tabla1[[#This Row],[CONCEPTO mx]]="","",VLOOKUP(Tabla1[[#This Row],[CONCEPTO mx]],Tabla2[#All],3,0)),"")</f>
        <v>SST</v>
      </c>
      <c r="H1485" s="49" t="s">
        <v>406</v>
      </c>
      <c r="I1485" s="49" t="s">
        <v>3392</v>
      </c>
      <c r="J1485" s="49" t="s">
        <v>2328</v>
      </c>
    </row>
    <row r="1486" spans="1:12" x14ac:dyDescent="0.25">
      <c r="A1486" s="51">
        <v>43538</v>
      </c>
      <c r="B1486" s="50">
        <v>1028037944</v>
      </c>
      <c r="C1486" s="59" t="s">
        <v>3588</v>
      </c>
      <c r="D1486" s="49" t="s">
        <v>180</v>
      </c>
      <c r="E1486" s="49" t="s">
        <v>3191</v>
      </c>
      <c r="F1486" s="76" t="str">
        <f>IFERROR(IF(Tabla1[[#This Row],[CONCEPTO mx]]="","",VLOOKUP(Tabla1[[#This Row],[CONCEPTO mx]],Tabla2[#All],2,0)),"")</f>
        <v>CM27</v>
      </c>
      <c r="G1486" s="76" t="str">
        <f>IFERROR(IF(Tabla1[[#This Row],[CONCEPTO mx]]="","",VLOOKUP(Tabla1[[#This Row],[CONCEPTO mx]],Tabla2[#All],3,0)),"")</f>
        <v>SST</v>
      </c>
      <c r="H1486" s="49" t="s">
        <v>406</v>
      </c>
      <c r="I1486" s="49" t="s">
        <v>2298</v>
      </c>
      <c r="J1486" s="49" t="s">
        <v>3589</v>
      </c>
    </row>
    <row r="1487" spans="1:12" x14ac:dyDescent="0.25">
      <c r="A1487" s="51">
        <v>43538</v>
      </c>
      <c r="B1487" s="50">
        <v>1038814425</v>
      </c>
      <c r="C1487" s="59" t="s">
        <v>3590</v>
      </c>
      <c r="D1487" s="49" t="s">
        <v>51</v>
      </c>
      <c r="E1487" s="49" t="s">
        <v>3315</v>
      </c>
      <c r="F1487" s="76" t="str">
        <f>IFERROR(IF(Tabla1[[#This Row],[CONCEPTO mx]]="","",VLOOKUP(Tabla1[[#This Row],[CONCEPTO mx]],Tabla2[#All],2,0)),"")</f>
        <v>CM40</v>
      </c>
      <c r="G1487" s="76" t="str">
        <f>IFERROR(IF(Tabla1[[#This Row],[CONCEPTO mx]]="","",VLOOKUP(Tabla1[[#This Row],[CONCEPTO mx]],Tabla2[#All],3,0)),"")</f>
        <v>SST</v>
      </c>
      <c r="H1487" s="49" t="s">
        <v>2393</v>
      </c>
      <c r="I1487" s="49" t="s">
        <v>2298</v>
      </c>
      <c r="J1487" s="49" t="s">
        <v>3591</v>
      </c>
    </row>
    <row r="1488" spans="1:12" x14ac:dyDescent="0.25">
      <c r="A1488" s="51">
        <v>43538</v>
      </c>
      <c r="B1488" s="50">
        <v>1040369107</v>
      </c>
      <c r="C1488" s="59" t="s">
        <v>3594</v>
      </c>
      <c r="D1488" s="49" t="s">
        <v>51</v>
      </c>
      <c r="E1488" s="49" t="s">
        <v>3249</v>
      </c>
      <c r="F1488" s="76" t="str">
        <f>IFERROR(IF(Tabla1[[#This Row],[CONCEPTO mx]]="","",VLOOKUP(Tabla1[[#This Row],[CONCEPTO mx]],Tabla2[#All],2,0)),"")</f>
        <v>CM3</v>
      </c>
      <c r="G1488" s="76" t="str">
        <f>IFERROR(IF(Tabla1[[#This Row],[CONCEPTO mx]]="","",VLOOKUP(Tabla1[[#This Row],[CONCEPTO mx]],Tabla2[#All],3,0)),"")</f>
        <v>SST</v>
      </c>
      <c r="H1488" s="49" t="s">
        <v>2393</v>
      </c>
      <c r="I1488" s="49" t="s">
        <v>2298</v>
      </c>
      <c r="J1488" s="49" t="s">
        <v>3595</v>
      </c>
    </row>
    <row r="1489" spans="1:12" x14ac:dyDescent="0.25">
      <c r="A1489" s="51">
        <v>43538</v>
      </c>
      <c r="B1489" s="50">
        <v>1067852222</v>
      </c>
      <c r="C1489" s="59" t="s">
        <v>3593</v>
      </c>
      <c r="D1489" s="49" t="s">
        <v>51</v>
      </c>
      <c r="E1489" s="49" t="s">
        <v>3250</v>
      </c>
      <c r="F1489" s="76" t="str">
        <f>IFERROR(IF(Tabla1[[#This Row],[CONCEPTO mx]]="","",VLOOKUP(Tabla1[[#This Row],[CONCEPTO mx]],Tabla2[#All],2,0)),"")</f>
        <v>CM12</v>
      </c>
      <c r="G1489" s="76" t="str">
        <f>IFERROR(IF(Tabla1[[#This Row],[CONCEPTO mx]]="","",VLOOKUP(Tabla1[[#This Row],[CONCEPTO mx]],Tabla2[#All],3,0)),"")</f>
        <v>SST</v>
      </c>
      <c r="H1489" s="49" t="s">
        <v>438</v>
      </c>
      <c r="I1489" s="49" t="s">
        <v>2298</v>
      </c>
      <c r="J1489" s="49" t="s">
        <v>399</v>
      </c>
    </row>
    <row r="1490" spans="1:12" x14ac:dyDescent="0.25">
      <c r="A1490" s="51">
        <v>43538</v>
      </c>
      <c r="C1490" s="59" t="s">
        <v>3596</v>
      </c>
      <c r="D1490" s="49" t="s">
        <v>180</v>
      </c>
      <c r="E1490" s="49" t="s">
        <v>3193</v>
      </c>
      <c r="F1490" s="76" t="str">
        <f>IFERROR(IF(Tabla1[[#This Row],[CONCEPTO mx]]="","",VLOOKUP(Tabla1[[#This Row],[CONCEPTO mx]],Tabla2[#All],2,0)),"")</f>
        <v>CM30</v>
      </c>
      <c r="G1490" s="76" t="str">
        <f>IFERROR(IF(Tabla1[[#This Row],[CONCEPTO mx]]="","",VLOOKUP(Tabla1[[#This Row],[CONCEPTO mx]],Tabla2[#All],3,0)),"")</f>
        <v>SST</v>
      </c>
      <c r="H1490" s="49" t="s">
        <v>628</v>
      </c>
      <c r="I1490" s="49" t="s">
        <v>2419</v>
      </c>
      <c r="J1490" s="49" t="s">
        <v>3547</v>
      </c>
      <c r="L1490" s="49" t="s">
        <v>3597</v>
      </c>
    </row>
    <row r="1491" spans="1:12" x14ac:dyDescent="0.25">
      <c r="A1491" s="51">
        <v>43539</v>
      </c>
      <c r="B1491" s="59">
        <v>1040364911</v>
      </c>
      <c r="C1491" s="59" t="s">
        <v>3606</v>
      </c>
      <c r="D1491" s="49" t="s">
        <v>51</v>
      </c>
      <c r="E1491" s="49" t="s">
        <v>3315</v>
      </c>
      <c r="F1491" s="76" t="str">
        <f>IFERROR(IF(Tabla1[[#This Row],[CONCEPTO mx]]="","",VLOOKUP(Tabla1[[#This Row],[CONCEPTO mx]],Tabla2[#All],2,0)),"")</f>
        <v>CM40</v>
      </c>
      <c r="G1491" s="76" t="str">
        <f>IFERROR(IF(Tabla1[[#This Row],[CONCEPTO mx]]="","",VLOOKUP(Tabla1[[#This Row],[CONCEPTO mx]],Tabla2[#All],3,0)),"")</f>
        <v>SST</v>
      </c>
      <c r="H1491" s="49" t="s">
        <v>406</v>
      </c>
      <c r="I1491" s="49" t="s">
        <v>2298</v>
      </c>
      <c r="J1491" s="49" t="s">
        <v>2826</v>
      </c>
      <c r="L1491" s="77" t="s">
        <v>3605</v>
      </c>
    </row>
    <row r="1492" spans="1:12" x14ac:dyDescent="0.25">
      <c r="A1492" s="51">
        <v>43539</v>
      </c>
      <c r="B1492" s="59">
        <v>1001153006</v>
      </c>
      <c r="C1492" s="59" t="s">
        <v>3601</v>
      </c>
      <c r="E1492" s="49" t="s">
        <v>2355</v>
      </c>
      <c r="F1492" s="76" t="str">
        <f>IFERROR(IF(Tabla1[[#This Row],[CONCEPTO mx]]="","",VLOOKUP(Tabla1[[#This Row],[CONCEPTO mx]],Tabla2[#All],2,0)),"")</f>
        <v>CM13</v>
      </c>
      <c r="G1492" s="76" t="str">
        <f>IFERROR(IF(Tabla1[[#This Row],[CONCEPTO mx]]="","",VLOOKUP(Tabla1[[#This Row],[CONCEPTO mx]],Tabla2[#All],3,0)),"")</f>
        <v>Gestión Humana</v>
      </c>
      <c r="H1492" s="49" t="s">
        <v>542</v>
      </c>
      <c r="I1492" s="49" t="s">
        <v>2419</v>
      </c>
    </row>
    <row r="1493" spans="1:12" x14ac:dyDescent="0.25">
      <c r="A1493" s="51">
        <v>43539</v>
      </c>
      <c r="B1493" s="59">
        <v>1045491977</v>
      </c>
      <c r="C1493" s="59" t="s">
        <v>3599</v>
      </c>
      <c r="D1493" s="49" t="s">
        <v>51</v>
      </c>
      <c r="E1493" s="49" t="s">
        <v>3250</v>
      </c>
      <c r="F1493" s="76" t="str">
        <f>IFERROR(IF(Tabla1[[#This Row],[CONCEPTO mx]]="","",VLOOKUP(Tabla1[[#This Row],[CONCEPTO mx]],Tabla2[#All],2,0)),"")</f>
        <v>CM12</v>
      </c>
      <c r="G1493" s="76" t="str">
        <f>IFERROR(IF(Tabla1[[#This Row],[CONCEPTO mx]]="","",VLOOKUP(Tabla1[[#This Row],[CONCEPTO mx]],Tabla2[#All],3,0)),"")</f>
        <v>SST</v>
      </c>
      <c r="H1493" s="49" t="s">
        <v>406</v>
      </c>
      <c r="I1493" s="49" t="s">
        <v>2298</v>
      </c>
      <c r="J1493" s="49" t="s">
        <v>3600</v>
      </c>
    </row>
    <row r="1494" spans="1:12" x14ac:dyDescent="0.25">
      <c r="A1494" s="51">
        <v>43539</v>
      </c>
      <c r="B1494" s="59">
        <v>1028023631</v>
      </c>
      <c r="C1494" s="59" t="s">
        <v>3603</v>
      </c>
      <c r="D1494" s="49" t="s">
        <v>180</v>
      </c>
      <c r="E1494" s="49" t="s">
        <v>3188</v>
      </c>
      <c r="F1494" s="76" t="str">
        <f>IFERROR(IF(Tabla1[[#This Row],[CONCEPTO mx]]="","",VLOOKUP(Tabla1[[#This Row],[CONCEPTO mx]],Tabla2[#All],2,0)),"")</f>
        <v>CM7</v>
      </c>
      <c r="G1494" s="76" t="str">
        <f>IFERROR(IF(Tabla1[[#This Row],[CONCEPTO mx]]="","",VLOOKUP(Tabla1[[#This Row],[CONCEPTO mx]],Tabla2[#All],3,0)),"")</f>
        <v>SST</v>
      </c>
      <c r="H1494" s="49" t="s">
        <v>628</v>
      </c>
      <c r="I1494" s="49" t="s">
        <v>2298</v>
      </c>
      <c r="J1494" s="49" t="s">
        <v>2811</v>
      </c>
      <c r="L1494" s="59" t="s">
        <v>3602</v>
      </c>
    </row>
    <row r="1495" spans="1:12" x14ac:dyDescent="0.25">
      <c r="A1495" s="51">
        <v>43539</v>
      </c>
      <c r="B1495" s="59">
        <v>1028027251</v>
      </c>
      <c r="C1495" s="59" t="s">
        <v>3604</v>
      </c>
      <c r="D1495" s="49" t="s">
        <v>51</v>
      </c>
      <c r="E1495" s="49" t="s">
        <v>3248</v>
      </c>
      <c r="F1495" s="76" t="str">
        <f>IFERROR(IF(Tabla1[[#This Row],[CONCEPTO mx]]="","",VLOOKUP(Tabla1[[#This Row],[CONCEPTO mx]],Tabla2[#All],2,0)),"")</f>
        <v>CM1</v>
      </c>
      <c r="G1495" s="76" t="str">
        <f>IFERROR(IF(Tabla1[[#This Row],[CONCEPTO mx]]="","",VLOOKUP(Tabla1[[#This Row],[CONCEPTO mx]],Tabla2[#All],3,0)),"")</f>
        <v>Gestión Humana</v>
      </c>
      <c r="H1495" s="49" t="s">
        <v>406</v>
      </c>
      <c r="I1495" s="49" t="s">
        <v>2298</v>
      </c>
      <c r="J1495" s="49" t="s">
        <v>2319</v>
      </c>
    </row>
    <row r="1496" spans="1:12" x14ac:dyDescent="0.25">
      <c r="A1496" s="51">
        <v>43544</v>
      </c>
      <c r="B1496" s="50">
        <v>1028005349</v>
      </c>
      <c r="C1496" s="49" t="s">
        <v>3609</v>
      </c>
      <c r="D1496" s="49" t="s">
        <v>51</v>
      </c>
      <c r="E1496" s="49" t="s">
        <v>3185</v>
      </c>
      <c r="F1496" s="76" t="str">
        <f>IFERROR(IF(Tabla1[[#This Row],[CONCEPTO mx]]="","",VLOOKUP(Tabla1[[#This Row],[CONCEPTO mx]],Tabla2[#All],2,0)),"")</f>
        <v>CM5</v>
      </c>
      <c r="G1496" s="76" t="str">
        <f>IFERROR(IF(Tabla1[[#This Row],[CONCEPTO mx]]="","",VLOOKUP(Tabla1[[#This Row],[CONCEPTO mx]],Tabla2[#All],3,0)),"")</f>
        <v>SST</v>
      </c>
      <c r="H1496" s="49" t="s">
        <v>343</v>
      </c>
      <c r="I1496" s="49" t="s">
        <v>3392</v>
      </c>
      <c r="J1496" s="49" t="s">
        <v>3610</v>
      </c>
    </row>
    <row r="1497" spans="1:12" x14ac:dyDescent="0.25">
      <c r="A1497" s="51">
        <v>43544</v>
      </c>
      <c r="B1497" s="50">
        <v>1045488050</v>
      </c>
      <c r="C1497" s="56" t="s">
        <v>3611</v>
      </c>
      <c r="D1497" s="49" t="s">
        <v>180</v>
      </c>
      <c r="E1497" s="49" t="s">
        <v>3413</v>
      </c>
      <c r="F1497" s="76" t="str">
        <f>IFERROR(IF(Tabla1[[#This Row],[CONCEPTO mx]]="","",VLOOKUP(Tabla1[[#This Row],[CONCEPTO mx]],Tabla2[#All],2,0)),"")</f>
        <v>CM42</v>
      </c>
      <c r="G1497" s="76" t="str">
        <f>IFERROR(IF(Tabla1[[#This Row],[CONCEPTO mx]]="","",VLOOKUP(Tabla1[[#This Row],[CONCEPTO mx]],Tabla2[#All],3,0)),"")</f>
        <v>SST</v>
      </c>
      <c r="H1497" s="49" t="s">
        <v>406</v>
      </c>
      <c r="I1497" s="49" t="s">
        <v>2298</v>
      </c>
      <c r="J1497" s="49" t="s">
        <v>2853</v>
      </c>
    </row>
    <row r="1498" spans="1:12" x14ac:dyDescent="0.25">
      <c r="A1498" s="51">
        <v>43544</v>
      </c>
      <c r="B1498" s="50">
        <v>98619373</v>
      </c>
      <c r="C1498" s="49" t="s">
        <v>3607</v>
      </c>
      <c r="D1498" s="49" t="s">
        <v>51</v>
      </c>
      <c r="E1498" s="49" t="s">
        <v>3250</v>
      </c>
      <c r="F1498" s="76" t="str">
        <f>IFERROR(IF(Tabla1[[#This Row],[CONCEPTO mx]]="","",VLOOKUP(Tabla1[[#This Row],[CONCEPTO mx]],Tabla2[#All],2,0)),"")</f>
        <v>CM12</v>
      </c>
      <c r="G1498" s="76" t="str">
        <f>IFERROR(IF(Tabla1[[#This Row],[CONCEPTO mx]]="","",VLOOKUP(Tabla1[[#This Row],[CONCEPTO mx]],Tabla2[#All],3,0)),"")</f>
        <v>SST</v>
      </c>
      <c r="H1498" s="49" t="s">
        <v>2391</v>
      </c>
      <c r="I1498" s="49" t="s">
        <v>2298</v>
      </c>
      <c r="J1498" s="49" t="s">
        <v>2314</v>
      </c>
      <c r="L1498" s="49" t="s">
        <v>3608</v>
      </c>
    </row>
    <row r="1499" spans="1:12" x14ac:dyDescent="0.25">
      <c r="A1499" s="51">
        <v>43544</v>
      </c>
      <c r="B1499" s="50">
        <v>1027952544</v>
      </c>
      <c r="C1499" s="59" t="s">
        <v>3612</v>
      </c>
      <c r="D1499" s="49" t="s">
        <v>51</v>
      </c>
      <c r="E1499" s="49" t="s">
        <v>3250</v>
      </c>
      <c r="F1499" s="76" t="str">
        <f>IFERROR(IF(Tabla1[[#This Row],[CONCEPTO mx]]="","",VLOOKUP(Tabla1[[#This Row],[CONCEPTO mx]],Tabla2[#All],2,0)),"")</f>
        <v>CM12</v>
      </c>
      <c r="G1499" s="76" t="str">
        <f>IFERROR(IF(Tabla1[[#This Row],[CONCEPTO mx]]="","",VLOOKUP(Tabla1[[#This Row],[CONCEPTO mx]],Tabla2[#All],3,0)),"")</f>
        <v>SST</v>
      </c>
      <c r="H1499" s="49" t="s">
        <v>628</v>
      </c>
      <c r="I1499" s="49" t="s">
        <v>2298</v>
      </c>
      <c r="J1499" s="49" t="s">
        <v>2341</v>
      </c>
    </row>
    <row r="1500" spans="1:12" x14ac:dyDescent="0.25">
      <c r="A1500" s="51">
        <v>43544</v>
      </c>
      <c r="B1500" s="59">
        <v>1007386700</v>
      </c>
      <c r="C1500" s="59" t="s">
        <v>3554</v>
      </c>
      <c r="D1500" s="49" t="s">
        <v>180</v>
      </c>
      <c r="E1500" s="49" t="s">
        <v>3174</v>
      </c>
      <c r="F1500" s="76" t="str">
        <f>IFERROR(IF(Tabla1[[#This Row],[CONCEPTO mx]]="","",VLOOKUP(Tabla1[[#This Row],[CONCEPTO mx]],Tabla2[#All],2,0)),"")</f>
        <v>CM2</v>
      </c>
      <c r="G1500" s="76" t="str">
        <f>IFERROR(IF(Tabla1[[#This Row],[CONCEPTO mx]]="","",VLOOKUP(Tabla1[[#This Row],[CONCEPTO mx]],Tabla2[#All],3,0)),"")</f>
        <v>SST</v>
      </c>
      <c r="H1500" s="49" t="s">
        <v>2391</v>
      </c>
      <c r="I1500" s="49" t="s">
        <v>2298</v>
      </c>
      <c r="J1500" s="49" t="s">
        <v>2826</v>
      </c>
      <c r="K1500" s="51">
        <v>43535</v>
      </c>
    </row>
    <row r="1501" spans="1:12" x14ac:dyDescent="0.25">
      <c r="A1501" s="51">
        <v>43545</v>
      </c>
      <c r="B1501" s="59">
        <v>1001032616</v>
      </c>
      <c r="C1501" s="59" t="s">
        <v>3513</v>
      </c>
      <c r="D1501" s="49" t="s">
        <v>51</v>
      </c>
      <c r="E1501" s="49" t="s">
        <v>3315</v>
      </c>
      <c r="F1501" s="76" t="str">
        <f>IFERROR(IF(Tabla1[[#This Row],[CONCEPTO mx]]="","",VLOOKUP(Tabla1[[#This Row],[CONCEPTO mx]],Tabla2[#All],2,0)),"")</f>
        <v>CM40</v>
      </c>
      <c r="G1501" s="76" t="str">
        <f>IFERROR(IF(Tabla1[[#This Row],[CONCEPTO mx]]="","",VLOOKUP(Tabla1[[#This Row],[CONCEPTO mx]],Tabla2[#All],3,0)),"")</f>
        <v>SST</v>
      </c>
      <c r="H1501" s="49" t="s">
        <v>438</v>
      </c>
      <c r="I1501" s="49" t="s">
        <v>2298</v>
      </c>
      <c r="J1501" s="49" t="s">
        <v>3505</v>
      </c>
      <c r="K1501" s="51">
        <v>43531</v>
      </c>
      <c r="L1501" s="59" t="s">
        <v>3514</v>
      </c>
    </row>
    <row r="1502" spans="1:12" x14ac:dyDescent="0.25">
      <c r="A1502" s="51">
        <v>43545</v>
      </c>
      <c r="B1502" s="84">
        <v>1003241315</v>
      </c>
      <c r="C1502" s="59" t="s">
        <v>3630</v>
      </c>
      <c r="D1502" s="49" t="s">
        <v>51</v>
      </c>
      <c r="E1502" s="49" t="s">
        <v>3249</v>
      </c>
      <c r="F1502" s="76" t="str">
        <f>IFERROR(IF(Tabla1[[#This Row],[CONCEPTO mx]]="","",VLOOKUP(Tabla1[[#This Row],[CONCEPTO mx]],Tabla2[#All],2,0)),"")</f>
        <v>CM3</v>
      </c>
      <c r="G1502" s="76" t="str">
        <f>IFERROR(IF(Tabla1[[#This Row],[CONCEPTO mx]]="","",VLOOKUP(Tabla1[[#This Row],[CONCEPTO mx]],Tabla2[#All],3,0)),"")</f>
        <v>SST</v>
      </c>
      <c r="H1502" s="49" t="s">
        <v>438</v>
      </c>
      <c r="I1502" s="49" t="s">
        <v>2298</v>
      </c>
      <c r="J1502" s="49" t="s">
        <v>2892</v>
      </c>
    </row>
    <row r="1503" spans="1:12" x14ac:dyDescent="0.25">
      <c r="A1503" s="51">
        <v>43545</v>
      </c>
      <c r="B1503" s="84">
        <v>1040357562</v>
      </c>
      <c r="C1503" s="59" t="s">
        <v>3616</v>
      </c>
      <c r="D1503" s="49" t="s">
        <v>51</v>
      </c>
      <c r="E1503" s="49" t="s">
        <v>3249</v>
      </c>
      <c r="F1503" s="76" t="str">
        <f>IFERROR(IF(Tabla1[[#This Row],[CONCEPTO mx]]="","",VLOOKUP(Tabla1[[#This Row],[CONCEPTO mx]],Tabla2[#All],2,0)),"")</f>
        <v>CM3</v>
      </c>
      <c r="G1503" s="76" t="str">
        <f>IFERROR(IF(Tabla1[[#This Row],[CONCEPTO mx]]="","",VLOOKUP(Tabla1[[#This Row],[CONCEPTO mx]],Tabla2[#All],3,0)),"")</f>
        <v>SST</v>
      </c>
      <c r="H1503" s="49" t="s">
        <v>438</v>
      </c>
      <c r="I1503" s="49" t="s">
        <v>2298</v>
      </c>
      <c r="J1503" s="49" t="s">
        <v>2892</v>
      </c>
      <c r="L1503" s="59" t="s">
        <v>3617</v>
      </c>
    </row>
    <row r="1504" spans="1:12" x14ac:dyDescent="0.25">
      <c r="A1504" s="51">
        <v>43545</v>
      </c>
      <c r="B1504" s="84">
        <v>1038126982</v>
      </c>
      <c r="C1504" s="59" t="s">
        <v>3626</v>
      </c>
      <c r="D1504" s="49" t="s">
        <v>51</v>
      </c>
      <c r="E1504" s="49" t="s">
        <v>3249</v>
      </c>
      <c r="F1504" s="76" t="str">
        <f>IFERROR(IF(Tabla1[[#This Row],[CONCEPTO mx]]="","",VLOOKUP(Tabla1[[#This Row],[CONCEPTO mx]],Tabla2[#All],2,0)),"")</f>
        <v>CM3</v>
      </c>
      <c r="G1504" s="76" t="str">
        <f>IFERROR(IF(Tabla1[[#This Row],[CONCEPTO mx]]="","",VLOOKUP(Tabla1[[#This Row],[CONCEPTO mx]],Tabla2[#All],3,0)),"")</f>
        <v>SST</v>
      </c>
      <c r="H1504" s="49" t="s">
        <v>438</v>
      </c>
      <c r="I1504" s="49" t="s">
        <v>2298</v>
      </c>
      <c r="J1504" s="49" t="s">
        <v>2784</v>
      </c>
    </row>
    <row r="1505" spans="1:12" x14ac:dyDescent="0.25">
      <c r="A1505" s="51">
        <v>43545</v>
      </c>
      <c r="B1505" s="78">
        <v>1007669698</v>
      </c>
      <c r="C1505" s="49" t="s">
        <v>3613</v>
      </c>
      <c r="D1505" s="49" t="s">
        <v>51</v>
      </c>
      <c r="E1505" s="49" t="s">
        <v>3248</v>
      </c>
      <c r="F1505" s="76" t="str">
        <f>IFERROR(IF(Tabla1[[#This Row],[CONCEPTO mx]]="","",VLOOKUP(Tabla1[[#This Row],[CONCEPTO mx]],Tabla2[#All],2,0)),"")</f>
        <v>CM1</v>
      </c>
      <c r="G1505" s="76" t="str">
        <f>IFERROR(IF(Tabla1[[#This Row],[CONCEPTO mx]]="","",VLOOKUP(Tabla1[[#This Row],[CONCEPTO mx]],Tabla2[#All],3,0)),"")</f>
        <v>Gestión Humana</v>
      </c>
      <c r="H1505" s="49" t="s">
        <v>406</v>
      </c>
      <c r="I1505" s="49" t="s">
        <v>2298</v>
      </c>
      <c r="J1505" s="49" t="s">
        <v>2788</v>
      </c>
    </row>
    <row r="1506" spans="1:12" x14ac:dyDescent="0.25">
      <c r="A1506" s="51">
        <v>43545</v>
      </c>
      <c r="B1506" s="84">
        <v>1028040804</v>
      </c>
      <c r="C1506" s="59" t="s">
        <v>3625</v>
      </c>
      <c r="D1506" s="49" t="s">
        <v>51</v>
      </c>
      <c r="E1506" s="49" t="s">
        <v>3249</v>
      </c>
      <c r="F1506" s="76" t="str">
        <f>IFERROR(IF(Tabla1[[#This Row],[CONCEPTO mx]]="","",VLOOKUP(Tabla1[[#This Row],[CONCEPTO mx]],Tabla2[#All],2,0)),"")</f>
        <v>CM3</v>
      </c>
      <c r="G1506" s="76" t="str">
        <f>IFERROR(IF(Tabla1[[#This Row],[CONCEPTO mx]]="","",VLOOKUP(Tabla1[[#This Row],[CONCEPTO mx]],Tabla2[#All],3,0)),"")</f>
        <v>SST</v>
      </c>
      <c r="H1506" s="49" t="s">
        <v>438</v>
      </c>
      <c r="I1506" s="49" t="s">
        <v>2298</v>
      </c>
      <c r="J1506" s="49" t="s">
        <v>2890</v>
      </c>
      <c r="L1506" s="59" t="s">
        <v>3617</v>
      </c>
    </row>
    <row r="1507" spans="1:12" x14ac:dyDescent="0.25">
      <c r="A1507" s="51">
        <v>43545</v>
      </c>
      <c r="B1507" s="84">
        <v>1028007196</v>
      </c>
      <c r="C1507" s="59" t="s">
        <v>3621</v>
      </c>
      <c r="D1507" s="49" t="s">
        <v>51</v>
      </c>
      <c r="E1507" s="49" t="s">
        <v>3248</v>
      </c>
      <c r="F1507" s="76" t="str">
        <f>IFERROR(IF(Tabla1[[#This Row],[CONCEPTO mx]]="","",VLOOKUP(Tabla1[[#This Row],[CONCEPTO mx]],Tabla2[#All],2,0)),"")</f>
        <v>CM1</v>
      </c>
      <c r="G1507" s="76" t="str">
        <f>IFERROR(IF(Tabla1[[#This Row],[CONCEPTO mx]]="","",VLOOKUP(Tabla1[[#This Row],[CONCEPTO mx]],Tabla2[#All],3,0)),"")</f>
        <v>Gestión Humana</v>
      </c>
      <c r="H1507" s="49" t="s">
        <v>438</v>
      </c>
      <c r="I1507" s="49" t="s">
        <v>2298</v>
      </c>
      <c r="J1507" s="49" t="s">
        <v>2892</v>
      </c>
    </row>
    <row r="1508" spans="1:12" x14ac:dyDescent="0.25">
      <c r="A1508" s="51">
        <v>43545</v>
      </c>
      <c r="B1508" s="84">
        <v>1045502238</v>
      </c>
      <c r="C1508" s="59" t="s">
        <v>1442</v>
      </c>
      <c r="D1508" s="49" t="s">
        <v>51</v>
      </c>
      <c r="E1508" s="49" t="s">
        <v>3250</v>
      </c>
      <c r="F1508" s="76" t="str">
        <f>IFERROR(IF(Tabla1[[#This Row],[CONCEPTO mx]]="","",VLOOKUP(Tabla1[[#This Row],[CONCEPTO mx]],Tabla2[#All],2,0)),"")</f>
        <v>CM12</v>
      </c>
      <c r="G1508" s="76" t="str">
        <f>IFERROR(IF(Tabla1[[#This Row],[CONCEPTO mx]]="","",VLOOKUP(Tabla1[[#This Row],[CONCEPTO mx]],Tabla2[#All],3,0)),"")</f>
        <v>SST</v>
      </c>
      <c r="H1508" s="49" t="s">
        <v>406</v>
      </c>
      <c r="I1508" s="49" t="s">
        <v>2298</v>
      </c>
      <c r="J1508" s="49" t="s">
        <v>2318</v>
      </c>
      <c r="L1508" s="59" t="s">
        <v>3660</v>
      </c>
    </row>
    <row r="1509" spans="1:12" x14ac:dyDescent="0.25">
      <c r="A1509" s="51">
        <v>43545</v>
      </c>
      <c r="B1509" s="84">
        <v>1027964579</v>
      </c>
      <c r="C1509" s="59" t="s">
        <v>3633</v>
      </c>
      <c r="D1509" s="49" t="s">
        <v>180</v>
      </c>
      <c r="E1509" s="49" t="s">
        <v>3198</v>
      </c>
      <c r="F1509" s="76" t="str">
        <f>IFERROR(IF(Tabla1[[#This Row],[CONCEPTO mx]]="","",VLOOKUP(Tabla1[[#This Row],[CONCEPTO mx]],Tabla2[#All],2,0)),"")</f>
        <v>CM6</v>
      </c>
      <c r="G1509" s="76" t="str">
        <f>IFERROR(IF(Tabla1[[#This Row],[CONCEPTO mx]]="","",VLOOKUP(Tabla1[[#This Row],[CONCEPTO mx]],Tabla2[#All],3,0)),"")</f>
        <v>SST</v>
      </c>
      <c r="H1509" s="49" t="s">
        <v>439</v>
      </c>
      <c r="I1509" s="49" t="s">
        <v>2298</v>
      </c>
      <c r="J1509" s="49" t="s">
        <v>3634</v>
      </c>
      <c r="L1509" s="59" t="s">
        <v>3529</v>
      </c>
    </row>
    <row r="1510" spans="1:12" x14ac:dyDescent="0.25">
      <c r="A1510" s="51">
        <v>43545</v>
      </c>
      <c r="B1510" s="78">
        <v>51257674</v>
      </c>
      <c r="C1510" s="59" t="s">
        <v>3622</v>
      </c>
      <c r="D1510" s="49" t="s">
        <v>180</v>
      </c>
      <c r="E1510" s="49" t="s">
        <v>3188</v>
      </c>
      <c r="F1510" s="76" t="str">
        <f>IFERROR(IF(Tabla1[[#This Row],[CONCEPTO mx]]="","",VLOOKUP(Tabla1[[#This Row],[CONCEPTO mx]],Tabla2[#All],2,0)),"")</f>
        <v>CM7</v>
      </c>
      <c r="G1510" s="76" t="str">
        <f>IFERROR(IF(Tabla1[[#This Row],[CONCEPTO mx]]="","",VLOOKUP(Tabla1[[#This Row],[CONCEPTO mx]],Tabla2[#All],3,0)),"")</f>
        <v>SST</v>
      </c>
      <c r="H1510" s="49" t="s">
        <v>438</v>
      </c>
      <c r="I1510" s="49" t="s">
        <v>2298</v>
      </c>
      <c r="J1510" s="49" t="s">
        <v>3623</v>
      </c>
      <c r="L1510" s="59" t="s">
        <v>3624</v>
      </c>
    </row>
    <row r="1511" spans="1:12" x14ac:dyDescent="0.25">
      <c r="A1511" s="51">
        <v>43545</v>
      </c>
      <c r="B1511" s="84">
        <v>1102233617</v>
      </c>
      <c r="C1511" s="59" t="s">
        <v>3636</v>
      </c>
      <c r="D1511" s="49" t="s">
        <v>180</v>
      </c>
      <c r="E1511" s="49" t="s">
        <v>3198</v>
      </c>
      <c r="F1511" s="76" t="str">
        <f>IFERROR(IF(Tabla1[[#This Row],[CONCEPTO mx]]="","",VLOOKUP(Tabla1[[#This Row],[CONCEPTO mx]],Tabla2[#All],2,0)),"")</f>
        <v>CM6</v>
      </c>
      <c r="G1511" s="76" t="str">
        <f>IFERROR(IF(Tabla1[[#This Row],[CONCEPTO mx]]="","",VLOOKUP(Tabla1[[#This Row],[CONCEPTO mx]],Tabla2[#All],3,0)),"")</f>
        <v>SST</v>
      </c>
      <c r="H1511" s="49" t="s">
        <v>438</v>
      </c>
      <c r="I1511" s="49" t="s">
        <v>2298</v>
      </c>
      <c r="J1511" s="49" t="s">
        <v>2784</v>
      </c>
      <c r="L1511" s="49" t="s">
        <v>3637</v>
      </c>
    </row>
    <row r="1512" spans="1:12" x14ac:dyDescent="0.25">
      <c r="A1512" s="51">
        <v>43545</v>
      </c>
      <c r="B1512" s="84">
        <v>1040367683</v>
      </c>
      <c r="C1512" s="59" t="s">
        <v>3631</v>
      </c>
      <c r="D1512" s="49" t="s">
        <v>51</v>
      </c>
      <c r="E1512" s="49" t="s">
        <v>3249</v>
      </c>
      <c r="F1512" s="76" t="str">
        <f>IFERROR(IF(Tabla1[[#This Row],[CONCEPTO mx]]="","",VLOOKUP(Tabla1[[#This Row],[CONCEPTO mx]],Tabla2[#All],2,0)),"")</f>
        <v>CM3</v>
      </c>
      <c r="G1512" s="76" t="str">
        <f>IFERROR(IF(Tabla1[[#This Row],[CONCEPTO mx]]="","",VLOOKUP(Tabla1[[#This Row],[CONCEPTO mx]],Tabla2[#All],3,0)),"")</f>
        <v>SST</v>
      </c>
      <c r="H1512" s="49" t="s">
        <v>438</v>
      </c>
      <c r="I1512" s="49" t="s">
        <v>2298</v>
      </c>
      <c r="J1512" s="49" t="s">
        <v>2784</v>
      </c>
      <c r="L1512" s="59" t="s">
        <v>3632</v>
      </c>
    </row>
    <row r="1513" spans="1:12" x14ac:dyDescent="0.25">
      <c r="A1513" s="51">
        <v>43545</v>
      </c>
      <c r="B1513" s="84">
        <v>1040360105</v>
      </c>
      <c r="C1513" s="59" t="s">
        <v>3618</v>
      </c>
      <c r="D1513" s="49" t="s">
        <v>51</v>
      </c>
      <c r="E1513" s="49" t="s">
        <v>3249</v>
      </c>
      <c r="F1513" s="76" t="str">
        <f>IFERROR(IF(Tabla1[[#This Row],[CONCEPTO mx]]="","",VLOOKUP(Tabla1[[#This Row],[CONCEPTO mx]],Tabla2[#All],2,0)),"")</f>
        <v>CM3</v>
      </c>
      <c r="G1513" s="76" t="str">
        <f>IFERROR(IF(Tabla1[[#This Row],[CONCEPTO mx]]="","",VLOOKUP(Tabla1[[#This Row],[CONCEPTO mx]],Tabla2[#All],3,0)),"")</f>
        <v>SST</v>
      </c>
      <c r="H1513" s="49" t="s">
        <v>2391</v>
      </c>
      <c r="I1513" s="49" t="s">
        <v>2298</v>
      </c>
      <c r="J1513" s="49" t="s">
        <v>2892</v>
      </c>
      <c r="L1513" s="59" t="s">
        <v>3529</v>
      </c>
    </row>
    <row r="1514" spans="1:12" x14ac:dyDescent="0.25">
      <c r="A1514" s="51">
        <v>43545</v>
      </c>
      <c r="B1514" s="84">
        <v>1028028377</v>
      </c>
      <c r="C1514" s="59" t="s">
        <v>3629</v>
      </c>
      <c r="D1514" s="49" t="s">
        <v>51</v>
      </c>
      <c r="E1514" s="49" t="s">
        <v>3248</v>
      </c>
      <c r="F1514" s="76" t="str">
        <f>IFERROR(IF(Tabla1[[#This Row],[CONCEPTO mx]]="","",VLOOKUP(Tabla1[[#This Row],[CONCEPTO mx]],Tabla2[#All],2,0)),"")</f>
        <v>CM1</v>
      </c>
      <c r="G1514" s="76" t="str">
        <f>IFERROR(IF(Tabla1[[#This Row],[CONCEPTO mx]]="","",VLOOKUP(Tabla1[[#This Row],[CONCEPTO mx]],Tabla2[#All],3,0)),"")</f>
        <v>Gestión Humana</v>
      </c>
      <c r="H1514" s="49" t="s">
        <v>438</v>
      </c>
      <c r="I1514" s="49" t="s">
        <v>2298</v>
      </c>
      <c r="J1514" s="49" t="s">
        <v>2784</v>
      </c>
    </row>
    <row r="1515" spans="1:12" x14ac:dyDescent="0.25">
      <c r="A1515" s="51">
        <v>43545</v>
      </c>
      <c r="B1515" s="84">
        <v>1103107210</v>
      </c>
      <c r="C1515" s="59" t="s">
        <v>3646</v>
      </c>
      <c r="D1515" s="49" t="s">
        <v>51</v>
      </c>
      <c r="E1515" s="49" t="s">
        <v>3315</v>
      </c>
      <c r="F1515" s="76" t="str">
        <f>IFERROR(IF(Tabla1[[#This Row],[CONCEPTO mx]]="","",VLOOKUP(Tabla1[[#This Row],[CONCEPTO mx]],Tabla2[#All],2,0)),"")</f>
        <v>CM40</v>
      </c>
      <c r="G1515" s="76" t="str">
        <f>IFERROR(IF(Tabla1[[#This Row],[CONCEPTO mx]]="","",VLOOKUP(Tabla1[[#This Row],[CONCEPTO mx]],Tabla2[#All],3,0)),"")</f>
        <v>SST</v>
      </c>
      <c r="H1515" s="49" t="s">
        <v>438</v>
      </c>
      <c r="I1515" s="49" t="s">
        <v>2298</v>
      </c>
      <c r="J1515" s="49" t="s">
        <v>2784</v>
      </c>
      <c r="L1515" s="49" t="s">
        <v>3635</v>
      </c>
    </row>
    <row r="1516" spans="1:12" x14ac:dyDescent="0.25">
      <c r="A1516" s="51">
        <v>43545</v>
      </c>
      <c r="B1516" s="84">
        <v>1001023421</v>
      </c>
      <c r="C1516" s="49" t="s">
        <v>3614</v>
      </c>
      <c r="D1516" s="49" t="s">
        <v>51</v>
      </c>
      <c r="E1516" s="49" t="s">
        <v>2401</v>
      </c>
      <c r="F1516" s="76" t="str">
        <f>IFERROR(IF(Tabla1[[#This Row],[CONCEPTO mx]]="","",VLOOKUP(Tabla1[[#This Row],[CONCEPTO mx]],Tabla2[#All],2,0)),"")</f>
        <v>CM28</v>
      </c>
      <c r="G1516" s="76" t="str">
        <f>IFERROR(IF(Tabla1[[#This Row],[CONCEPTO mx]]="","",VLOOKUP(Tabla1[[#This Row],[CONCEPTO mx]],Tabla2[#All],3,0)),"")</f>
        <v>SST</v>
      </c>
      <c r="H1516" s="49" t="s">
        <v>438</v>
      </c>
      <c r="I1516" s="49" t="s">
        <v>2298</v>
      </c>
      <c r="J1516" s="49" t="s">
        <v>2784</v>
      </c>
    </row>
    <row r="1517" spans="1:12" x14ac:dyDescent="0.25">
      <c r="A1517" s="51">
        <v>43545</v>
      </c>
      <c r="B1517" s="84">
        <v>1038820918</v>
      </c>
      <c r="C1517" s="59" t="s">
        <v>3628</v>
      </c>
      <c r="D1517" s="49" t="s">
        <v>51</v>
      </c>
      <c r="E1517" s="49" t="s">
        <v>3248</v>
      </c>
      <c r="F1517" s="76" t="str">
        <f>IFERROR(IF(Tabla1[[#This Row],[CONCEPTO mx]]="","",VLOOKUP(Tabla1[[#This Row],[CONCEPTO mx]],Tabla2[#All],2,0)),"")</f>
        <v>CM1</v>
      </c>
      <c r="G1517" s="76" t="str">
        <f>IFERROR(IF(Tabla1[[#This Row],[CONCEPTO mx]]="","",VLOOKUP(Tabla1[[#This Row],[CONCEPTO mx]],Tabla2[#All],3,0)),"")</f>
        <v>Gestión Humana</v>
      </c>
      <c r="H1517" s="49" t="s">
        <v>438</v>
      </c>
      <c r="I1517" s="49" t="s">
        <v>2298</v>
      </c>
      <c r="J1517" s="49" t="s">
        <v>2892</v>
      </c>
    </row>
    <row r="1518" spans="1:12" x14ac:dyDescent="0.25">
      <c r="A1518" s="51">
        <v>43551</v>
      </c>
      <c r="B1518" s="50">
        <v>71252131</v>
      </c>
      <c r="C1518" s="59" t="s">
        <v>3641</v>
      </c>
      <c r="D1518" s="49" t="s">
        <v>51</v>
      </c>
      <c r="E1518" s="49" t="s">
        <v>3197</v>
      </c>
      <c r="F1518" s="76" t="str">
        <f>IFERROR(IF(Tabla1[[#This Row],[CONCEPTO mx]]="","",VLOOKUP(Tabla1[[#This Row],[CONCEPTO mx]],Tabla2[#All],2,0)),"")</f>
        <v>CM14</v>
      </c>
      <c r="G1518" s="76" t="str">
        <f>IFERROR(IF(Tabla1[[#This Row],[CONCEPTO mx]]="","",VLOOKUP(Tabla1[[#This Row],[CONCEPTO mx]],Tabla2[#All],3,0)),"")</f>
        <v>SST</v>
      </c>
      <c r="H1518" s="49" t="s">
        <v>438</v>
      </c>
      <c r="I1518" s="49" t="s">
        <v>2298</v>
      </c>
      <c r="J1518" s="49" t="s">
        <v>2353</v>
      </c>
      <c r="L1518" s="59" t="s">
        <v>3642</v>
      </c>
    </row>
    <row r="1519" spans="1:12" x14ac:dyDescent="0.25">
      <c r="A1519" s="51">
        <v>43551</v>
      </c>
      <c r="B1519" s="50">
        <v>1001153006</v>
      </c>
      <c r="C1519" s="59" t="s">
        <v>3601</v>
      </c>
      <c r="D1519" s="49" t="s">
        <v>51</v>
      </c>
      <c r="E1519" s="49" t="s">
        <v>3250</v>
      </c>
      <c r="F1519" s="76" t="str">
        <f>IFERROR(IF(Tabla1[[#This Row],[CONCEPTO mx]]="","",VLOOKUP(Tabla1[[#This Row],[CONCEPTO mx]],Tabla2[#All],2,0)),"")</f>
        <v>CM12</v>
      </c>
      <c r="G1519" s="76" t="str">
        <f>IFERROR(IF(Tabla1[[#This Row],[CONCEPTO mx]]="","",VLOOKUP(Tabla1[[#This Row],[CONCEPTO mx]],Tabla2[#All],3,0)),"")</f>
        <v>SST</v>
      </c>
      <c r="H1519" s="49" t="s">
        <v>542</v>
      </c>
      <c r="I1519" s="49" t="s">
        <v>2419</v>
      </c>
      <c r="J1519" s="49" t="s">
        <v>2334</v>
      </c>
      <c r="L1519" s="59" t="s">
        <v>3643</v>
      </c>
    </row>
    <row r="1520" spans="1:12" x14ac:dyDescent="0.25">
      <c r="A1520" s="51">
        <v>43554</v>
      </c>
      <c r="B1520" s="84">
        <v>1028040030</v>
      </c>
      <c r="C1520" s="85" t="s">
        <v>3620</v>
      </c>
      <c r="D1520" s="49" t="s">
        <v>51</v>
      </c>
      <c r="E1520" s="49" t="s">
        <v>3315</v>
      </c>
      <c r="F1520" s="76" t="str">
        <f>IFERROR(IF(Tabla1[[#This Row],[CONCEPTO mx]]="","",VLOOKUP(Tabla1[[#This Row],[CONCEPTO mx]],Tabla2[#All],2,0)),"")</f>
        <v>CM40</v>
      </c>
      <c r="G1520" s="76" t="str">
        <f>IFERROR(IF(Tabla1[[#This Row],[CONCEPTO mx]]="","",VLOOKUP(Tabla1[[#This Row],[CONCEPTO mx]],Tabla2[#All],3,0)),"")</f>
        <v>SST</v>
      </c>
      <c r="H1520" s="49" t="s">
        <v>438</v>
      </c>
      <c r="I1520" s="49" t="s">
        <v>2298</v>
      </c>
      <c r="J1520" s="49" t="s">
        <v>2892</v>
      </c>
      <c r="K1520" s="51">
        <v>43545</v>
      </c>
      <c r="L1520" s="49" t="s">
        <v>3174</v>
      </c>
    </row>
    <row r="1521" spans="1:12" x14ac:dyDescent="0.25">
      <c r="A1521" s="51">
        <v>43554</v>
      </c>
      <c r="B1521" s="84">
        <v>1028028238</v>
      </c>
      <c r="C1521" s="86" t="s">
        <v>3615</v>
      </c>
      <c r="D1521" s="49" t="s">
        <v>51</v>
      </c>
      <c r="E1521" s="49" t="s">
        <v>3315</v>
      </c>
      <c r="F1521" s="76" t="str">
        <f>IFERROR(IF(Tabla1[[#This Row],[CONCEPTO mx]]="","",VLOOKUP(Tabla1[[#This Row],[CONCEPTO mx]],Tabla2[#All],2,0)),"")</f>
        <v>CM40</v>
      </c>
      <c r="G1521" s="76" t="str">
        <f>IFERROR(IF(Tabla1[[#This Row],[CONCEPTO mx]]="","",VLOOKUP(Tabla1[[#This Row],[CONCEPTO mx]],Tabla2[#All],3,0)),"")</f>
        <v>SST</v>
      </c>
      <c r="H1521" s="49" t="s">
        <v>438</v>
      </c>
      <c r="I1521" s="49" t="s">
        <v>2298</v>
      </c>
      <c r="J1521" s="49" t="s">
        <v>2892</v>
      </c>
      <c r="K1521" s="51">
        <v>43545</v>
      </c>
      <c r="L1521" s="59" t="s">
        <v>3657</v>
      </c>
    </row>
    <row r="1522" spans="1:12" x14ac:dyDescent="0.25">
      <c r="A1522" s="51">
        <v>43554</v>
      </c>
      <c r="B1522" s="59">
        <v>1073983530</v>
      </c>
      <c r="C1522" s="59" t="s">
        <v>3653</v>
      </c>
      <c r="D1522" s="49" t="s">
        <v>180</v>
      </c>
      <c r="E1522" s="87" t="s">
        <v>3198</v>
      </c>
      <c r="F1522" s="76" t="str">
        <f>IFERROR(IF(Tabla1[[#This Row],[CONCEPTO mx]]="","",VLOOKUP(Tabla1[[#This Row],[CONCEPTO mx]],Tabla2[#All],2,0)),"")</f>
        <v>CM6</v>
      </c>
      <c r="G1522" s="76" t="str">
        <f>IFERROR(IF(Tabla1[[#This Row],[CONCEPTO mx]]="","",VLOOKUP(Tabla1[[#This Row],[CONCEPTO mx]],Tabla2[#All],3,0)),"")</f>
        <v>SST</v>
      </c>
      <c r="H1522" s="49" t="s">
        <v>439</v>
      </c>
      <c r="I1522" s="49" t="s">
        <v>2298</v>
      </c>
      <c r="J1522" s="49" t="s">
        <v>3654</v>
      </c>
      <c r="L1522" s="59" t="s">
        <v>3712</v>
      </c>
    </row>
    <row r="1523" spans="1:12" x14ac:dyDescent="0.25">
      <c r="A1523" s="51">
        <v>43554</v>
      </c>
      <c r="B1523" s="50">
        <v>71255703</v>
      </c>
      <c r="C1523" s="59" t="s">
        <v>3655</v>
      </c>
      <c r="D1523" s="49" t="s">
        <v>51</v>
      </c>
      <c r="E1523" s="49" t="s">
        <v>3248</v>
      </c>
      <c r="F1523" s="76" t="str">
        <f>IFERROR(IF(Tabla1[[#This Row],[CONCEPTO mx]]="","",VLOOKUP(Tabla1[[#This Row],[CONCEPTO mx]],Tabla2[#All],2,0)),"")</f>
        <v>CM1</v>
      </c>
      <c r="G1523" s="76" t="str">
        <f>IFERROR(IF(Tabla1[[#This Row],[CONCEPTO mx]]="","",VLOOKUP(Tabla1[[#This Row],[CONCEPTO mx]],Tabla2[#All],3,0)),"")</f>
        <v>Gestión Humana</v>
      </c>
      <c r="H1523" s="49" t="s">
        <v>438</v>
      </c>
      <c r="I1523" s="49" t="s">
        <v>2298</v>
      </c>
      <c r="J1523" s="49" t="s">
        <v>2314</v>
      </c>
    </row>
    <row r="1524" spans="1:12" x14ac:dyDescent="0.25">
      <c r="A1524" s="51">
        <v>43554</v>
      </c>
      <c r="B1524" s="84">
        <v>1027998263</v>
      </c>
      <c r="C1524" s="85" t="s">
        <v>3627</v>
      </c>
      <c r="D1524" s="49" t="s">
        <v>51</v>
      </c>
      <c r="E1524" s="49" t="s">
        <v>3315</v>
      </c>
      <c r="F1524" s="76" t="str">
        <f>IFERROR(IF(Tabla1[[#This Row],[CONCEPTO mx]]="","",VLOOKUP(Tabla1[[#This Row],[CONCEPTO mx]],Tabla2[#All],2,0)),"")</f>
        <v>CM40</v>
      </c>
      <c r="G1524" s="76" t="str">
        <f>IFERROR(IF(Tabla1[[#This Row],[CONCEPTO mx]]="","",VLOOKUP(Tabla1[[#This Row],[CONCEPTO mx]],Tabla2[#All],3,0)),"")</f>
        <v>SST</v>
      </c>
      <c r="H1524" s="49" t="s">
        <v>438</v>
      </c>
      <c r="I1524" s="49" t="s">
        <v>2298</v>
      </c>
      <c r="J1524" s="49" t="s">
        <v>2890</v>
      </c>
      <c r="K1524" s="51">
        <v>43545</v>
      </c>
      <c r="L1524" s="49" t="s">
        <v>3174</v>
      </c>
    </row>
    <row r="1525" spans="1:12" x14ac:dyDescent="0.25">
      <c r="A1525" s="51">
        <v>43554</v>
      </c>
      <c r="B1525" s="59">
        <v>1028009274</v>
      </c>
      <c r="C1525" s="59" t="s">
        <v>3644</v>
      </c>
      <c r="D1525" s="49" t="s">
        <v>51</v>
      </c>
      <c r="E1525" s="49" t="s">
        <v>3250</v>
      </c>
      <c r="F1525" s="76" t="str">
        <f>IFERROR(IF(Tabla1[[#This Row],[CONCEPTO mx]]="","",VLOOKUP(Tabla1[[#This Row],[CONCEPTO mx]],Tabla2[#All],2,0)),"")</f>
        <v>CM12</v>
      </c>
      <c r="G1525" s="76" t="str">
        <f>IFERROR(IF(Tabla1[[#This Row],[CONCEPTO mx]]="","",VLOOKUP(Tabla1[[#This Row],[CONCEPTO mx]],Tabla2[#All],3,0)),"")</f>
        <v>SST</v>
      </c>
      <c r="H1525" s="49" t="s">
        <v>438</v>
      </c>
      <c r="I1525" s="49" t="s">
        <v>2298</v>
      </c>
      <c r="J1525" s="49" t="s">
        <v>3645</v>
      </c>
      <c r="L1525" s="59" t="s">
        <v>2987</v>
      </c>
    </row>
    <row r="1526" spans="1:12" x14ac:dyDescent="0.25">
      <c r="A1526" s="51">
        <v>43554</v>
      </c>
      <c r="B1526" s="59">
        <v>1028005394</v>
      </c>
      <c r="C1526" s="59" t="s">
        <v>3647</v>
      </c>
      <c r="D1526" s="49" t="s">
        <v>51</v>
      </c>
      <c r="E1526" s="49" t="s">
        <v>3250</v>
      </c>
      <c r="F1526" s="76" t="str">
        <f>IFERROR(IF(Tabla1[[#This Row],[CONCEPTO mx]]="","",VLOOKUP(Tabla1[[#This Row],[CONCEPTO mx]],Tabla2[#All],2,0)),"")</f>
        <v>CM12</v>
      </c>
      <c r="G1526" s="76" t="str">
        <f>IFERROR(IF(Tabla1[[#This Row],[CONCEPTO mx]]="","",VLOOKUP(Tabla1[[#This Row],[CONCEPTO mx]],Tabla2[#All],3,0)),"")</f>
        <v>SST</v>
      </c>
      <c r="H1526" s="49" t="s">
        <v>484</v>
      </c>
      <c r="I1526" s="49" t="s">
        <v>2298</v>
      </c>
      <c r="J1526" s="49" t="s">
        <v>3648</v>
      </c>
      <c r="L1526" s="59" t="s">
        <v>2987</v>
      </c>
    </row>
    <row r="1527" spans="1:12" x14ac:dyDescent="0.25">
      <c r="A1527" s="51">
        <v>43554</v>
      </c>
      <c r="B1527" s="59">
        <v>11000264</v>
      </c>
      <c r="C1527" s="59" t="s">
        <v>3651</v>
      </c>
      <c r="D1527" s="49" t="s">
        <v>180</v>
      </c>
      <c r="E1527" s="49" t="s">
        <v>3184</v>
      </c>
      <c r="F1527" s="76" t="str">
        <f>IFERROR(IF(Tabla1[[#This Row],[CONCEPTO mx]]="","",VLOOKUP(Tabla1[[#This Row],[CONCEPTO mx]],Tabla2[#All],2,0)),"")</f>
        <v/>
      </c>
      <c r="G1527" s="76" t="str">
        <f>IFERROR(IF(Tabla1[[#This Row],[CONCEPTO mx]]="","",VLOOKUP(Tabla1[[#This Row],[CONCEPTO mx]],Tabla2[#All],3,0)),"")</f>
        <v/>
      </c>
      <c r="H1527" s="49" t="s">
        <v>439</v>
      </c>
      <c r="I1527" s="49" t="s">
        <v>2298</v>
      </c>
      <c r="J1527" s="49" t="s">
        <v>2845</v>
      </c>
      <c r="L1527" s="59" t="s">
        <v>3652</v>
      </c>
    </row>
    <row r="1528" spans="1:12" x14ac:dyDescent="0.25">
      <c r="A1528" s="51">
        <v>43554</v>
      </c>
      <c r="B1528" s="59">
        <v>1040373060</v>
      </c>
      <c r="C1528" s="59" t="s">
        <v>3656</v>
      </c>
      <c r="E1528" s="49" t="s">
        <v>2355</v>
      </c>
      <c r="F1528" s="76" t="str">
        <f>IFERROR(IF(Tabla1[[#This Row],[CONCEPTO mx]]="","",VLOOKUP(Tabla1[[#This Row],[CONCEPTO mx]],Tabla2[#All],2,0)),"")</f>
        <v>CM13</v>
      </c>
      <c r="G1528" s="76" t="str">
        <f>IFERROR(IF(Tabla1[[#This Row],[CONCEPTO mx]]="","",VLOOKUP(Tabla1[[#This Row],[CONCEPTO mx]],Tabla2[#All],3,0)),"")</f>
        <v>Gestión Humana</v>
      </c>
      <c r="H1528" s="49" t="s">
        <v>438</v>
      </c>
      <c r="I1528" s="49" t="s">
        <v>2298</v>
      </c>
      <c r="J1528" s="49" t="s">
        <v>2890</v>
      </c>
    </row>
    <row r="1529" spans="1:12" x14ac:dyDescent="0.25">
      <c r="A1529" s="51">
        <v>43554</v>
      </c>
      <c r="B1529" s="59">
        <v>1041269505</v>
      </c>
      <c r="C1529" s="59" t="s">
        <v>3658</v>
      </c>
      <c r="D1529" s="49" t="s">
        <v>51</v>
      </c>
      <c r="E1529" s="49" t="s">
        <v>3248</v>
      </c>
      <c r="F1529" s="76" t="str">
        <f>IFERROR(IF(Tabla1[[#This Row],[CONCEPTO mx]]="","",VLOOKUP(Tabla1[[#This Row],[CONCEPTO mx]],Tabla2[#All],2,0)),"")</f>
        <v>CM1</v>
      </c>
      <c r="G1529" s="76" t="str">
        <f>IFERROR(IF(Tabla1[[#This Row],[CONCEPTO mx]]="","",VLOOKUP(Tabla1[[#This Row],[CONCEPTO mx]],Tabla2[#All],3,0)),"")</f>
        <v>Gestión Humana</v>
      </c>
      <c r="H1529" s="49" t="s">
        <v>438</v>
      </c>
      <c r="I1529" s="49" t="s">
        <v>2298</v>
      </c>
      <c r="J1529" s="49" t="s">
        <v>3659</v>
      </c>
    </row>
    <row r="1530" spans="1:12" x14ac:dyDescent="0.25">
      <c r="A1530" s="51">
        <v>43554</v>
      </c>
      <c r="B1530" s="50">
        <v>71241326</v>
      </c>
      <c r="C1530" s="59" t="s">
        <v>3649</v>
      </c>
      <c r="D1530" s="49" t="s">
        <v>51</v>
      </c>
      <c r="E1530" s="49" t="s">
        <v>3315</v>
      </c>
      <c r="F1530" s="76" t="str">
        <f>IFERROR(IF(Tabla1[[#This Row],[CONCEPTO mx]]="","",VLOOKUP(Tabla1[[#This Row],[CONCEPTO mx]],Tabla2[#All],2,0)),"")</f>
        <v>CM40</v>
      </c>
      <c r="G1530" s="76" t="str">
        <f>IFERROR(IF(Tabla1[[#This Row],[CONCEPTO mx]]="","",VLOOKUP(Tabla1[[#This Row],[CONCEPTO mx]],Tabla2[#All],3,0)),"")</f>
        <v>SST</v>
      </c>
      <c r="H1530" s="49" t="s">
        <v>438</v>
      </c>
      <c r="I1530" s="49" t="s">
        <v>2298</v>
      </c>
      <c r="J1530" s="49" t="s">
        <v>3645</v>
      </c>
      <c r="L1530" s="59" t="s">
        <v>3650</v>
      </c>
    </row>
    <row r="1531" spans="1:12" x14ac:dyDescent="0.25">
      <c r="A1531" s="51">
        <v>43557</v>
      </c>
      <c r="B1531" s="59">
        <v>1028039764</v>
      </c>
      <c r="C1531" s="59" t="s">
        <v>3690</v>
      </c>
      <c r="D1531" s="49" t="s">
        <v>51</v>
      </c>
      <c r="E1531" s="49" t="s">
        <v>3197</v>
      </c>
      <c r="F1531" s="76" t="str">
        <f>IFERROR(IF(Tabla1[[#This Row],[CONCEPTO mx]]="","",VLOOKUP(Tabla1[[#This Row],[CONCEPTO mx]],Tabla2[#All],2,0)),"")</f>
        <v>CM14</v>
      </c>
      <c r="G1531" s="76" t="str">
        <f>IFERROR(IF(Tabla1[[#This Row],[CONCEPTO mx]]="","",VLOOKUP(Tabla1[[#This Row],[CONCEPTO mx]],Tabla2[#All],3,0)),"")</f>
        <v>SST</v>
      </c>
      <c r="H1531" s="49" t="s">
        <v>439</v>
      </c>
      <c r="I1531" s="49" t="s">
        <v>2298</v>
      </c>
      <c r="J1531" s="49" t="s">
        <v>3691</v>
      </c>
    </row>
    <row r="1532" spans="1:12" x14ac:dyDescent="0.25">
      <c r="A1532" s="51">
        <v>43557</v>
      </c>
      <c r="B1532" s="88">
        <v>1028029509</v>
      </c>
      <c r="C1532" s="59" t="s">
        <v>3664</v>
      </c>
      <c r="D1532" s="49" t="s">
        <v>51</v>
      </c>
      <c r="E1532" s="49" t="s">
        <v>3248</v>
      </c>
      <c r="F1532" s="76" t="str">
        <f>IFERROR(IF(Tabla1[[#This Row],[CONCEPTO mx]]="","",VLOOKUP(Tabla1[[#This Row],[CONCEPTO mx]],Tabla2[#All],2,0)),"")</f>
        <v>CM1</v>
      </c>
      <c r="G1532" s="76" t="str">
        <f>IFERROR(IF(Tabla1[[#This Row],[CONCEPTO mx]]="","",VLOOKUP(Tabla1[[#This Row],[CONCEPTO mx]],Tabla2[#All],3,0)),"")</f>
        <v>Gestión Humana</v>
      </c>
      <c r="H1532" s="49" t="s">
        <v>388</v>
      </c>
      <c r="I1532" s="49" t="s">
        <v>2512</v>
      </c>
    </row>
    <row r="1533" spans="1:12" x14ac:dyDescent="0.25">
      <c r="A1533" s="51">
        <v>43557</v>
      </c>
      <c r="B1533" s="50">
        <v>1038796164</v>
      </c>
      <c r="C1533" s="59" t="s">
        <v>3704</v>
      </c>
      <c r="D1533" s="49" t="s">
        <v>180</v>
      </c>
      <c r="E1533" s="49" t="s">
        <v>3185</v>
      </c>
      <c r="F1533" s="76" t="str">
        <f>IFERROR(IF(Tabla1[[#This Row],[CONCEPTO mx]]="","",VLOOKUP(Tabla1[[#This Row],[CONCEPTO mx]],Tabla2[#All],2,0)),"")</f>
        <v>CM5</v>
      </c>
      <c r="G1533" s="76" t="str">
        <f>IFERROR(IF(Tabla1[[#This Row],[CONCEPTO mx]]="","",VLOOKUP(Tabla1[[#This Row],[CONCEPTO mx]],Tabla2[#All],3,0)),"")</f>
        <v>SST</v>
      </c>
      <c r="H1533" s="49" t="s">
        <v>438</v>
      </c>
      <c r="I1533" s="49" t="s">
        <v>2298</v>
      </c>
      <c r="J1533" s="49" t="s">
        <v>3705</v>
      </c>
      <c r="L1533" s="59" t="s">
        <v>3706</v>
      </c>
    </row>
    <row r="1534" spans="1:12" x14ac:dyDescent="0.25">
      <c r="A1534" s="51">
        <v>43557</v>
      </c>
      <c r="B1534" s="59">
        <v>22172766</v>
      </c>
      <c r="C1534" s="59" t="s">
        <v>3700</v>
      </c>
      <c r="D1534" s="49" t="s">
        <v>180</v>
      </c>
      <c r="E1534" s="49" t="s">
        <v>3188</v>
      </c>
      <c r="F1534" s="76" t="str">
        <f>IFERROR(IF(Tabla1[[#This Row],[CONCEPTO mx]]="","",VLOOKUP(Tabla1[[#This Row],[CONCEPTO mx]],Tabla2[#All],2,0)),"")</f>
        <v>CM7</v>
      </c>
      <c r="G1534" s="76" t="str">
        <f>IFERROR(IF(Tabla1[[#This Row],[CONCEPTO mx]]="","",VLOOKUP(Tabla1[[#This Row],[CONCEPTO mx]],Tabla2[#All],3,0)),"")</f>
        <v>SST</v>
      </c>
      <c r="H1534" s="49" t="s">
        <v>470</v>
      </c>
      <c r="I1534" s="49" t="s">
        <v>2298</v>
      </c>
      <c r="J1534" s="49" t="s">
        <v>2848</v>
      </c>
    </row>
    <row r="1535" spans="1:12" x14ac:dyDescent="0.25">
      <c r="A1535" s="51">
        <v>43557</v>
      </c>
      <c r="B1535" s="59">
        <v>43149625</v>
      </c>
      <c r="C1535" s="59" t="s">
        <v>3672</v>
      </c>
      <c r="D1535" s="49" t="s">
        <v>51</v>
      </c>
      <c r="E1535" s="49" t="s">
        <v>3315</v>
      </c>
      <c r="F1535" s="76" t="str">
        <f>IFERROR(IF(Tabla1[[#This Row],[CONCEPTO mx]]="","",VLOOKUP(Tabla1[[#This Row],[CONCEPTO mx]],Tabla2[#All],2,0)),"")</f>
        <v>CM40</v>
      </c>
      <c r="G1535" s="76" t="str">
        <f>IFERROR(IF(Tabla1[[#This Row],[CONCEPTO mx]]="","",VLOOKUP(Tabla1[[#This Row],[CONCEPTO mx]],Tabla2[#All],3,0)),"")</f>
        <v>SST</v>
      </c>
      <c r="H1535" s="49" t="s">
        <v>3519</v>
      </c>
      <c r="I1535" s="49" t="s">
        <v>2298</v>
      </c>
      <c r="J1535" s="49" t="s">
        <v>3673</v>
      </c>
      <c r="L1535" s="49" t="s">
        <v>3715</v>
      </c>
    </row>
    <row r="1536" spans="1:12" x14ac:dyDescent="0.25">
      <c r="A1536" s="51">
        <v>43557</v>
      </c>
      <c r="B1536" s="59">
        <v>71240790</v>
      </c>
      <c r="C1536" s="59" t="s">
        <v>3703</v>
      </c>
      <c r="D1536" s="49" t="s">
        <v>51</v>
      </c>
      <c r="E1536" s="49" t="s">
        <v>3315</v>
      </c>
      <c r="F1536" s="76" t="str">
        <f>IFERROR(IF(Tabla1[[#This Row],[CONCEPTO mx]]="","",VLOOKUP(Tabla1[[#This Row],[CONCEPTO mx]],Tabla2[#All],2,0)),"")</f>
        <v>CM40</v>
      </c>
      <c r="G1536" s="76" t="str">
        <f>IFERROR(IF(Tabla1[[#This Row],[CONCEPTO mx]]="","",VLOOKUP(Tabla1[[#This Row],[CONCEPTO mx]],Tabla2[#All],3,0)),"")</f>
        <v>SST</v>
      </c>
      <c r="H1536" s="49" t="s">
        <v>542</v>
      </c>
      <c r="I1536" s="49" t="s">
        <v>2298</v>
      </c>
      <c r="J1536" s="49" t="s">
        <v>2314</v>
      </c>
      <c r="L1536" s="59" t="s">
        <v>3147</v>
      </c>
    </row>
    <row r="1537" spans="1:12" x14ac:dyDescent="0.25">
      <c r="A1537" s="51">
        <v>43557</v>
      </c>
      <c r="C1537" s="59" t="s">
        <v>3683</v>
      </c>
      <c r="D1537" s="49" t="s">
        <v>51</v>
      </c>
      <c r="E1537" s="49" t="s">
        <v>3249</v>
      </c>
      <c r="F1537" s="76" t="str">
        <f>IFERROR(IF(Tabla1[[#This Row],[CONCEPTO mx]]="","",VLOOKUP(Tabla1[[#This Row],[CONCEPTO mx]],Tabla2[#All],2,0)),"")</f>
        <v>CM3</v>
      </c>
      <c r="G1537" s="76" t="str">
        <f>IFERROR(IF(Tabla1[[#This Row],[CONCEPTO mx]]="","",VLOOKUP(Tabla1[[#This Row],[CONCEPTO mx]],Tabla2[#All],3,0)),"")</f>
        <v>SST</v>
      </c>
      <c r="H1537" s="49" t="s">
        <v>484</v>
      </c>
      <c r="I1537" s="49" t="s">
        <v>2298</v>
      </c>
      <c r="J1537" s="49" t="s">
        <v>3682</v>
      </c>
    </row>
    <row r="1538" spans="1:12" x14ac:dyDescent="0.25">
      <c r="A1538" s="51">
        <v>43557</v>
      </c>
      <c r="B1538" s="59">
        <v>8437455</v>
      </c>
      <c r="C1538" s="59" t="s">
        <v>3686</v>
      </c>
      <c r="D1538" s="49" t="s">
        <v>51</v>
      </c>
      <c r="E1538" s="49" t="s">
        <v>3250</v>
      </c>
      <c r="F1538" s="76" t="str">
        <f>IFERROR(IF(Tabla1[[#This Row],[CONCEPTO mx]]="","",VLOOKUP(Tabla1[[#This Row],[CONCEPTO mx]],Tabla2[#All],2,0)),"")</f>
        <v>CM12</v>
      </c>
      <c r="G1538" s="76" t="str">
        <f>IFERROR(IF(Tabla1[[#This Row],[CONCEPTO mx]]="","",VLOOKUP(Tabla1[[#This Row],[CONCEPTO mx]],Tabla2[#All],3,0)),"")</f>
        <v>SST</v>
      </c>
      <c r="H1538" s="49" t="s">
        <v>516</v>
      </c>
      <c r="I1538" s="49" t="s">
        <v>2298</v>
      </c>
      <c r="J1538" s="49" t="s">
        <v>3707</v>
      </c>
      <c r="L1538" s="59" t="s">
        <v>3711</v>
      </c>
    </row>
    <row r="1539" spans="1:12" x14ac:dyDescent="0.25">
      <c r="A1539" s="51">
        <v>43557</v>
      </c>
      <c r="B1539" s="59">
        <v>1045521085</v>
      </c>
      <c r="C1539" s="59" t="s">
        <v>3665</v>
      </c>
      <c r="D1539" s="54" t="s">
        <v>51</v>
      </c>
      <c r="E1539" s="49" t="s">
        <v>3315</v>
      </c>
      <c r="F1539" s="76" t="str">
        <f>IFERROR(IF(Tabla1[[#This Row],[CONCEPTO mx]]="","",VLOOKUP(Tabla1[[#This Row],[CONCEPTO mx]],Tabla2[#All],2,0)),"")</f>
        <v>CM40</v>
      </c>
      <c r="G1539" s="76" t="str">
        <f>IFERROR(IF(Tabla1[[#This Row],[CONCEPTO mx]]="","",VLOOKUP(Tabla1[[#This Row],[CONCEPTO mx]],Tabla2[#All],3,0)),"")</f>
        <v>SST</v>
      </c>
      <c r="H1539" s="49" t="s">
        <v>388</v>
      </c>
      <c r="I1539" s="49" t="s">
        <v>2298</v>
      </c>
      <c r="J1539" s="49" t="s">
        <v>2353</v>
      </c>
      <c r="L1539" s="59" t="s">
        <v>3713</v>
      </c>
    </row>
    <row r="1540" spans="1:12" x14ac:dyDescent="0.25">
      <c r="A1540" s="51">
        <v>43557</v>
      </c>
      <c r="B1540" s="59">
        <v>1033368948</v>
      </c>
      <c r="C1540" s="59" t="s">
        <v>3674</v>
      </c>
      <c r="D1540" s="49" t="s">
        <v>51</v>
      </c>
      <c r="E1540" s="49" t="s">
        <v>3315</v>
      </c>
      <c r="F1540" s="76" t="str">
        <f>IFERROR(IF(Tabla1[[#This Row],[CONCEPTO mx]]="","",VLOOKUP(Tabla1[[#This Row],[CONCEPTO mx]],Tabla2[#All],2,0)),"")</f>
        <v>CM40</v>
      </c>
      <c r="G1540" s="76" t="str">
        <f>IFERROR(IF(Tabla1[[#This Row],[CONCEPTO mx]]="","",VLOOKUP(Tabla1[[#This Row],[CONCEPTO mx]],Tabla2[#All],3,0)),"")</f>
        <v>SST</v>
      </c>
      <c r="H1540" s="49" t="s">
        <v>484</v>
      </c>
      <c r="I1540" s="49" t="s">
        <v>2298</v>
      </c>
      <c r="J1540" s="49" t="s">
        <v>3676</v>
      </c>
      <c r="L1540" s="59" t="s">
        <v>3675</v>
      </c>
    </row>
    <row r="1541" spans="1:12" x14ac:dyDescent="0.25">
      <c r="A1541" s="51">
        <v>43557</v>
      </c>
      <c r="B1541" s="59">
        <v>8436926</v>
      </c>
      <c r="C1541" s="59" t="s">
        <v>3685</v>
      </c>
      <c r="D1541" s="49" t="s">
        <v>180</v>
      </c>
      <c r="E1541" s="49" t="s">
        <v>3185</v>
      </c>
      <c r="F1541" s="76" t="str">
        <f>IFERROR(IF(Tabla1[[#This Row],[CONCEPTO mx]]="","",VLOOKUP(Tabla1[[#This Row],[CONCEPTO mx]],Tabla2[#All],2,0)),"")</f>
        <v>CM5</v>
      </c>
      <c r="G1541" s="76" t="str">
        <f>IFERROR(IF(Tabla1[[#This Row],[CONCEPTO mx]]="","",VLOOKUP(Tabla1[[#This Row],[CONCEPTO mx]],Tabla2[#All],3,0)),"")</f>
        <v>SST</v>
      </c>
      <c r="H1541" s="49" t="s">
        <v>357</v>
      </c>
      <c r="I1541" s="49" t="s">
        <v>2298</v>
      </c>
      <c r="J1541" s="49" t="s">
        <v>3682</v>
      </c>
      <c r="L1541" s="59" t="s">
        <v>3684</v>
      </c>
    </row>
    <row r="1542" spans="1:12" x14ac:dyDescent="0.25">
      <c r="A1542" s="51">
        <v>43557</v>
      </c>
      <c r="B1542" s="59">
        <v>10740361118</v>
      </c>
      <c r="C1542" s="59" t="s">
        <v>3698</v>
      </c>
      <c r="D1542" s="49" t="s">
        <v>51</v>
      </c>
      <c r="E1542" s="49" t="s">
        <v>3250</v>
      </c>
      <c r="F1542" s="76" t="str">
        <f>IFERROR(IF(Tabla1[[#This Row],[CONCEPTO mx]]="","",VLOOKUP(Tabla1[[#This Row],[CONCEPTO mx]],Tabla2[#All],2,0)),"")</f>
        <v>CM12</v>
      </c>
      <c r="G1542" s="76" t="str">
        <f>IFERROR(IF(Tabla1[[#This Row],[CONCEPTO mx]]="","",VLOOKUP(Tabla1[[#This Row],[CONCEPTO mx]],Tabla2[#All],3,0)),"")</f>
        <v>SST</v>
      </c>
      <c r="H1542" s="49" t="s">
        <v>516</v>
      </c>
      <c r="I1542" s="49" t="s">
        <v>2298</v>
      </c>
      <c r="J1542" s="49" t="s">
        <v>3645</v>
      </c>
      <c r="L1542" s="59" t="s">
        <v>3699</v>
      </c>
    </row>
    <row r="1543" spans="1:12" x14ac:dyDescent="0.25">
      <c r="A1543" s="51">
        <v>43557</v>
      </c>
      <c r="B1543" s="59">
        <v>1040358414</v>
      </c>
      <c r="C1543" s="59" t="s">
        <v>3677</v>
      </c>
      <c r="D1543" s="49" t="s">
        <v>180</v>
      </c>
      <c r="E1543" s="49" t="s">
        <v>3679</v>
      </c>
      <c r="F1543" s="76" t="str">
        <f>IFERROR(IF(Tabla1[[#This Row],[CONCEPTO mx]]="","",VLOOKUP(Tabla1[[#This Row],[CONCEPTO mx]],Tabla2[#All],2,0)),"")</f>
        <v>CM45</v>
      </c>
      <c r="G1543" s="76" t="str">
        <f>IFERROR(IF(Tabla1[[#This Row],[CONCEPTO mx]]="","",VLOOKUP(Tabla1[[#This Row],[CONCEPTO mx]],Tabla2[#All],3,0)),"")</f>
        <v>SST</v>
      </c>
      <c r="H1543" s="49" t="s">
        <v>438</v>
      </c>
      <c r="I1543" s="49" t="s">
        <v>2298</v>
      </c>
      <c r="J1543" s="49" t="s">
        <v>2353</v>
      </c>
      <c r="L1543" s="59" t="s">
        <v>3678</v>
      </c>
    </row>
    <row r="1544" spans="1:12" x14ac:dyDescent="0.25">
      <c r="A1544" s="51">
        <v>43557</v>
      </c>
      <c r="B1544" s="59">
        <v>1001031677</v>
      </c>
      <c r="C1544" s="59" t="s">
        <v>3670</v>
      </c>
      <c r="D1544" s="49" t="s">
        <v>180</v>
      </c>
      <c r="E1544" s="49" t="s">
        <v>3187</v>
      </c>
      <c r="F1544" s="76" t="str">
        <f>IFERROR(IF(Tabla1[[#This Row],[CONCEPTO mx]]="","",VLOOKUP(Tabla1[[#This Row],[CONCEPTO mx]],Tabla2[#All],2,0)),"")</f>
        <v>CM8</v>
      </c>
      <c r="G1544" s="76" t="str">
        <f>IFERROR(IF(Tabla1[[#This Row],[CONCEPTO mx]]="","",VLOOKUP(Tabla1[[#This Row],[CONCEPTO mx]],Tabla2[#All],3,0)),"")</f>
        <v>Gestión Humana</v>
      </c>
      <c r="H1544" s="49" t="s">
        <v>439</v>
      </c>
      <c r="I1544" s="49" t="s">
        <v>2298</v>
      </c>
      <c r="J1544" s="49" t="s">
        <v>2319</v>
      </c>
      <c r="L1544" s="59" t="s">
        <v>3671</v>
      </c>
    </row>
    <row r="1545" spans="1:12" x14ac:dyDescent="0.25">
      <c r="A1545" s="51">
        <v>43557</v>
      </c>
      <c r="B1545" s="59">
        <v>1001024658</v>
      </c>
      <c r="C1545" s="59" t="s">
        <v>3696</v>
      </c>
      <c r="D1545" s="49" t="s">
        <v>51</v>
      </c>
      <c r="E1545" s="49" t="s">
        <v>2401</v>
      </c>
      <c r="F1545" s="76" t="str">
        <f>IFERROR(IF(Tabla1[[#This Row],[CONCEPTO mx]]="","",VLOOKUP(Tabla1[[#This Row],[CONCEPTO mx]],Tabla2[#All],2,0)),"")</f>
        <v>CM28</v>
      </c>
      <c r="G1545" s="76" t="str">
        <f>IFERROR(IF(Tabla1[[#This Row],[CONCEPTO mx]]="","",VLOOKUP(Tabla1[[#This Row],[CONCEPTO mx]],Tabla2[#All],3,0)),"")</f>
        <v>SST</v>
      </c>
      <c r="H1545" s="49" t="s">
        <v>486</v>
      </c>
      <c r="I1545" s="49" t="s">
        <v>2298</v>
      </c>
      <c r="J1545" s="49" t="s">
        <v>3697</v>
      </c>
    </row>
    <row r="1546" spans="1:12" x14ac:dyDescent="0.25">
      <c r="A1546" s="51">
        <v>43557</v>
      </c>
      <c r="B1546" s="59">
        <v>32356245</v>
      </c>
      <c r="C1546" s="59" t="s">
        <v>3687</v>
      </c>
      <c r="D1546" s="49" t="s">
        <v>51</v>
      </c>
      <c r="E1546" s="49" t="s">
        <v>3315</v>
      </c>
      <c r="F1546" s="76" t="str">
        <f>IFERROR(IF(Tabla1[[#This Row],[CONCEPTO mx]]="","",VLOOKUP(Tabla1[[#This Row],[CONCEPTO mx]],Tabla2[#All],2,0)),"")</f>
        <v>CM40</v>
      </c>
      <c r="G1546" s="76" t="str">
        <f>IFERROR(IF(Tabla1[[#This Row],[CONCEPTO mx]]="","",VLOOKUP(Tabla1[[#This Row],[CONCEPTO mx]],Tabla2[#All],3,0)),"")</f>
        <v>SST</v>
      </c>
      <c r="H1546" s="49" t="s">
        <v>3523</v>
      </c>
      <c r="I1546" s="49" t="s">
        <v>2298</v>
      </c>
      <c r="J1546" s="49" t="s">
        <v>3688</v>
      </c>
      <c r="L1546" s="49" t="s">
        <v>3188</v>
      </c>
    </row>
    <row r="1547" spans="1:12" x14ac:dyDescent="0.25">
      <c r="A1547" s="51">
        <v>43557</v>
      </c>
      <c r="B1547" s="59">
        <v>32273959</v>
      </c>
      <c r="C1547" s="59" t="s">
        <v>3695</v>
      </c>
      <c r="D1547" s="49" t="s">
        <v>51</v>
      </c>
      <c r="E1547" s="49" t="s">
        <v>3197</v>
      </c>
      <c r="F1547" s="76" t="str">
        <f>IFERROR(IF(Tabla1[[#This Row],[CONCEPTO mx]]="","",VLOOKUP(Tabla1[[#This Row],[CONCEPTO mx]],Tabla2[#All],2,0)),"")</f>
        <v>CM14</v>
      </c>
      <c r="G1547" s="76" t="str">
        <f>IFERROR(IF(Tabla1[[#This Row],[CONCEPTO mx]]="","",VLOOKUP(Tabla1[[#This Row],[CONCEPTO mx]],Tabla2[#All],3,0)),"")</f>
        <v>SST</v>
      </c>
      <c r="H1547" s="49" t="s">
        <v>438</v>
      </c>
      <c r="I1547" s="49" t="s">
        <v>2298</v>
      </c>
      <c r="J1547" s="49" t="s">
        <v>3645</v>
      </c>
    </row>
    <row r="1548" spans="1:12" x14ac:dyDescent="0.25">
      <c r="A1548" s="51">
        <v>43557</v>
      </c>
      <c r="B1548" s="59">
        <v>1040366167</v>
      </c>
      <c r="C1548" s="59" t="s">
        <v>3669</v>
      </c>
      <c r="D1548" s="49" t="s">
        <v>51</v>
      </c>
      <c r="E1548" s="49" t="s">
        <v>3315</v>
      </c>
      <c r="F1548" s="76" t="str">
        <f>IFERROR(IF(Tabla1[[#This Row],[CONCEPTO mx]]="","",VLOOKUP(Tabla1[[#This Row],[CONCEPTO mx]],Tabla2[#All],2,0)),"")</f>
        <v>CM40</v>
      </c>
      <c r="G1548" s="76" t="str">
        <f>IFERROR(IF(Tabla1[[#This Row],[CONCEPTO mx]]="","",VLOOKUP(Tabla1[[#This Row],[CONCEPTO mx]],Tabla2[#All],3,0)),"")</f>
        <v>SST</v>
      </c>
      <c r="H1548" s="49" t="s">
        <v>406</v>
      </c>
      <c r="I1548" s="49" t="s">
        <v>2298</v>
      </c>
      <c r="J1548" s="49" t="s">
        <v>2848</v>
      </c>
      <c r="L1548" s="49" t="s">
        <v>3714</v>
      </c>
    </row>
    <row r="1549" spans="1:12" x14ac:dyDescent="0.25">
      <c r="A1549" s="51">
        <v>43557</v>
      </c>
      <c r="B1549" s="59">
        <v>1038820511</v>
      </c>
      <c r="C1549" s="59" t="s">
        <v>3692</v>
      </c>
      <c r="D1549" s="49" t="s">
        <v>51</v>
      </c>
      <c r="E1549" s="49" t="s">
        <v>3248</v>
      </c>
      <c r="F1549" s="76" t="str">
        <f>IFERROR(IF(Tabla1[[#This Row],[CONCEPTO mx]]="","",VLOOKUP(Tabla1[[#This Row],[CONCEPTO mx]],Tabla2[#All],2,0)),"")</f>
        <v>CM1</v>
      </c>
      <c r="G1549" s="76" t="str">
        <f>IFERROR(IF(Tabla1[[#This Row],[CONCEPTO mx]]="","",VLOOKUP(Tabla1[[#This Row],[CONCEPTO mx]],Tabla2[#All],3,0)),"")</f>
        <v>Gestión Humana</v>
      </c>
      <c r="H1549" s="49" t="s">
        <v>2391</v>
      </c>
      <c r="I1549" s="49" t="s">
        <v>2298</v>
      </c>
      <c r="J1549" s="49" t="s">
        <v>3645</v>
      </c>
    </row>
    <row r="1550" spans="1:12" x14ac:dyDescent="0.25">
      <c r="A1550" s="51">
        <v>43557</v>
      </c>
      <c r="B1550" s="59">
        <v>8169028</v>
      </c>
      <c r="C1550" s="59" t="s">
        <v>3667</v>
      </c>
      <c r="D1550" s="54" t="s">
        <v>51</v>
      </c>
      <c r="E1550" s="49" t="s">
        <v>3315</v>
      </c>
      <c r="F1550" s="76" t="str">
        <f>IFERROR(IF(Tabla1[[#This Row],[CONCEPTO mx]]="","",VLOOKUP(Tabla1[[#This Row],[CONCEPTO mx]],Tabla2[#All],2,0)),"")</f>
        <v>CM40</v>
      </c>
      <c r="G1550" s="76" t="str">
        <f>IFERROR(IF(Tabla1[[#This Row],[CONCEPTO mx]]="","",VLOOKUP(Tabla1[[#This Row],[CONCEPTO mx]],Tabla2[#All],3,0)),"")</f>
        <v>SST</v>
      </c>
      <c r="H1550" s="49" t="s">
        <v>439</v>
      </c>
      <c r="I1550" s="49" t="s">
        <v>2298</v>
      </c>
      <c r="J1550" s="49" t="s">
        <v>2319</v>
      </c>
      <c r="L1550" s="59" t="s">
        <v>3668</v>
      </c>
    </row>
    <row r="1551" spans="1:12" x14ac:dyDescent="0.25">
      <c r="A1551" s="51">
        <v>43557</v>
      </c>
      <c r="B1551" s="59">
        <v>98613484</v>
      </c>
      <c r="C1551" s="59" t="s">
        <v>3701</v>
      </c>
      <c r="D1551" s="49" t="s">
        <v>51</v>
      </c>
      <c r="E1551" s="49" t="s">
        <v>3248</v>
      </c>
      <c r="F1551" s="76" t="str">
        <f>IFERROR(IF(Tabla1[[#This Row],[CONCEPTO mx]]="","",VLOOKUP(Tabla1[[#This Row],[CONCEPTO mx]],Tabla2[#All],2,0)),"")</f>
        <v>CM1</v>
      </c>
      <c r="G1551" s="76" t="str">
        <f>IFERROR(IF(Tabla1[[#This Row],[CONCEPTO mx]]="","",VLOOKUP(Tabla1[[#This Row],[CONCEPTO mx]],Tabla2[#All],3,0)),"")</f>
        <v>Gestión Humana</v>
      </c>
      <c r="H1551" s="49" t="s">
        <v>628</v>
      </c>
      <c r="I1551" s="49" t="s">
        <v>2298</v>
      </c>
      <c r="J1551" s="49" t="s">
        <v>2811</v>
      </c>
    </row>
    <row r="1552" spans="1:12" x14ac:dyDescent="0.25">
      <c r="A1552" s="51">
        <v>43557</v>
      </c>
      <c r="B1552" s="59">
        <v>1028033019</v>
      </c>
      <c r="C1552" s="59" t="s">
        <v>3702</v>
      </c>
      <c r="D1552" s="49" t="s">
        <v>51</v>
      </c>
      <c r="E1552" s="49" t="s">
        <v>3250</v>
      </c>
      <c r="F1552" s="76" t="str">
        <f>IFERROR(IF(Tabla1[[#This Row],[CONCEPTO mx]]="","",VLOOKUP(Tabla1[[#This Row],[CONCEPTO mx]],Tabla2[#All],2,0)),"")</f>
        <v>CM12</v>
      </c>
      <c r="G1552" s="76" t="str">
        <f>IFERROR(IF(Tabla1[[#This Row],[CONCEPTO mx]]="","",VLOOKUP(Tabla1[[#This Row],[CONCEPTO mx]],Tabla2[#All],3,0)),"")</f>
        <v>SST</v>
      </c>
      <c r="H1552" s="49" t="s">
        <v>387</v>
      </c>
      <c r="I1552" s="49" t="s">
        <v>2512</v>
      </c>
      <c r="L1552" s="49" t="s">
        <v>3716</v>
      </c>
    </row>
    <row r="1553" spans="1:12" x14ac:dyDescent="0.25">
      <c r="A1553" s="51">
        <v>43557</v>
      </c>
      <c r="B1553" s="59">
        <v>1039653281</v>
      </c>
      <c r="C1553" s="59" t="s">
        <v>3689</v>
      </c>
      <c r="D1553" s="49" t="s">
        <v>51</v>
      </c>
      <c r="E1553" s="49" t="s">
        <v>3248</v>
      </c>
      <c r="F1553" s="76" t="str">
        <f>IFERROR(IF(Tabla1[[#This Row],[CONCEPTO mx]]="","",VLOOKUP(Tabla1[[#This Row],[CONCEPTO mx]],Tabla2[#All],2,0)),"")</f>
        <v>CM1</v>
      </c>
      <c r="G1553" s="76" t="str">
        <f>IFERROR(IF(Tabla1[[#This Row],[CONCEPTO mx]]="","",VLOOKUP(Tabla1[[#This Row],[CONCEPTO mx]],Tabla2[#All],3,0)),"")</f>
        <v>Gestión Humana</v>
      </c>
      <c r="H1553" s="49" t="s">
        <v>441</v>
      </c>
      <c r="I1553" s="49" t="s">
        <v>2512</v>
      </c>
    </row>
    <row r="1554" spans="1:12" x14ac:dyDescent="0.25">
      <c r="A1554" s="51">
        <v>43558</v>
      </c>
      <c r="B1554" s="59">
        <v>1152711776</v>
      </c>
      <c r="C1554" s="59" t="s">
        <v>3717</v>
      </c>
      <c r="D1554" s="49" t="s">
        <v>51</v>
      </c>
      <c r="E1554" s="49" t="s">
        <v>3197</v>
      </c>
      <c r="F1554" s="76" t="str">
        <f>IFERROR(IF(Tabla1[[#This Row],[CONCEPTO mx]]="","",VLOOKUP(Tabla1[[#This Row],[CONCEPTO mx]],Tabla2[#All],2,0)),"")</f>
        <v>CM14</v>
      </c>
      <c r="G1554" s="76" t="str">
        <f>IFERROR(IF(Tabla1[[#This Row],[CONCEPTO mx]]="","",VLOOKUP(Tabla1[[#This Row],[CONCEPTO mx]],Tabla2[#All],3,0)),"")</f>
        <v>SST</v>
      </c>
      <c r="H1554" s="49" t="s">
        <v>357</v>
      </c>
      <c r="I1554" s="49" t="s">
        <v>2512</v>
      </c>
    </row>
    <row r="1555" spans="1:12" x14ac:dyDescent="0.25">
      <c r="A1555" s="51">
        <v>43559</v>
      </c>
      <c r="B1555" s="84">
        <v>1027960542</v>
      </c>
      <c r="C1555" s="59" t="s">
        <v>3619</v>
      </c>
      <c r="D1555" s="49" t="s">
        <v>51</v>
      </c>
      <c r="E1555" s="49" t="s">
        <v>3315</v>
      </c>
      <c r="F1555" s="76" t="str">
        <f>IFERROR(IF(Tabla1[[#This Row],[CONCEPTO mx]]="","",VLOOKUP(Tabla1[[#This Row],[CONCEPTO mx]],Tabla2[#All],2,0)),"")</f>
        <v>CM40</v>
      </c>
      <c r="G1555" s="76" t="str">
        <f>IFERROR(IF(Tabla1[[#This Row],[CONCEPTO mx]]="","",VLOOKUP(Tabla1[[#This Row],[CONCEPTO mx]],Tabla2[#All],3,0)),"")</f>
        <v>SST</v>
      </c>
      <c r="H1555" s="49" t="s">
        <v>438</v>
      </c>
      <c r="I1555" s="49" t="s">
        <v>2298</v>
      </c>
      <c r="J1555" s="49" t="s">
        <v>2890</v>
      </c>
      <c r="K1555" s="51">
        <v>43545</v>
      </c>
      <c r="L1555" s="59" t="s">
        <v>3718</v>
      </c>
    </row>
    <row r="1556" spans="1:12" x14ac:dyDescent="0.25">
      <c r="A1556" s="51">
        <v>43559</v>
      </c>
      <c r="C1556" s="59" t="s">
        <v>3730</v>
      </c>
      <c r="D1556" s="49" t="s">
        <v>51</v>
      </c>
      <c r="E1556" s="49" t="s">
        <v>3249</v>
      </c>
      <c r="F1556" s="76" t="str">
        <f>IFERROR(IF(Tabla1[[#This Row],[CONCEPTO mx]]="","",VLOOKUP(Tabla1[[#This Row],[CONCEPTO mx]],Tabla2[#All],2,0)),"")</f>
        <v>CM3</v>
      </c>
      <c r="G1556" s="76" t="str">
        <f>IFERROR(IF(Tabla1[[#This Row],[CONCEPTO mx]]="","",VLOOKUP(Tabla1[[#This Row],[CONCEPTO mx]],Tabla2[#All],3,0)),"")</f>
        <v>SST</v>
      </c>
      <c r="H1556" s="49" t="s">
        <v>3731</v>
      </c>
      <c r="I1556" s="49" t="s">
        <v>2298</v>
      </c>
      <c r="J1556" s="49" t="s">
        <v>2792</v>
      </c>
    </row>
    <row r="1557" spans="1:12" x14ac:dyDescent="0.25">
      <c r="A1557" s="51">
        <v>43559</v>
      </c>
      <c r="B1557" s="59">
        <v>1040363222</v>
      </c>
      <c r="C1557" s="59" t="s">
        <v>3721</v>
      </c>
      <c r="D1557" s="49" t="s">
        <v>51</v>
      </c>
      <c r="E1557" s="49" t="s">
        <v>3249</v>
      </c>
      <c r="F1557" s="76" t="str">
        <f>IFERROR(IF(Tabla1[[#This Row],[CONCEPTO mx]]="","",VLOOKUP(Tabla1[[#This Row],[CONCEPTO mx]],Tabla2[#All],2,0)),"")</f>
        <v>CM3</v>
      </c>
      <c r="G1557" s="76" t="str">
        <f>IFERROR(IF(Tabla1[[#This Row],[CONCEPTO mx]]="","",VLOOKUP(Tabla1[[#This Row],[CONCEPTO mx]],Tabla2[#All],3,0)),"")</f>
        <v>SST</v>
      </c>
      <c r="H1557" s="49" t="s">
        <v>484</v>
      </c>
      <c r="I1557" s="49" t="s">
        <v>2298</v>
      </c>
      <c r="J1557" s="49" t="s">
        <v>3720</v>
      </c>
      <c r="L1557" s="77"/>
    </row>
    <row r="1558" spans="1:12" x14ac:dyDescent="0.25">
      <c r="A1558" s="51">
        <v>43559</v>
      </c>
      <c r="B1558" s="59">
        <v>1038813907</v>
      </c>
      <c r="C1558" s="59" t="s">
        <v>3737</v>
      </c>
      <c r="D1558" s="49" t="s">
        <v>51</v>
      </c>
      <c r="E1558" s="49" t="s">
        <v>3248</v>
      </c>
      <c r="F1558" s="76" t="str">
        <f>IFERROR(IF(Tabla1[[#This Row],[CONCEPTO mx]]="","",VLOOKUP(Tabla1[[#This Row],[CONCEPTO mx]],Tabla2[#All],2,0)),"")</f>
        <v>CM1</v>
      </c>
      <c r="G1558" s="76" t="str">
        <f>IFERROR(IF(Tabla1[[#This Row],[CONCEPTO mx]]="","",VLOOKUP(Tabla1[[#This Row],[CONCEPTO mx]],Tabla2[#All],3,0)),"")</f>
        <v>Gestión Humana</v>
      </c>
      <c r="H1558" s="49" t="s">
        <v>2391</v>
      </c>
      <c r="I1558" s="49" t="s">
        <v>2298</v>
      </c>
      <c r="J1558" s="49" t="s">
        <v>3634</v>
      </c>
    </row>
    <row r="1559" spans="1:12" x14ac:dyDescent="0.25">
      <c r="A1559" s="51">
        <v>43559</v>
      </c>
      <c r="C1559" s="59" t="s">
        <v>3725</v>
      </c>
      <c r="D1559" s="49" t="s">
        <v>51</v>
      </c>
      <c r="E1559" s="49" t="s">
        <v>3315</v>
      </c>
      <c r="F1559" s="76" t="str">
        <f>IFERROR(IF(Tabla1[[#This Row],[CONCEPTO mx]]="","",VLOOKUP(Tabla1[[#This Row],[CONCEPTO mx]],Tabla2[#All],2,0)),"")</f>
        <v>CM40</v>
      </c>
      <c r="G1559" s="76" t="str">
        <f>IFERROR(IF(Tabla1[[#This Row],[CONCEPTO mx]]="","",VLOOKUP(Tabla1[[#This Row],[CONCEPTO mx]],Tabla2[#All],3,0)),"")</f>
        <v>SST</v>
      </c>
      <c r="H1559" s="49" t="s">
        <v>628</v>
      </c>
      <c r="I1559" s="49" t="s">
        <v>2298</v>
      </c>
      <c r="J1559" s="49" t="s">
        <v>3726</v>
      </c>
      <c r="L1559" s="59" t="s">
        <v>2386</v>
      </c>
    </row>
    <row r="1560" spans="1:12" x14ac:dyDescent="0.25">
      <c r="A1560" s="51">
        <v>43559</v>
      </c>
      <c r="C1560" s="59" t="s">
        <v>3734</v>
      </c>
      <c r="D1560" s="49" t="s">
        <v>51</v>
      </c>
      <c r="E1560" s="49" t="s">
        <v>3248</v>
      </c>
      <c r="F1560" s="76" t="str">
        <f>IFERROR(IF(Tabla1[[#This Row],[CONCEPTO mx]]="","",VLOOKUP(Tabla1[[#This Row],[CONCEPTO mx]],Tabla2[#All],2,0)),"")</f>
        <v>CM1</v>
      </c>
      <c r="G1560" s="76" t="str">
        <f>IFERROR(IF(Tabla1[[#This Row],[CONCEPTO mx]]="","",VLOOKUP(Tabla1[[#This Row],[CONCEPTO mx]],Tabla2[#All],3,0)),"")</f>
        <v>Gestión Humana</v>
      </c>
      <c r="H1560" s="49" t="s">
        <v>388</v>
      </c>
      <c r="I1560" s="49" t="s">
        <v>2298</v>
      </c>
      <c r="J1560" s="49" t="s">
        <v>3733</v>
      </c>
    </row>
    <row r="1561" spans="1:12" x14ac:dyDescent="0.25">
      <c r="A1561" s="51">
        <v>43559</v>
      </c>
      <c r="B1561" s="59">
        <v>1047339378</v>
      </c>
      <c r="C1561" s="59" t="s">
        <v>3727</v>
      </c>
      <c r="D1561" s="49" t="s">
        <v>180</v>
      </c>
      <c r="E1561" s="49" t="s">
        <v>3185</v>
      </c>
      <c r="F1561" s="76" t="str">
        <f>IFERROR(IF(Tabla1[[#This Row],[CONCEPTO mx]]="","",VLOOKUP(Tabla1[[#This Row],[CONCEPTO mx]],Tabla2[#All],2,0)),"")</f>
        <v>CM5</v>
      </c>
      <c r="G1561" s="76" t="str">
        <f>IFERROR(IF(Tabla1[[#This Row],[CONCEPTO mx]]="","",VLOOKUP(Tabla1[[#This Row],[CONCEPTO mx]],Tabla2[#All],3,0)),"")</f>
        <v>SST</v>
      </c>
      <c r="H1561" s="49" t="s">
        <v>486</v>
      </c>
      <c r="I1561" s="49" t="s">
        <v>2298</v>
      </c>
      <c r="J1561" s="49" t="s">
        <v>3728</v>
      </c>
      <c r="L1561" s="59" t="s">
        <v>3729</v>
      </c>
    </row>
    <row r="1562" spans="1:12" x14ac:dyDescent="0.25">
      <c r="A1562" s="51">
        <v>43559</v>
      </c>
      <c r="C1562" s="59" t="s">
        <v>3722</v>
      </c>
      <c r="D1562" s="49" t="s">
        <v>180</v>
      </c>
      <c r="E1562" s="49" t="s">
        <v>3185</v>
      </c>
      <c r="F1562" s="76" t="str">
        <f>IFERROR(IF(Tabla1[[#This Row],[CONCEPTO mx]]="","",VLOOKUP(Tabla1[[#This Row],[CONCEPTO mx]],Tabla2[#All],2,0)),"")</f>
        <v>CM5</v>
      </c>
      <c r="G1562" s="76" t="str">
        <f>IFERROR(IF(Tabla1[[#This Row],[CONCEPTO mx]]="","",VLOOKUP(Tabla1[[#This Row],[CONCEPTO mx]],Tabla2[#All],3,0)),"")</f>
        <v>SST</v>
      </c>
      <c r="H1562" s="49" t="s">
        <v>387</v>
      </c>
      <c r="I1562" s="49" t="s">
        <v>2298</v>
      </c>
      <c r="J1562" s="49" t="s">
        <v>3723</v>
      </c>
      <c r="L1562" s="59" t="s">
        <v>3724</v>
      </c>
    </row>
    <row r="1563" spans="1:12" x14ac:dyDescent="0.25">
      <c r="A1563" s="51">
        <v>43559</v>
      </c>
      <c r="B1563" s="59">
        <v>1076387558</v>
      </c>
      <c r="C1563" s="59" t="s">
        <v>3719</v>
      </c>
      <c r="D1563" s="49" t="s">
        <v>51</v>
      </c>
      <c r="E1563" s="49" t="s">
        <v>3250</v>
      </c>
      <c r="F1563" s="76" t="str">
        <f>IFERROR(IF(Tabla1[[#This Row],[CONCEPTO mx]]="","",VLOOKUP(Tabla1[[#This Row],[CONCEPTO mx]],Tabla2[#All],2,0)),"")</f>
        <v>CM12</v>
      </c>
      <c r="G1563" s="76" t="str">
        <f>IFERROR(IF(Tabla1[[#This Row],[CONCEPTO mx]]="","",VLOOKUP(Tabla1[[#This Row],[CONCEPTO mx]],Tabla2[#All],3,0)),"")</f>
        <v>SST</v>
      </c>
      <c r="H1563" s="49" t="s">
        <v>438</v>
      </c>
      <c r="I1563" s="49" t="s">
        <v>2298</v>
      </c>
      <c r="J1563" s="49" t="s">
        <v>3453</v>
      </c>
      <c r="L1563" s="77" t="s">
        <v>3739</v>
      </c>
    </row>
    <row r="1564" spans="1:12" x14ac:dyDescent="0.25">
      <c r="A1564" s="51">
        <v>43560</v>
      </c>
      <c r="B1564" s="59">
        <v>1028036555</v>
      </c>
      <c r="C1564" s="59" t="s">
        <v>3742</v>
      </c>
      <c r="D1564" s="49" t="s">
        <v>51</v>
      </c>
      <c r="E1564" s="49" t="s">
        <v>3249</v>
      </c>
      <c r="F1564" s="76" t="str">
        <f>IFERROR(IF(Tabla1[[#This Row],[CONCEPTO mx]]="","",VLOOKUP(Tabla1[[#This Row],[CONCEPTO mx]],Tabla2[#All],2,0)),"")</f>
        <v>CM3</v>
      </c>
      <c r="G1564" s="76" t="str">
        <f>IFERROR(IF(Tabla1[[#This Row],[CONCEPTO mx]]="","",VLOOKUP(Tabla1[[#This Row],[CONCEPTO mx]],Tabla2[#All],3,0)),"")</f>
        <v>SST</v>
      </c>
      <c r="H1564" s="49" t="s">
        <v>439</v>
      </c>
      <c r="I1564" s="49" t="s">
        <v>2298</v>
      </c>
      <c r="J1564" s="49" t="s">
        <v>3743</v>
      </c>
    </row>
    <row r="1565" spans="1:12" x14ac:dyDescent="0.25">
      <c r="A1565" s="51">
        <v>43560</v>
      </c>
      <c r="B1565" s="50">
        <v>1035417421</v>
      </c>
      <c r="C1565" s="59" t="s">
        <v>3744</v>
      </c>
      <c r="D1565" s="49" t="s">
        <v>51</v>
      </c>
      <c r="E1565" s="49" t="s">
        <v>3315</v>
      </c>
      <c r="F1565" s="76" t="str">
        <f>IFERROR(IF(Tabla1[[#This Row],[CONCEPTO mx]]="","",VLOOKUP(Tabla1[[#This Row],[CONCEPTO mx]],Tabla2[#All],2,0)),"")</f>
        <v>CM40</v>
      </c>
      <c r="G1565" s="76" t="str">
        <f>IFERROR(IF(Tabla1[[#This Row],[CONCEPTO mx]]="","",VLOOKUP(Tabla1[[#This Row],[CONCEPTO mx]],Tabla2[#All],3,0)),"")</f>
        <v>SST</v>
      </c>
      <c r="H1565" s="49" t="s">
        <v>628</v>
      </c>
      <c r="I1565" s="49" t="s">
        <v>2298</v>
      </c>
      <c r="J1565" s="49" t="s">
        <v>3745</v>
      </c>
      <c r="L1565" s="59" t="s">
        <v>3749</v>
      </c>
    </row>
    <row r="1566" spans="1:12" x14ac:dyDescent="0.25">
      <c r="A1566" s="51">
        <v>43560</v>
      </c>
      <c r="B1566" s="59">
        <v>71242692</v>
      </c>
      <c r="C1566" s="59" t="s">
        <v>3746</v>
      </c>
      <c r="D1566" s="49" t="s">
        <v>51</v>
      </c>
      <c r="E1566" s="49" t="s">
        <v>3250</v>
      </c>
      <c r="F1566" s="76" t="str">
        <f>IFERROR(IF(Tabla1[[#This Row],[CONCEPTO mx]]="","",VLOOKUP(Tabla1[[#This Row],[CONCEPTO mx]],Tabla2[#All],2,0)),"")</f>
        <v>CM12</v>
      </c>
      <c r="G1566" s="76" t="str">
        <f>IFERROR(IF(Tabla1[[#This Row],[CONCEPTO mx]]="","",VLOOKUP(Tabla1[[#This Row],[CONCEPTO mx]],Tabla2[#All],3,0)),"")</f>
        <v>SST</v>
      </c>
      <c r="H1566" s="49" t="s">
        <v>628</v>
      </c>
      <c r="I1566" s="49" t="s">
        <v>2298</v>
      </c>
      <c r="J1566" s="49" t="s">
        <v>2314</v>
      </c>
    </row>
    <row r="1567" spans="1:12" x14ac:dyDescent="0.25">
      <c r="A1567" s="51">
        <v>43563</v>
      </c>
      <c r="B1567" s="59">
        <v>1040366998</v>
      </c>
      <c r="C1567" s="59" t="s">
        <v>3752</v>
      </c>
      <c r="D1567" s="49" t="s">
        <v>180</v>
      </c>
      <c r="E1567" s="49" t="s">
        <v>3188</v>
      </c>
      <c r="F1567" s="76" t="str">
        <f>IFERROR(IF(Tabla1[[#This Row],[CONCEPTO mx]]="","",VLOOKUP(Tabla1[[#This Row],[CONCEPTO mx]],Tabla2[#All],2,0)),"")</f>
        <v>CM7</v>
      </c>
      <c r="G1567" s="76" t="str">
        <f>IFERROR(IF(Tabla1[[#This Row],[CONCEPTO mx]]="","",VLOOKUP(Tabla1[[#This Row],[CONCEPTO mx]],Tabla2[#All],3,0)),"")</f>
        <v>SST</v>
      </c>
      <c r="H1567" s="49" t="s">
        <v>387</v>
      </c>
      <c r="I1567" s="49" t="s">
        <v>2298</v>
      </c>
      <c r="J1567" s="49" t="s">
        <v>3634</v>
      </c>
      <c r="L1567" s="77" t="s">
        <v>3751</v>
      </c>
    </row>
    <row r="1568" spans="1:12" x14ac:dyDescent="0.25">
      <c r="A1568" s="51">
        <v>43563</v>
      </c>
      <c r="B1568" s="59">
        <v>71947434</v>
      </c>
      <c r="C1568" s="59" t="s">
        <v>3753</v>
      </c>
      <c r="D1568" s="49" t="s">
        <v>51</v>
      </c>
      <c r="E1568" s="49" t="s">
        <v>2635</v>
      </c>
      <c r="F1568" s="76" t="str">
        <f>IFERROR(IF(Tabla1[[#This Row],[CONCEPTO mx]]="","",VLOOKUP(Tabla1[[#This Row],[CONCEPTO mx]],Tabla2[#All],2,0)),"")</f>
        <v>CM21</v>
      </c>
      <c r="G1568" s="76" t="str">
        <f>IFERROR(IF(Tabla1[[#This Row],[CONCEPTO mx]]="","",VLOOKUP(Tabla1[[#This Row],[CONCEPTO mx]],Tabla2[#All],3,0)),"")</f>
        <v>SST</v>
      </c>
      <c r="H1568" s="49" t="s">
        <v>387</v>
      </c>
      <c r="I1568" s="49" t="s">
        <v>2298</v>
      </c>
      <c r="J1568" s="49" t="s">
        <v>3754</v>
      </c>
    </row>
    <row r="1569" spans="1:12" x14ac:dyDescent="0.25">
      <c r="A1569" s="51">
        <v>43563</v>
      </c>
      <c r="B1569" s="59">
        <v>1045486223</v>
      </c>
      <c r="C1569" s="59" t="s">
        <v>3750</v>
      </c>
      <c r="D1569" s="49" t="s">
        <v>51</v>
      </c>
      <c r="E1569" s="49" t="s">
        <v>3248</v>
      </c>
      <c r="F1569" s="76" t="str">
        <f>IFERROR(IF(Tabla1[[#This Row],[CONCEPTO mx]]="","",VLOOKUP(Tabla1[[#This Row],[CONCEPTO mx]],Tabla2[#All],2,0)),"")</f>
        <v>CM1</v>
      </c>
      <c r="G1569" s="76" t="str">
        <f>IFERROR(IF(Tabla1[[#This Row],[CONCEPTO mx]]="","",VLOOKUP(Tabla1[[#This Row],[CONCEPTO mx]],Tabla2[#All],3,0)),"")</f>
        <v>Gestión Humana</v>
      </c>
      <c r="H1569" s="49" t="s">
        <v>334</v>
      </c>
      <c r="I1569" s="49" t="s">
        <v>2298</v>
      </c>
      <c r="J1569" s="49" t="s">
        <v>2353</v>
      </c>
    </row>
    <row r="1570" spans="1:12" x14ac:dyDescent="0.25">
      <c r="A1570" s="51">
        <v>43563</v>
      </c>
      <c r="B1570" s="59">
        <v>1001594774</v>
      </c>
      <c r="C1570" s="49" t="s">
        <v>3747</v>
      </c>
      <c r="D1570" s="49" t="s">
        <v>51</v>
      </c>
      <c r="E1570" s="49" t="s">
        <v>3248</v>
      </c>
      <c r="F1570" s="76" t="str">
        <f>IFERROR(IF(Tabla1[[#This Row],[CONCEPTO mx]]="","",VLOOKUP(Tabla1[[#This Row],[CONCEPTO mx]],Tabla2[#All],2,0)),"")</f>
        <v>CM1</v>
      </c>
      <c r="G1570" s="76" t="str">
        <f>IFERROR(IF(Tabla1[[#This Row],[CONCEPTO mx]]="","",VLOOKUP(Tabla1[[#This Row],[CONCEPTO mx]],Tabla2[#All],3,0)),"")</f>
        <v>Gestión Humana</v>
      </c>
      <c r="H1570" s="49" t="s">
        <v>352</v>
      </c>
      <c r="I1570" s="49" t="s">
        <v>2512</v>
      </c>
      <c r="J1570" s="49" t="s">
        <v>3748</v>
      </c>
    </row>
    <row r="1571" spans="1:12" x14ac:dyDescent="0.25">
      <c r="A1571" s="51">
        <v>43563</v>
      </c>
      <c r="B1571" s="59">
        <v>1133869022</v>
      </c>
      <c r="C1571" s="59" t="s">
        <v>3709</v>
      </c>
      <c r="D1571" s="49" t="s">
        <v>51</v>
      </c>
      <c r="E1571" s="49" t="s">
        <v>2401</v>
      </c>
      <c r="F1571" s="76" t="str">
        <f>IFERROR(IF(Tabla1[[#This Row],[CONCEPTO mx]]="","",VLOOKUP(Tabla1[[#This Row],[CONCEPTO mx]],Tabla2[#All],2,0)),"")</f>
        <v>CM28</v>
      </c>
      <c r="G1571" s="76" t="str">
        <f>IFERROR(IF(Tabla1[[#This Row],[CONCEPTO mx]]="","",VLOOKUP(Tabla1[[#This Row],[CONCEPTO mx]],Tabla2[#All],3,0)),"")</f>
        <v>SST</v>
      </c>
      <c r="H1571" s="49" t="s">
        <v>334</v>
      </c>
      <c r="I1571" s="49" t="s">
        <v>2298</v>
      </c>
      <c r="J1571" s="49" t="s">
        <v>2811</v>
      </c>
      <c r="K1571" s="51">
        <v>43558</v>
      </c>
    </row>
    <row r="1572" spans="1:12" x14ac:dyDescent="0.25">
      <c r="A1572" s="51">
        <v>43566</v>
      </c>
      <c r="B1572" s="84">
        <v>1147934423</v>
      </c>
      <c r="C1572" s="59" t="s">
        <v>3777</v>
      </c>
      <c r="D1572" s="49" t="s">
        <v>180</v>
      </c>
      <c r="E1572" s="49" t="s">
        <v>3185</v>
      </c>
      <c r="F1572" s="76" t="str">
        <f>IFERROR(IF(Tabla1[[#This Row],[CONCEPTO mx]]="","",VLOOKUP(Tabla1[[#This Row],[CONCEPTO mx]],Tabla2[#All],2,0)),"")</f>
        <v>CM5</v>
      </c>
      <c r="G1572" s="76" t="str">
        <f>IFERROR(IF(Tabla1[[#This Row],[CONCEPTO mx]]="","",VLOOKUP(Tabla1[[#This Row],[CONCEPTO mx]],Tabla2[#All],3,0)),"")</f>
        <v>SST</v>
      </c>
      <c r="H1572" s="49" t="s">
        <v>2394</v>
      </c>
      <c r="I1572" s="49" t="s">
        <v>2298</v>
      </c>
      <c r="J1572" s="49" t="s">
        <v>3778</v>
      </c>
      <c r="L1572" s="59" t="s">
        <v>3617</v>
      </c>
    </row>
    <row r="1573" spans="1:12" x14ac:dyDescent="0.25">
      <c r="A1573" s="51">
        <v>43566</v>
      </c>
      <c r="B1573" s="84">
        <v>1045501678</v>
      </c>
      <c r="C1573" s="59" t="s">
        <v>3781</v>
      </c>
      <c r="D1573" s="49" t="s">
        <v>51</v>
      </c>
      <c r="E1573" s="49" t="s">
        <v>3248</v>
      </c>
      <c r="F1573" s="76" t="str">
        <f>IFERROR(IF(Tabla1[[#This Row],[CONCEPTO mx]]="","",VLOOKUP(Tabla1[[#This Row],[CONCEPTO mx]],Tabla2[#All],2,0)),"")</f>
        <v>CM1</v>
      </c>
      <c r="G1573" s="76" t="str">
        <f>IFERROR(IF(Tabla1[[#This Row],[CONCEPTO mx]]="","",VLOOKUP(Tabla1[[#This Row],[CONCEPTO mx]],Tabla2[#All],3,0)),"")</f>
        <v>Gestión Humana</v>
      </c>
      <c r="H1573" s="49" t="s">
        <v>388</v>
      </c>
      <c r="I1573" s="49" t="s">
        <v>2298</v>
      </c>
      <c r="J1573" s="49" t="s">
        <v>3782</v>
      </c>
    </row>
    <row r="1574" spans="1:12" x14ac:dyDescent="0.25">
      <c r="A1574" s="51">
        <v>43566</v>
      </c>
      <c r="B1574" s="84">
        <v>1007439894</v>
      </c>
      <c r="C1574" s="49" t="s">
        <v>3756</v>
      </c>
      <c r="D1574" s="49" t="s">
        <v>180</v>
      </c>
      <c r="E1574" s="49" t="s">
        <v>3191</v>
      </c>
      <c r="F1574" s="76" t="str">
        <f>IFERROR(IF(Tabla1[[#This Row],[CONCEPTO mx]]="","",VLOOKUP(Tabla1[[#This Row],[CONCEPTO mx]],Tabla2[#All],2,0)),"")</f>
        <v>CM27</v>
      </c>
      <c r="G1574" s="76" t="str">
        <f>IFERROR(IF(Tabla1[[#This Row],[CONCEPTO mx]]="","",VLOOKUP(Tabla1[[#This Row],[CONCEPTO mx]],Tabla2[#All],3,0)),"")</f>
        <v>SST</v>
      </c>
      <c r="H1574" s="49" t="s">
        <v>387</v>
      </c>
      <c r="I1574" s="49" t="s">
        <v>2298</v>
      </c>
      <c r="J1574" s="49" t="s">
        <v>3101</v>
      </c>
      <c r="L1574" s="49" t="s">
        <v>3757</v>
      </c>
    </row>
    <row r="1575" spans="1:12" x14ac:dyDescent="0.25">
      <c r="A1575" s="51">
        <v>43566</v>
      </c>
      <c r="B1575" s="84">
        <v>1045521234</v>
      </c>
      <c r="C1575" s="59" t="s">
        <v>3792</v>
      </c>
      <c r="D1575" s="49" t="s">
        <v>51</v>
      </c>
      <c r="E1575" s="49" t="s">
        <v>2635</v>
      </c>
      <c r="F1575" s="76" t="str">
        <f>IFERROR(IF(Tabla1[[#This Row],[CONCEPTO mx]]="","",VLOOKUP(Tabla1[[#This Row],[CONCEPTO mx]],Tabla2[#All],2,0)),"")</f>
        <v>CM21</v>
      </c>
      <c r="G1575" s="76" t="str">
        <f>IFERROR(IF(Tabla1[[#This Row],[CONCEPTO mx]]="","",VLOOKUP(Tabla1[[#This Row],[CONCEPTO mx]],Tabla2[#All],3,0)),"")</f>
        <v>SST</v>
      </c>
      <c r="H1575" s="49" t="s">
        <v>406</v>
      </c>
      <c r="I1575" s="49" t="s">
        <v>2298</v>
      </c>
      <c r="J1575" s="49" t="s">
        <v>3793</v>
      </c>
    </row>
    <row r="1576" spans="1:12" x14ac:dyDescent="0.25">
      <c r="A1576" s="51">
        <v>43566</v>
      </c>
      <c r="B1576" s="84" t="s">
        <v>3789</v>
      </c>
      <c r="C1576" s="59" t="s">
        <v>3794</v>
      </c>
      <c r="D1576" s="49" t="s">
        <v>51</v>
      </c>
      <c r="E1576" s="49" t="s">
        <v>3249</v>
      </c>
      <c r="F1576" s="76" t="str">
        <f>IFERROR(IF(Tabla1[[#This Row],[CONCEPTO mx]]="","",VLOOKUP(Tabla1[[#This Row],[CONCEPTO mx]],Tabla2[#All],2,0)),"")</f>
        <v>CM3</v>
      </c>
      <c r="G1576" s="76" t="str">
        <f>IFERROR(IF(Tabla1[[#This Row],[CONCEPTO mx]]="","",VLOOKUP(Tabla1[[#This Row],[CONCEPTO mx]],Tabla2[#All],3,0)),"")</f>
        <v>SST</v>
      </c>
      <c r="H1576" s="49" t="s">
        <v>343</v>
      </c>
      <c r="I1576" s="49" t="s">
        <v>2298</v>
      </c>
      <c r="J1576" s="49" t="s">
        <v>3790</v>
      </c>
      <c r="L1576" s="59" t="s">
        <v>3791</v>
      </c>
    </row>
    <row r="1577" spans="1:12" x14ac:dyDescent="0.25">
      <c r="A1577" s="51">
        <v>43566</v>
      </c>
      <c r="B1577" s="84">
        <v>1003070526</v>
      </c>
      <c r="C1577" s="59" t="s">
        <v>3784</v>
      </c>
      <c r="D1577" s="49" t="s">
        <v>51</v>
      </c>
      <c r="E1577" s="49" t="s">
        <v>3249</v>
      </c>
      <c r="F1577" s="76" t="str">
        <f>IFERROR(IF(Tabla1[[#This Row],[CONCEPTO mx]]="","",VLOOKUP(Tabla1[[#This Row],[CONCEPTO mx]],Tabla2[#All],2,0)),"")</f>
        <v>CM3</v>
      </c>
      <c r="G1577" s="76" t="str">
        <f>IFERROR(IF(Tabla1[[#This Row],[CONCEPTO mx]]="","",VLOOKUP(Tabla1[[#This Row],[CONCEPTO mx]],Tabla2[#All],3,0)),"")</f>
        <v>SST</v>
      </c>
      <c r="H1577" s="49" t="s">
        <v>628</v>
      </c>
      <c r="I1577" s="49" t="s">
        <v>2298</v>
      </c>
      <c r="J1577" s="49" t="s">
        <v>3785</v>
      </c>
      <c r="L1577" s="59" t="s">
        <v>3786</v>
      </c>
    </row>
    <row r="1578" spans="1:12" x14ac:dyDescent="0.25">
      <c r="A1578" s="51">
        <v>43566</v>
      </c>
      <c r="B1578" s="84">
        <v>1026149045</v>
      </c>
      <c r="C1578" s="59" t="s">
        <v>3783</v>
      </c>
      <c r="D1578" s="49" t="s">
        <v>51</v>
      </c>
      <c r="E1578" s="49" t="s">
        <v>3248</v>
      </c>
      <c r="F1578" s="76" t="str">
        <f>IFERROR(IF(Tabla1[[#This Row],[CONCEPTO mx]]="","",VLOOKUP(Tabla1[[#This Row],[CONCEPTO mx]],Tabla2[#All],2,0)),"")</f>
        <v>CM1</v>
      </c>
      <c r="G1578" s="76" t="str">
        <f>IFERROR(IF(Tabla1[[#This Row],[CONCEPTO mx]]="","",VLOOKUP(Tabla1[[#This Row],[CONCEPTO mx]],Tabla2[#All],3,0)),"")</f>
        <v>Gestión Humana</v>
      </c>
      <c r="H1578" s="49" t="s">
        <v>343</v>
      </c>
      <c r="I1578" s="49" t="s">
        <v>2298</v>
      </c>
      <c r="J1578" s="49" t="s">
        <v>3759</v>
      </c>
    </row>
    <row r="1579" spans="1:12" x14ac:dyDescent="0.25">
      <c r="A1579" s="51">
        <v>43566</v>
      </c>
      <c r="B1579" s="78">
        <v>71351988</v>
      </c>
      <c r="C1579" s="59" t="s">
        <v>3764</v>
      </c>
      <c r="D1579" s="49" t="s">
        <v>51</v>
      </c>
      <c r="E1579" s="49" t="s">
        <v>3250</v>
      </c>
      <c r="F1579" s="76" t="str">
        <f>IFERROR(IF(Tabla1[[#This Row],[CONCEPTO mx]]="","",VLOOKUP(Tabla1[[#This Row],[CONCEPTO mx]],Tabla2[#All],2,0)),"")</f>
        <v>CM12</v>
      </c>
      <c r="G1579" s="76" t="str">
        <f>IFERROR(IF(Tabla1[[#This Row],[CONCEPTO mx]]="","",VLOOKUP(Tabla1[[#This Row],[CONCEPTO mx]],Tabla2[#All],3,0)),"")</f>
        <v>SST</v>
      </c>
      <c r="H1579" s="49" t="s">
        <v>388</v>
      </c>
      <c r="I1579" s="49" t="s">
        <v>2298</v>
      </c>
      <c r="J1579" s="49" t="s">
        <v>3765</v>
      </c>
      <c r="L1579" s="59" t="s">
        <v>3760</v>
      </c>
    </row>
    <row r="1580" spans="1:12" x14ac:dyDescent="0.25">
      <c r="A1580" s="51">
        <v>43566</v>
      </c>
      <c r="B1580" s="84">
        <v>1028019416</v>
      </c>
      <c r="C1580" s="59" t="s">
        <v>3768</v>
      </c>
      <c r="D1580" s="49" t="s">
        <v>51</v>
      </c>
      <c r="E1580" s="49" t="s">
        <v>3249</v>
      </c>
      <c r="F1580" s="76" t="str">
        <f>IFERROR(IF(Tabla1[[#This Row],[CONCEPTO mx]]="","",VLOOKUP(Tabla1[[#This Row],[CONCEPTO mx]],Tabla2[#All],2,0)),"")</f>
        <v>CM3</v>
      </c>
      <c r="G1580" s="76" t="str">
        <f>IFERROR(IF(Tabla1[[#This Row],[CONCEPTO mx]]="","",VLOOKUP(Tabla1[[#This Row],[CONCEPTO mx]],Tabla2[#All],3,0)),"")</f>
        <v>SST</v>
      </c>
      <c r="H1580" s="49" t="s">
        <v>2394</v>
      </c>
      <c r="I1580" s="49" t="s">
        <v>2298</v>
      </c>
      <c r="J1580" s="49" t="s">
        <v>2353</v>
      </c>
    </row>
    <row r="1581" spans="1:12" x14ac:dyDescent="0.25">
      <c r="A1581" s="51">
        <v>43566</v>
      </c>
      <c r="B1581" s="84">
        <v>1077449876</v>
      </c>
      <c r="C1581" s="59" t="s">
        <v>3787</v>
      </c>
      <c r="D1581" s="49" t="s">
        <v>51</v>
      </c>
      <c r="E1581" s="49" t="s">
        <v>3249</v>
      </c>
      <c r="F1581" s="76" t="str">
        <f>IFERROR(IF(Tabla1[[#This Row],[CONCEPTO mx]]="","",VLOOKUP(Tabla1[[#This Row],[CONCEPTO mx]],Tabla2[#All],2,0)),"")</f>
        <v>CM3</v>
      </c>
      <c r="G1581" s="76" t="str">
        <f>IFERROR(IF(Tabla1[[#This Row],[CONCEPTO mx]]="","",VLOOKUP(Tabla1[[#This Row],[CONCEPTO mx]],Tabla2[#All],3,0)),"")</f>
        <v>SST</v>
      </c>
      <c r="H1581" s="49" t="s">
        <v>387</v>
      </c>
      <c r="I1581" s="49" t="s">
        <v>2298</v>
      </c>
      <c r="J1581" s="49" t="s">
        <v>2353</v>
      </c>
      <c r="L1581" s="59" t="s">
        <v>3788</v>
      </c>
    </row>
    <row r="1582" spans="1:12" x14ac:dyDescent="0.25">
      <c r="A1582" s="51">
        <v>43566</v>
      </c>
      <c r="B1582" s="50">
        <v>1028005732</v>
      </c>
      <c r="C1582" s="59" t="s">
        <v>3772</v>
      </c>
      <c r="D1582" s="49" t="s">
        <v>51</v>
      </c>
      <c r="E1582" s="49" t="s">
        <v>3248</v>
      </c>
      <c r="F1582" s="76" t="str">
        <f>IFERROR(IF(Tabla1[[#This Row],[CONCEPTO mx]]="","",VLOOKUP(Tabla1[[#This Row],[CONCEPTO mx]],Tabla2[#All],2,0)),"")</f>
        <v>CM1</v>
      </c>
      <c r="G1582" s="76" t="str">
        <f>IFERROR(IF(Tabla1[[#This Row],[CONCEPTO mx]]="","",VLOOKUP(Tabla1[[#This Row],[CONCEPTO mx]],Tabla2[#All],3,0)),"")</f>
        <v>Gestión Humana</v>
      </c>
      <c r="H1582" s="49" t="s">
        <v>470</v>
      </c>
      <c r="I1582" s="49" t="s">
        <v>2298</v>
      </c>
      <c r="J1582" s="49" t="s">
        <v>1134</v>
      </c>
      <c r="L1582" s="77"/>
    </row>
    <row r="1583" spans="1:12" x14ac:dyDescent="0.25">
      <c r="A1583" s="51">
        <v>43566</v>
      </c>
      <c r="B1583" s="84">
        <v>1040380539</v>
      </c>
      <c r="C1583" s="59" t="s">
        <v>3780</v>
      </c>
      <c r="D1583" s="49" t="s">
        <v>180</v>
      </c>
      <c r="E1583" s="49" t="s">
        <v>3185</v>
      </c>
      <c r="F1583" s="76" t="str">
        <f>IFERROR(IF(Tabla1[[#This Row],[CONCEPTO mx]]="","",VLOOKUP(Tabla1[[#This Row],[CONCEPTO mx]],Tabla2[#All],2,0)),"")</f>
        <v>CM5</v>
      </c>
      <c r="G1583" s="76" t="str">
        <f>IFERROR(IF(Tabla1[[#This Row],[CONCEPTO mx]]="","",VLOOKUP(Tabla1[[#This Row],[CONCEPTO mx]],Tabla2[#All],3,0)),"")</f>
        <v>SST</v>
      </c>
      <c r="H1583" s="49" t="s">
        <v>388</v>
      </c>
      <c r="I1583" s="49" t="s">
        <v>2298</v>
      </c>
      <c r="J1583" s="49" t="s">
        <v>2353</v>
      </c>
      <c r="L1583" s="59" t="s">
        <v>3632</v>
      </c>
    </row>
    <row r="1584" spans="1:12" x14ac:dyDescent="0.25">
      <c r="A1584" s="51">
        <v>43566</v>
      </c>
      <c r="B1584" s="50">
        <v>1028027353</v>
      </c>
      <c r="C1584" s="49" t="s">
        <v>3755</v>
      </c>
      <c r="D1584" s="49" t="s">
        <v>51</v>
      </c>
      <c r="E1584" s="49" t="s">
        <v>2635</v>
      </c>
      <c r="F1584" s="76" t="str">
        <f>IFERROR(IF(Tabla1[[#This Row],[CONCEPTO mx]]="","",VLOOKUP(Tabla1[[#This Row],[CONCEPTO mx]],Tabla2[#All],2,0)),"")</f>
        <v>CM21</v>
      </c>
      <c r="G1584" s="76" t="str">
        <f>IFERROR(IF(Tabla1[[#This Row],[CONCEPTO mx]]="","",VLOOKUP(Tabla1[[#This Row],[CONCEPTO mx]],Tabla2[#All],3,0)),"")</f>
        <v>SST</v>
      </c>
      <c r="H1584" s="49" t="s">
        <v>334</v>
      </c>
      <c r="I1584" s="49" t="s">
        <v>3392</v>
      </c>
      <c r="J1584" s="49" t="s">
        <v>3243</v>
      </c>
    </row>
    <row r="1585" spans="1:12" x14ac:dyDescent="0.25">
      <c r="A1585" s="51">
        <v>43566</v>
      </c>
      <c r="B1585" s="84">
        <v>1047236958</v>
      </c>
      <c r="C1585" s="59" t="s">
        <v>3773</v>
      </c>
      <c r="D1585" s="49" t="s">
        <v>51</v>
      </c>
      <c r="E1585" s="49" t="s">
        <v>3248</v>
      </c>
      <c r="F1585" s="76" t="str">
        <f>IFERROR(IF(Tabla1[[#This Row],[CONCEPTO mx]]="","",VLOOKUP(Tabla1[[#This Row],[CONCEPTO mx]],Tabla2[#All],2,0)),"")</f>
        <v>CM1</v>
      </c>
      <c r="G1585" s="76" t="str">
        <f>IFERROR(IF(Tabla1[[#This Row],[CONCEPTO mx]]="","",VLOOKUP(Tabla1[[#This Row],[CONCEPTO mx]],Tabla2[#All],3,0)),"")</f>
        <v>Gestión Humana</v>
      </c>
      <c r="H1585" s="49" t="s">
        <v>486</v>
      </c>
      <c r="I1585" s="49" t="s">
        <v>2298</v>
      </c>
      <c r="J1585" s="49" t="s">
        <v>2872</v>
      </c>
    </row>
    <row r="1586" spans="1:12" x14ac:dyDescent="0.25">
      <c r="A1586" s="51">
        <v>43566</v>
      </c>
      <c r="B1586" s="78">
        <v>71949212</v>
      </c>
      <c r="C1586" s="59" t="s">
        <v>3758</v>
      </c>
      <c r="D1586" s="49" t="s">
        <v>51</v>
      </c>
      <c r="E1586" s="49" t="s">
        <v>3250</v>
      </c>
      <c r="F1586" s="76" t="str">
        <f>IFERROR(IF(Tabla1[[#This Row],[CONCEPTO mx]]="","",VLOOKUP(Tabla1[[#This Row],[CONCEPTO mx]],Tabla2[#All],2,0)),"")</f>
        <v>CM12</v>
      </c>
      <c r="G1586" s="76" t="str">
        <f>IFERROR(IF(Tabla1[[#This Row],[CONCEPTO mx]]="","",VLOOKUP(Tabla1[[#This Row],[CONCEPTO mx]],Tabla2[#All],3,0)),"")</f>
        <v>SST</v>
      </c>
      <c r="H1586" s="49" t="s">
        <v>2394</v>
      </c>
      <c r="I1586" s="49" t="s">
        <v>2298</v>
      </c>
      <c r="J1586" s="49" t="s">
        <v>3759</v>
      </c>
      <c r="L1586" s="59" t="s">
        <v>3760</v>
      </c>
    </row>
    <row r="1587" spans="1:12" x14ac:dyDescent="0.25">
      <c r="A1587" s="51">
        <v>43566</v>
      </c>
      <c r="B1587" s="84">
        <v>1041257419</v>
      </c>
      <c r="C1587" s="59" t="s">
        <v>3774</v>
      </c>
      <c r="D1587" s="49" t="s">
        <v>180</v>
      </c>
      <c r="E1587" s="49" t="s">
        <v>3185</v>
      </c>
      <c r="F1587" s="76" t="str">
        <f>IFERROR(IF(Tabla1[[#This Row],[CONCEPTO mx]]="","",VLOOKUP(Tabla1[[#This Row],[CONCEPTO mx]],Tabla2[#All],2,0)),"")</f>
        <v>CM5</v>
      </c>
      <c r="G1587" s="76" t="str">
        <f>IFERROR(IF(Tabla1[[#This Row],[CONCEPTO mx]]="","",VLOOKUP(Tabla1[[#This Row],[CONCEPTO mx]],Tabla2[#All],3,0)),"")</f>
        <v>SST</v>
      </c>
      <c r="H1587" s="49" t="s">
        <v>2393</v>
      </c>
      <c r="I1587" s="49" t="s">
        <v>2298</v>
      </c>
      <c r="J1587" s="49" t="s">
        <v>3776</v>
      </c>
      <c r="L1587" s="59" t="s">
        <v>3775</v>
      </c>
    </row>
    <row r="1588" spans="1:12" x14ac:dyDescent="0.25">
      <c r="A1588" s="51">
        <v>43566</v>
      </c>
      <c r="B1588" s="84">
        <v>1027999973</v>
      </c>
      <c r="C1588" s="59" t="s">
        <v>3766</v>
      </c>
      <c r="D1588" s="49" t="s">
        <v>51</v>
      </c>
      <c r="E1588" s="49" t="s">
        <v>3248</v>
      </c>
      <c r="F1588" s="76" t="str">
        <f>IFERROR(IF(Tabla1[[#This Row],[CONCEPTO mx]]="","",VLOOKUP(Tabla1[[#This Row],[CONCEPTO mx]],Tabla2[#All],2,0)),"")</f>
        <v>CM1</v>
      </c>
      <c r="G1588" s="76" t="str">
        <f>IFERROR(IF(Tabla1[[#This Row],[CONCEPTO mx]]="","",VLOOKUP(Tabla1[[#This Row],[CONCEPTO mx]],Tabla2[#All],3,0)),"")</f>
        <v>Gestión Humana</v>
      </c>
      <c r="H1588" s="49" t="s">
        <v>388</v>
      </c>
      <c r="I1588" s="49" t="s">
        <v>2298</v>
      </c>
      <c r="J1588" s="49" t="s">
        <v>3767</v>
      </c>
    </row>
    <row r="1589" spans="1:12" x14ac:dyDescent="0.25">
      <c r="A1589" s="51">
        <v>43566</v>
      </c>
      <c r="B1589" s="84">
        <v>1028039323</v>
      </c>
      <c r="C1589" s="59" t="s">
        <v>3761</v>
      </c>
      <c r="D1589" s="49" t="s">
        <v>51</v>
      </c>
      <c r="E1589" s="49" t="s">
        <v>3185</v>
      </c>
      <c r="F1589" s="76" t="str">
        <f>IFERROR(IF(Tabla1[[#This Row],[CONCEPTO mx]]="","",VLOOKUP(Tabla1[[#This Row],[CONCEPTO mx]],Tabla2[#All],2,0)),"")</f>
        <v>CM5</v>
      </c>
      <c r="G1589" s="76" t="str">
        <f>IFERROR(IF(Tabla1[[#This Row],[CONCEPTO mx]]="","",VLOOKUP(Tabla1[[#This Row],[CONCEPTO mx]],Tabla2[#All],3,0)),"")</f>
        <v>SST</v>
      </c>
      <c r="H1589" s="49" t="s">
        <v>387</v>
      </c>
      <c r="I1589" s="49" t="s">
        <v>2298</v>
      </c>
      <c r="J1589" s="49" t="s">
        <v>3762</v>
      </c>
      <c r="L1589" s="59" t="s">
        <v>3763</v>
      </c>
    </row>
    <row r="1590" spans="1:12" x14ac:dyDescent="0.25">
      <c r="A1590" s="51">
        <v>43566</v>
      </c>
      <c r="B1590" s="84">
        <v>1028014386</v>
      </c>
      <c r="C1590" s="59" t="s">
        <v>3771</v>
      </c>
      <c r="D1590" s="49" t="s">
        <v>180</v>
      </c>
      <c r="E1590" s="49" t="s">
        <v>3193</v>
      </c>
      <c r="F1590" s="76" t="str">
        <f>IFERROR(IF(Tabla1[[#This Row],[CONCEPTO mx]]="","",VLOOKUP(Tabla1[[#This Row],[CONCEPTO mx]],Tabla2[#All],2,0)),"")</f>
        <v>CM30</v>
      </c>
      <c r="G1590" s="76" t="str">
        <f>IFERROR(IF(Tabla1[[#This Row],[CONCEPTO mx]]="","",VLOOKUP(Tabla1[[#This Row],[CONCEPTO mx]],Tabla2[#All],3,0)),"")</f>
        <v>SST</v>
      </c>
      <c r="H1590" s="49" t="s">
        <v>406</v>
      </c>
      <c r="I1590" s="49" t="s">
        <v>2298</v>
      </c>
      <c r="J1590" s="49" t="s">
        <v>2811</v>
      </c>
      <c r="L1590" s="89" t="s">
        <v>3796</v>
      </c>
    </row>
    <row r="1591" spans="1:12" x14ac:dyDescent="0.25">
      <c r="A1591" s="51">
        <v>43566</v>
      </c>
      <c r="B1591" s="84">
        <v>1028038602</v>
      </c>
      <c r="C1591" s="59" t="s">
        <v>3779</v>
      </c>
      <c r="D1591" s="49" t="s">
        <v>51</v>
      </c>
      <c r="E1591" s="49" t="s">
        <v>3249</v>
      </c>
      <c r="F1591" s="76" t="str">
        <f>IFERROR(IF(Tabla1[[#This Row],[CONCEPTO mx]]="","",VLOOKUP(Tabla1[[#This Row],[CONCEPTO mx]],Tabla2[#All],2,0)),"")</f>
        <v>CM3</v>
      </c>
      <c r="G1591" s="76" t="str">
        <f>IFERROR(IF(Tabla1[[#This Row],[CONCEPTO mx]]="","",VLOOKUP(Tabla1[[#This Row],[CONCEPTO mx]],Tabla2[#All],3,0)),"")</f>
        <v>SST</v>
      </c>
      <c r="H1591" s="49" t="s">
        <v>334</v>
      </c>
      <c r="I1591" s="49" t="s">
        <v>2298</v>
      </c>
      <c r="J1591" s="49" t="s">
        <v>3243</v>
      </c>
    </row>
    <row r="1592" spans="1:12" x14ac:dyDescent="0.25">
      <c r="A1592" s="51">
        <v>43568</v>
      </c>
      <c r="B1592" s="59">
        <v>1028022081</v>
      </c>
      <c r="C1592" s="59" t="s">
        <v>3800</v>
      </c>
      <c r="D1592" s="49" t="s">
        <v>180</v>
      </c>
      <c r="E1592" s="49" t="s">
        <v>3187</v>
      </c>
      <c r="F1592" s="76" t="str">
        <f>IFERROR(IF(Tabla1[[#This Row],[CONCEPTO mx]]="","",VLOOKUP(Tabla1[[#This Row],[CONCEPTO mx]],Tabla2[#All],2,0)),"")</f>
        <v>CM8</v>
      </c>
      <c r="G1592" s="76" t="str">
        <f>IFERROR(IF(Tabla1[[#This Row],[CONCEPTO mx]]="","",VLOOKUP(Tabla1[[#This Row],[CONCEPTO mx]],Tabla2[#All],3,0)),"")</f>
        <v>Gestión Humana</v>
      </c>
      <c r="H1592" s="49" t="s">
        <v>628</v>
      </c>
      <c r="I1592" s="49" t="s">
        <v>2298</v>
      </c>
      <c r="J1592" s="49" t="s">
        <v>3801</v>
      </c>
      <c r="L1592" s="59" t="s">
        <v>3802</v>
      </c>
    </row>
    <row r="1593" spans="1:12" x14ac:dyDescent="0.25">
      <c r="A1593" s="51">
        <v>43568</v>
      </c>
      <c r="B1593" s="59">
        <v>10774847</v>
      </c>
      <c r="C1593" s="59" t="s">
        <v>3820</v>
      </c>
      <c r="D1593" s="49" t="s">
        <v>51</v>
      </c>
      <c r="E1593" s="49" t="s">
        <v>3315</v>
      </c>
      <c r="F1593" s="76" t="str">
        <f>IFERROR(IF(Tabla1[[#This Row],[CONCEPTO mx]]="","",VLOOKUP(Tabla1[[#This Row],[CONCEPTO mx]],Tabla2[#All],2,0)),"")</f>
        <v>CM40</v>
      </c>
      <c r="G1593" s="76" t="str">
        <f>IFERROR(IF(Tabla1[[#This Row],[CONCEPTO mx]]="","",VLOOKUP(Tabla1[[#This Row],[CONCEPTO mx]],Tabla2[#All],3,0)),"")</f>
        <v>SST</v>
      </c>
      <c r="H1593" s="49" t="s">
        <v>438</v>
      </c>
      <c r="I1593" s="49" t="s">
        <v>2298</v>
      </c>
      <c r="J1593" s="49" t="s">
        <v>2314</v>
      </c>
      <c r="L1593" s="59" t="s">
        <v>3821</v>
      </c>
    </row>
    <row r="1594" spans="1:12" x14ac:dyDescent="0.25">
      <c r="A1594" s="51">
        <v>43568</v>
      </c>
      <c r="B1594" s="59">
        <v>1005680169</v>
      </c>
      <c r="C1594" s="59" t="s">
        <v>3827</v>
      </c>
      <c r="D1594" s="49" t="s">
        <v>51</v>
      </c>
      <c r="E1594" s="49" t="s">
        <v>3248</v>
      </c>
      <c r="F1594" s="76" t="str">
        <f>IFERROR(IF(Tabla1[[#This Row],[CONCEPTO mx]]="","",VLOOKUP(Tabla1[[#This Row],[CONCEPTO mx]],Tabla2[#All],2,0)),"")</f>
        <v>CM1</v>
      </c>
      <c r="G1594" s="76" t="str">
        <f>IFERROR(IF(Tabla1[[#This Row],[CONCEPTO mx]]="","",VLOOKUP(Tabla1[[#This Row],[CONCEPTO mx]],Tabla2[#All],3,0)),"")</f>
        <v>Gestión Humana</v>
      </c>
      <c r="H1594" s="49" t="s">
        <v>343</v>
      </c>
      <c r="I1594" s="49" t="s">
        <v>2298</v>
      </c>
      <c r="J1594" s="49" t="s">
        <v>2811</v>
      </c>
    </row>
    <row r="1595" spans="1:12" x14ac:dyDescent="0.25">
      <c r="A1595" s="51">
        <v>43568</v>
      </c>
      <c r="B1595" s="50">
        <v>1007386739</v>
      </c>
      <c r="C1595" s="85" t="s">
        <v>3639</v>
      </c>
      <c r="D1595" s="49" t="s">
        <v>51</v>
      </c>
      <c r="E1595" s="49" t="s">
        <v>3315</v>
      </c>
      <c r="F1595" s="76" t="str">
        <f>IFERROR(IF(Tabla1[[#This Row],[CONCEPTO mx]]="","",VLOOKUP(Tabla1[[#This Row],[CONCEPTO mx]],Tabla2[#All],2,0)),"")</f>
        <v>CM40</v>
      </c>
      <c r="G1595" s="76" t="str">
        <f>IFERROR(IF(Tabla1[[#This Row],[CONCEPTO mx]]="","",VLOOKUP(Tabla1[[#This Row],[CONCEPTO mx]],Tabla2[#All],3,0)),"")</f>
        <v>SST</v>
      </c>
      <c r="H1595" s="49" t="s">
        <v>484</v>
      </c>
      <c r="I1595" s="49" t="s">
        <v>2298</v>
      </c>
      <c r="J1595" s="49" t="s">
        <v>3279</v>
      </c>
      <c r="K1595" s="51">
        <v>43551</v>
      </c>
      <c r="L1595" s="49" t="s">
        <v>3174</v>
      </c>
    </row>
    <row r="1596" spans="1:12" x14ac:dyDescent="0.25">
      <c r="A1596" s="51">
        <v>43568</v>
      </c>
      <c r="B1596" s="59">
        <v>1038809191</v>
      </c>
      <c r="C1596" s="59" t="s">
        <v>3811</v>
      </c>
      <c r="D1596" s="49" t="s">
        <v>51</v>
      </c>
      <c r="E1596" s="49" t="s">
        <v>3315</v>
      </c>
      <c r="F1596" s="76" t="str">
        <f>IFERROR(IF(Tabla1[[#This Row],[CONCEPTO mx]]="","",VLOOKUP(Tabla1[[#This Row],[CONCEPTO mx]],Tabla2[#All],2,0)),"")</f>
        <v>CM40</v>
      </c>
      <c r="G1596" s="76" t="str">
        <f>IFERROR(IF(Tabla1[[#This Row],[CONCEPTO mx]]="","",VLOOKUP(Tabla1[[#This Row],[CONCEPTO mx]],Tabla2[#All],3,0)),"")</f>
        <v>SST</v>
      </c>
      <c r="H1596" s="49" t="s">
        <v>2391</v>
      </c>
      <c r="I1596" s="49" t="s">
        <v>2298</v>
      </c>
      <c r="J1596" s="49" t="s">
        <v>1134</v>
      </c>
      <c r="L1596" s="59" t="s">
        <v>3812</v>
      </c>
    </row>
    <row r="1597" spans="1:12" x14ac:dyDescent="0.25">
      <c r="A1597" s="51">
        <v>43568</v>
      </c>
      <c r="B1597" s="59">
        <v>3437815</v>
      </c>
      <c r="C1597" s="59" t="s">
        <v>3823</v>
      </c>
      <c r="D1597" s="49" t="s">
        <v>51</v>
      </c>
      <c r="E1597" s="49" t="s">
        <v>3315</v>
      </c>
      <c r="F1597" s="76" t="str">
        <f>IFERROR(IF(Tabla1[[#This Row],[CONCEPTO mx]]="","",VLOOKUP(Tabla1[[#This Row],[CONCEPTO mx]],Tabla2[#All],2,0)),"")</f>
        <v>CM40</v>
      </c>
      <c r="G1597" s="76" t="str">
        <f>IFERROR(IF(Tabla1[[#This Row],[CONCEPTO mx]]="","",VLOOKUP(Tabla1[[#This Row],[CONCEPTO mx]],Tabla2[#All],3,0)),"")</f>
        <v>SST</v>
      </c>
      <c r="H1597" s="49" t="s">
        <v>438</v>
      </c>
      <c r="I1597" s="49" t="s">
        <v>2298</v>
      </c>
      <c r="J1597" s="49" t="s">
        <v>3824</v>
      </c>
      <c r="L1597" s="59" t="s">
        <v>3826</v>
      </c>
    </row>
    <row r="1598" spans="1:12" x14ac:dyDescent="0.25">
      <c r="A1598" s="51">
        <v>43568</v>
      </c>
      <c r="B1598" s="50">
        <v>1028006067</v>
      </c>
      <c r="C1598" s="59" t="s">
        <v>3795</v>
      </c>
      <c r="D1598" s="49" t="s">
        <v>51</v>
      </c>
      <c r="E1598" s="49" t="s">
        <v>3188</v>
      </c>
      <c r="F1598" s="76" t="str">
        <f>IFERROR(IF(Tabla1[[#This Row],[CONCEPTO mx]]="","",VLOOKUP(Tabla1[[#This Row],[CONCEPTO mx]],Tabla2[#All],2,0)),"")</f>
        <v>CM7</v>
      </c>
      <c r="G1598" s="76" t="str">
        <f>IFERROR(IF(Tabla1[[#This Row],[CONCEPTO mx]]="","",VLOOKUP(Tabla1[[#This Row],[CONCEPTO mx]],Tabla2[#All],3,0)),"")</f>
        <v>SST</v>
      </c>
      <c r="H1598" s="49" t="s">
        <v>516</v>
      </c>
      <c r="I1598" s="49" t="s">
        <v>2512</v>
      </c>
      <c r="J1598" s="49" t="s">
        <v>3552</v>
      </c>
      <c r="L1598" s="49" t="s">
        <v>3825</v>
      </c>
    </row>
    <row r="1599" spans="1:12" x14ac:dyDescent="0.25">
      <c r="A1599" s="51">
        <v>43568</v>
      </c>
      <c r="B1599" s="50">
        <v>1027966527</v>
      </c>
      <c r="C1599" s="59" t="s">
        <v>3822</v>
      </c>
      <c r="D1599" s="49" t="s">
        <v>51</v>
      </c>
      <c r="E1599" s="49" t="s">
        <v>3248</v>
      </c>
      <c r="F1599" s="76" t="str">
        <f>IFERROR(IF(Tabla1[[#This Row],[CONCEPTO mx]]="","",VLOOKUP(Tabla1[[#This Row],[CONCEPTO mx]],Tabla2[#All],2,0)),"")</f>
        <v>CM1</v>
      </c>
      <c r="G1599" s="76" t="str">
        <f>IFERROR(IF(Tabla1[[#This Row],[CONCEPTO mx]]="","",VLOOKUP(Tabla1[[#This Row],[CONCEPTO mx]],Tabla2[#All],3,0)),"")</f>
        <v>Gestión Humana</v>
      </c>
      <c r="H1599" s="49" t="s">
        <v>439</v>
      </c>
      <c r="I1599" s="49" t="s">
        <v>2298</v>
      </c>
      <c r="J1599" s="49" t="s">
        <v>3396</v>
      </c>
    </row>
    <row r="1600" spans="1:12" x14ac:dyDescent="0.25">
      <c r="A1600" s="51">
        <v>43568</v>
      </c>
      <c r="B1600" s="59">
        <v>1003466567</v>
      </c>
      <c r="C1600" s="59" t="s">
        <v>3813</v>
      </c>
      <c r="D1600" s="49" t="s">
        <v>51</v>
      </c>
      <c r="E1600" s="49" t="s">
        <v>3248</v>
      </c>
      <c r="F1600" s="76" t="str">
        <f>IFERROR(IF(Tabla1[[#This Row],[CONCEPTO mx]]="","",VLOOKUP(Tabla1[[#This Row],[CONCEPTO mx]],Tabla2[#All],2,0)),"")</f>
        <v>CM1</v>
      </c>
      <c r="G1600" s="76" t="str">
        <f>IFERROR(IF(Tabla1[[#This Row],[CONCEPTO mx]]="","",VLOOKUP(Tabla1[[#This Row],[CONCEPTO mx]],Tabla2[#All],3,0)),"")</f>
        <v>Gestión Humana</v>
      </c>
      <c r="H1600" s="49" t="s">
        <v>438</v>
      </c>
      <c r="I1600" s="49" t="s">
        <v>2298</v>
      </c>
      <c r="J1600" s="49" t="s">
        <v>3814</v>
      </c>
    </row>
    <row r="1601" spans="1:12" x14ac:dyDescent="0.25">
      <c r="A1601" s="51">
        <v>43568</v>
      </c>
      <c r="B1601" s="59">
        <v>1028021884</v>
      </c>
      <c r="C1601" s="59" t="s">
        <v>3803</v>
      </c>
      <c r="D1601" s="49" t="s">
        <v>51</v>
      </c>
      <c r="E1601" s="49" t="s">
        <v>3248</v>
      </c>
      <c r="F1601" s="76" t="str">
        <f>IFERROR(IF(Tabla1[[#This Row],[CONCEPTO mx]]="","",VLOOKUP(Tabla1[[#This Row],[CONCEPTO mx]],Tabla2[#All],2,0)),"")</f>
        <v>CM1</v>
      </c>
      <c r="G1601" s="76" t="str">
        <f>IFERROR(IF(Tabla1[[#This Row],[CONCEPTO mx]]="","",VLOOKUP(Tabla1[[#This Row],[CONCEPTO mx]],Tabla2[#All],3,0)),"")</f>
        <v>Gestión Humana</v>
      </c>
      <c r="H1601" s="49" t="s">
        <v>388</v>
      </c>
      <c r="I1601" s="49" t="s">
        <v>2298</v>
      </c>
      <c r="J1601" s="49" t="s">
        <v>2917</v>
      </c>
    </row>
    <row r="1602" spans="1:12" x14ac:dyDescent="0.25">
      <c r="A1602" s="51">
        <v>43568</v>
      </c>
      <c r="B1602" s="50">
        <v>1028023070</v>
      </c>
      <c r="C1602" s="59" t="s">
        <v>3736</v>
      </c>
      <c r="D1602" s="49" t="s">
        <v>51</v>
      </c>
      <c r="E1602" s="49" t="s">
        <v>3315</v>
      </c>
      <c r="F1602" s="76" t="str">
        <f>IFERROR(IF(Tabla1[[#This Row],[CONCEPTO mx]]="","",VLOOKUP(Tabla1[[#This Row],[CONCEPTO mx]],Tabla2[#All],2,0)),"")</f>
        <v>CM40</v>
      </c>
      <c r="G1602" s="76" t="str">
        <f>IFERROR(IF(Tabla1[[#This Row],[CONCEPTO mx]]="","",VLOOKUP(Tabla1[[#This Row],[CONCEPTO mx]],Tabla2[#All],3,0)),"")</f>
        <v>SST</v>
      </c>
      <c r="H1602" s="49" t="s">
        <v>628</v>
      </c>
      <c r="I1602" s="49" t="s">
        <v>2298</v>
      </c>
      <c r="J1602" s="49" t="s">
        <v>3735</v>
      </c>
      <c r="L1602" s="49" t="s">
        <v>3185</v>
      </c>
    </row>
    <row r="1603" spans="1:12" x14ac:dyDescent="0.25">
      <c r="A1603" s="51">
        <v>43568</v>
      </c>
      <c r="B1603" s="59">
        <v>1027960590</v>
      </c>
      <c r="C1603" s="59" t="s">
        <v>3808</v>
      </c>
      <c r="D1603" s="49" t="s">
        <v>180</v>
      </c>
      <c r="E1603" s="49" t="s">
        <v>3187</v>
      </c>
      <c r="F1603" s="76" t="str">
        <f>IFERROR(IF(Tabla1[[#This Row],[CONCEPTO mx]]="","",VLOOKUP(Tabla1[[#This Row],[CONCEPTO mx]],Tabla2[#All],2,0)),"")</f>
        <v>CM8</v>
      </c>
      <c r="G1603" s="76" t="str">
        <f>IFERROR(IF(Tabla1[[#This Row],[CONCEPTO mx]]="","",VLOOKUP(Tabla1[[#This Row],[CONCEPTO mx]],Tabla2[#All],3,0)),"")</f>
        <v>Gestión Humana</v>
      </c>
      <c r="H1603" s="49" t="s">
        <v>438</v>
      </c>
      <c r="I1603" s="49" t="s">
        <v>2298</v>
      </c>
      <c r="J1603" s="49" t="s">
        <v>3809</v>
      </c>
      <c r="L1603" s="59" t="s">
        <v>3810</v>
      </c>
    </row>
    <row r="1604" spans="1:12" x14ac:dyDescent="0.25">
      <c r="A1604" s="51">
        <v>43568</v>
      </c>
      <c r="B1604" s="59">
        <v>1038813972</v>
      </c>
      <c r="C1604" s="59" t="s">
        <v>3817</v>
      </c>
      <c r="D1604" s="49" t="s">
        <v>180</v>
      </c>
      <c r="E1604" s="49" t="s">
        <v>3181</v>
      </c>
      <c r="F1604" s="76" t="str">
        <f>IFERROR(IF(Tabla1[[#This Row],[CONCEPTO mx]]="","",VLOOKUP(Tabla1[[#This Row],[CONCEPTO mx]],Tabla2[#All],2,0)),"")</f>
        <v>CM10</v>
      </c>
      <c r="G1604" s="76" t="str">
        <f>IFERROR(IF(Tabla1[[#This Row],[CONCEPTO mx]]="","",VLOOKUP(Tabla1[[#This Row],[CONCEPTO mx]],Tabla2[#All],3,0)),"")</f>
        <v>Gestión Humana</v>
      </c>
      <c r="H1604" s="49" t="s">
        <v>2391</v>
      </c>
      <c r="I1604" s="49" t="s">
        <v>2298</v>
      </c>
      <c r="J1604" s="49" t="s">
        <v>3818</v>
      </c>
      <c r="L1604" s="59" t="s">
        <v>3819</v>
      </c>
    </row>
    <row r="1605" spans="1:12" x14ac:dyDescent="0.25">
      <c r="A1605" s="51">
        <v>43568</v>
      </c>
      <c r="B1605" s="59">
        <v>1007950251</v>
      </c>
      <c r="C1605" s="59" t="s">
        <v>3807</v>
      </c>
      <c r="D1605" s="49" t="s">
        <v>180</v>
      </c>
      <c r="E1605" s="49" t="s">
        <v>3185</v>
      </c>
      <c r="F1605" s="76" t="str">
        <f>IFERROR(IF(Tabla1[[#This Row],[CONCEPTO mx]]="","",VLOOKUP(Tabla1[[#This Row],[CONCEPTO mx]],Tabla2[#All],2,0)),"")</f>
        <v>CM5</v>
      </c>
      <c r="G1605" s="76" t="str">
        <f>IFERROR(IF(Tabla1[[#This Row],[CONCEPTO mx]]="","",VLOOKUP(Tabla1[[#This Row],[CONCEPTO mx]],Tabla2[#All],3,0)),"")</f>
        <v>SST</v>
      </c>
      <c r="H1605" s="49" t="s">
        <v>438</v>
      </c>
      <c r="I1605" s="49" t="s">
        <v>2298</v>
      </c>
      <c r="J1605" s="49" t="s">
        <v>2818</v>
      </c>
    </row>
    <row r="1606" spans="1:12" x14ac:dyDescent="0.25">
      <c r="A1606" s="51">
        <v>43568</v>
      </c>
      <c r="B1606" s="59">
        <v>1073990566</v>
      </c>
      <c r="C1606" s="59" t="s">
        <v>3738</v>
      </c>
      <c r="D1606" s="49" t="s">
        <v>51</v>
      </c>
      <c r="E1606" s="49" t="s">
        <v>3249</v>
      </c>
      <c r="F1606" s="76" t="str">
        <f>IFERROR(IF(Tabla1[[#This Row],[CONCEPTO mx]]="","",VLOOKUP(Tabla1[[#This Row],[CONCEPTO mx]],Tabla2[#All],2,0)),"")</f>
        <v>CM3</v>
      </c>
      <c r="G1606" s="76" t="str">
        <f>IFERROR(IF(Tabla1[[#This Row],[CONCEPTO mx]]="","",VLOOKUP(Tabla1[[#This Row],[CONCEPTO mx]],Tabla2[#All],3,0)),"")</f>
        <v>SST</v>
      </c>
      <c r="H1606" s="49" t="s">
        <v>438</v>
      </c>
      <c r="I1606" s="49" t="s">
        <v>2298</v>
      </c>
      <c r="J1606" s="49" t="s">
        <v>2792</v>
      </c>
      <c r="K1606" s="51">
        <v>43559</v>
      </c>
    </row>
    <row r="1607" spans="1:12" x14ac:dyDescent="0.25">
      <c r="A1607" s="51">
        <v>43568</v>
      </c>
      <c r="B1607" s="59">
        <v>1041263791</v>
      </c>
      <c r="C1607" s="59" t="s">
        <v>3797</v>
      </c>
      <c r="D1607" s="49" t="s">
        <v>51</v>
      </c>
      <c r="E1607" s="49" t="s">
        <v>3184</v>
      </c>
      <c r="F1607" s="76" t="str">
        <f>IFERROR(IF(Tabla1[[#This Row],[CONCEPTO mx]]="","",VLOOKUP(Tabla1[[#This Row],[CONCEPTO mx]],Tabla2[#All],2,0)),"")</f>
        <v/>
      </c>
      <c r="G1607" s="76" t="str">
        <f>IFERROR(IF(Tabla1[[#This Row],[CONCEPTO mx]]="","",VLOOKUP(Tabla1[[#This Row],[CONCEPTO mx]],Tabla2[#All],3,0)),"")</f>
        <v/>
      </c>
      <c r="H1607" s="49" t="s">
        <v>343</v>
      </c>
      <c r="I1607" s="49" t="s">
        <v>2298</v>
      </c>
      <c r="J1607" s="49" t="s">
        <v>2314</v>
      </c>
      <c r="L1607" s="59" t="s">
        <v>3799</v>
      </c>
    </row>
    <row r="1608" spans="1:12" x14ac:dyDescent="0.25">
      <c r="A1608" s="51">
        <v>43568</v>
      </c>
      <c r="B1608" s="59">
        <v>1001022892</v>
      </c>
      <c r="C1608" s="59" t="s">
        <v>3708</v>
      </c>
      <c r="D1608" s="49" t="s">
        <v>180</v>
      </c>
      <c r="E1608" s="49" t="s">
        <v>3174</v>
      </c>
      <c r="F1608" s="76" t="str">
        <f>IFERROR(IF(Tabla1[[#This Row],[CONCEPTO mx]]="","",VLOOKUP(Tabla1[[#This Row],[CONCEPTO mx]],Tabla2[#All],2,0)),"")</f>
        <v>CM2</v>
      </c>
      <c r="G1608" s="76" t="str">
        <f>IFERROR(IF(Tabla1[[#This Row],[CONCEPTO mx]]="","",VLOOKUP(Tabla1[[#This Row],[CONCEPTO mx]],Tabla2[#All],3,0)),"")</f>
        <v>SST</v>
      </c>
      <c r="H1608" s="49" t="s">
        <v>334</v>
      </c>
      <c r="I1608" s="49" t="s">
        <v>2512</v>
      </c>
      <c r="K1608" s="51">
        <v>43558</v>
      </c>
    </row>
    <row r="1609" spans="1:12" x14ac:dyDescent="0.25">
      <c r="A1609" s="51">
        <v>43568</v>
      </c>
      <c r="B1609" s="59">
        <v>71242036</v>
      </c>
      <c r="C1609" s="59" t="s">
        <v>3804</v>
      </c>
      <c r="D1609" s="49" t="s">
        <v>51</v>
      </c>
      <c r="E1609" s="49" t="s">
        <v>3250</v>
      </c>
      <c r="F1609" s="76" t="str">
        <f>IFERROR(IF(Tabla1[[#This Row],[CONCEPTO mx]]="","",VLOOKUP(Tabla1[[#This Row],[CONCEPTO mx]],Tabla2[#All],2,0)),"")</f>
        <v>CM12</v>
      </c>
      <c r="G1609" s="76" t="str">
        <f>IFERROR(IF(Tabla1[[#This Row],[CONCEPTO mx]]="","",VLOOKUP(Tabla1[[#This Row],[CONCEPTO mx]],Tabla2[#All],3,0)),"")</f>
        <v>SST</v>
      </c>
      <c r="H1609" s="49" t="s">
        <v>438</v>
      </c>
      <c r="I1609" s="49" t="s">
        <v>2298</v>
      </c>
      <c r="J1609" s="49" t="s">
        <v>3806</v>
      </c>
      <c r="L1609" s="59" t="s">
        <v>3805</v>
      </c>
    </row>
    <row r="1610" spans="1:12" x14ac:dyDescent="0.25">
      <c r="A1610" s="51">
        <v>43568</v>
      </c>
      <c r="B1610" s="59">
        <v>1020397150</v>
      </c>
      <c r="C1610" s="49" t="s">
        <v>3815</v>
      </c>
      <c r="D1610" s="49" t="s">
        <v>51</v>
      </c>
      <c r="E1610" s="49" t="s">
        <v>3248</v>
      </c>
      <c r="F1610" s="76" t="str">
        <f>IFERROR(IF(Tabla1[[#This Row],[CONCEPTO mx]]="","",VLOOKUP(Tabla1[[#This Row],[CONCEPTO mx]],Tabla2[#All],2,0)),"")</f>
        <v>CM1</v>
      </c>
      <c r="G1610" s="76" t="str">
        <f>IFERROR(IF(Tabla1[[#This Row],[CONCEPTO mx]]="","",VLOOKUP(Tabla1[[#This Row],[CONCEPTO mx]],Tabla2[#All],3,0)),"")</f>
        <v>Gestión Humana</v>
      </c>
      <c r="H1610" s="49" t="s">
        <v>470</v>
      </c>
      <c r="I1610" s="49" t="s">
        <v>3392</v>
      </c>
      <c r="J1610" s="49" t="s">
        <v>2316</v>
      </c>
      <c r="L1610" s="49" t="s">
        <v>3816</v>
      </c>
    </row>
    <row r="1611" spans="1:12" x14ac:dyDescent="0.25">
      <c r="A1611" s="51">
        <v>43570</v>
      </c>
      <c r="C1611" s="59" t="s">
        <v>3732</v>
      </c>
      <c r="D1611" s="49" t="s">
        <v>51</v>
      </c>
      <c r="E1611" s="49" t="s">
        <v>3315</v>
      </c>
      <c r="F1611" s="76" t="str">
        <f>IFERROR(IF(Tabla1[[#This Row],[CONCEPTO mx]]="","",VLOOKUP(Tabla1[[#This Row],[CONCEPTO mx]],Tabla2[#All],2,0)),"")</f>
        <v>CM40</v>
      </c>
      <c r="G1611" s="76" t="str">
        <f>IFERROR(IF(Tabla1[[#This Row],[CONCEPTO mx]]="","",VLOOKUP(Tabla1[[#This Row],[CONCEPTO mx]],Tabla2[#All],3,0)),"")</f>
        <v>SST</v>
      </c>
      <c r="H1611" s="49" t="s">
        <v>406</v>
      </c>
      <c r="I1611" s="49" t="s">
        <v>2298</v>
      </c>
      <c r="J1611" s="49" t="s">
        <v>2792</v>
      </c>
      <c r="K1611" s="51">
        <v>43559</v>
      </c>
      <c r="L1611" s="49" t="s">
        <v>3861</v>
      </c>
    </row>
    <row r="1612" spans="1:12" x14ac:dyDescent="0.25">
      <c r="A1612" s="51">
        <v>43570</v>
      </c>
      <c r="B1612" s="59">
        <v>8070765</v>
      </c>
      <c r="C1612" s="59" t="s">
        <v>3831</v>
      </c>
      <c r="D1612" s="49" t="s">
        <v>51</v>
      </c>
      <c r="E1612" s="49" t="s">
        <v>3248</v>
      </c>
      <c r="F1612" s="76" t="str">
        <f>IFERROR(IF(Tabla1[[#This Row],[CONCEPTO mx]]="","",VLOOKUP(Tabla1[[#This Row],[CONCEPTO mx]],Tabla2[#All],2,0)),"")</f>
        <v>CM1</v>
      </c>
      <c r="G1612" s="76" t="str">
        <f>IFERROR(IF(Tabla1[[#This Row],[CONCEPTO mx]]="","",VLOOKUP(Tabla1[[#This Row],[CONCEPTO mx]],Tabla2[#All],3,0)),"")</f>
        <v>Gestión Humana</v>
      </c>
      <c r="H1612" s="49" t="s">
        <v>528</v>
      </c>
      <c r="I1612" s="49" t="s">
        <v>2298</v>
      </c>
      <c r="J1612" s="49" t="s">
        <v>2792</v>
      </c>
    </row>
    <row r="1613" spans="1:12" x14ac:dyDescent="0.25">
      <c r="A1613" s="51">
        <v>43570</v>
      </c>
      <c r="B1613" s="59">
        <v>1007815865</v>
      </c>
      <c r="C1613" s="59" t="s">
        <v>3856</v>
      </c>
      <c r="D1613" s="49" t="s">
        <v>180</v>
      </c>
      <c r="E1613" s="49" t="s">
        <v>3859</v>
      </c>
      <c r="F1613" s="76" t="str">
        <f>IFERROR(IF(Tabla1[[#This Row],[CONCEPTO mx]]="","",VLOOKUP(Tabla1[[#This Row],[CONCEPTO mx]],Tabla2[#All],2,0)),"")</f>
        <v>CM46</v>
      </c>
      <c r="G1613" s="76" t="str">
        <f>IFERROR(IF(Tabla1[[#This Row],[CONCEPTO mx]]="","",VLOOKUP(Tabla1[[#This Row],[CONCEPTO mx]],Tabla2[#All],3,0)),"")</f>
        <v>Gestión Humana</v>
      </c>
      <c r="H1613" s="49" t="s">
        <v>343</v>
      </c>
      <c r="I1613" s="49" t="s">
        <v>2298</v>
      </c>
      <c r="J1613" s="49" t="s">
        <v>3860</v>
      </c>
    </row>
    <row r="1614" spans="1:12" x14ac:dyDescent="0.25">
      <c r="A1614" s="51">
        <v>43570</v>
      </c>
      <c r="B1614" s="59">
        <v>1040373519</v>
      </c>
      <c r="C1614" s="59" t="s">
        <v>3832</v>
      </c>
      <c r="D1614" s="49" t="s">
        <v>51</v>
      </c>
      <c r="E1614" s="49" t="s">
        <v>3250</v>
      </c>
      <c r="F1614" s="76" t="str">
        <f>IFERROR(IF(Tabla1[[#This Row],[CONCEPTO mx]]="","",VLOOKUP(Tabla1[[#This Row],[CONCEPTO mx]],Tabla2[#All],2,0)),"")</f>
        <v>CM12</v>
      </c>
      <c r="G1614" s="76" t="str">
        <f>IFERROR(IF(Tabla1[[#This Row],[CONCEPTO mx]]="","",VLOOKUP(Tabla1[[#This Row],[CONCEPTO mx]],Tabla2[#All],3,0)),"")</f>
        <v>SST</v>
      </c>
      <c r="H1614" s="49" t="s">
        <v>2391</v>
      </c>
      <c r="I1614" s="49" t="s">
        <v>2298</v>
      </c>
      <c r="J1614" s="49" t="s">
        <v>2792</v>
      </c>
      <c r="L1614" s="59" t="s">
        <v>3862</v>
      </c>
    </row>
    <row r="1615" spans="1:12" x14ac:dyDescent="0.25">
      <c r="A1615" s="51">
        <v>43570</v>
      </c>
      <c r="B1615" s="59">
        <v>1002392367</v>
      </c>
      <c r="C1615" s="59" t="s">
        <v>3855</v>
      </c>
      <c r="D1615" s="49" t="s">
        <v>180</v>
      </c>
      <c r="E1615" s="49" t="s">
        <v>3187</v>
      </c>
      <c r="F1615" s="76" t="str">
        <f>IFERROR(IF(Tabla1[[#This Row],[CONCEPTO mx]]="","",VLOOKUP(Tabla1[[#This Row],[CONCEPTO mx]],Tabla2[#All],2,0)),"")</f>
        <v>CM8</v>
      </c>
      <c r="G1615" s="76" t="str">
        <f>IFERROR(IF(Tabla1[[#This Row],[CONCEPTO mx]]="","",VLOOKUP(Tabla1[[#This Row],[CONCEPTO mx]],Tabla2[#All],3,0)),"")</f>
        <v>Gestión Humana</v>
      </c>
      <c r="H1615" s="49" t="s">
        <v>387</v>
      </c>
      <c r="I1615" s="49" t="s">
        <v>2298</v>
      </c>
      <c r="J1615" s="49" t="s">
        <v>4233</v>
      </c>
      <c r="L1615" s="49" t="s">
        <v>3854</v>
      </c>
    </row>
    <row r="1616" spans="1:12" x14ac:dyDescent="0.25">
      <c r="A1616" s="51">
        <v>43570</v>
      </c>
      <c r="B1616" s="59">
        <v>1007722690</v>
      </c>
      <c r="C1616" s="59" t="s">
        <v>3836</v>
      </c>
      <c r="D1616" s="49" t="s">
        <v>51</v>
      </c>
      <c r="E1616" s="49" t="s">
        <v>3315</v>
      </c>
      <c r="F1616" s="76" t="str">
        <f>IFERROR(IF(Tabla1[[#This Row],[CONCEPTO mx]]="","",VLOOKUP(Tabla1[[#This Row],[CONCEPTO mx]],Tabla2[#All],2,0)),"")</f>
        <v>CM40</v>
      </c>
      <c r="G1616" s="76" t="str">
        <f>IFERROR(IF(Tabla1[[#This Row],[CONCEPTO mx]]="","",VLOOKUP(Tabla1[[#This Row],[CONCEPTO mx]],Tabla2[#All],3,0)),"")</f>
        <v>SST</v>
      </c>
      <c r="H1616" s="49" t="s">
        <v>439</v>
      </c>
      <c r="I1616" s="49" t="s">
        <v>2298</v>
      </c>
      <c r="J1616" s="49" t="s">
        <v>2820</v>
      </c>
      <c r="L1616" s="49" t="s">
        <v>3863</v>
      </c>
    </row>
    <row r="1617" spans="1:12" x14ac:dyDescent="0.25">
      <c r="A1617" s="51">
        <v>43570</v>
      </c>
      <c r="B1617" s="50">
        <v>8167877</v>
      </c>
      <c r="C1617" s="59" t="s">
        <v>3853</v>
      </c>
      <c r="D1617" s="49" t="s">
        <v>51</v>
      </c>
      <c r="E1617" s="49" t="s">
        <v>3197</v>
      </c>
      <c r="F1617" s="76" t="str">
        <f>IFERROR(IF(Tabla1[[#This Row],[CONCEPTO mx]]="","",VLOOKUP(Tabla1[[#This Row],[CONCEPTO mx]],Tabla2[#All],2,0)),"")</f>
        <v>CM14</v>
      </c>
      <c r="G1617" s="76" t="str">
        <f>IFERROR(IF(Tabla1[[#This Row],[CONCEPTO mx]]="","",VLOOKUP(Tabla1[[#This Row],[CONCEPTO mx]],Tabla2[#All],3,0)),"")</f>
        <v>SST</v>
      </c>
      <c r="H1617" s="49" t="s">
        <v>486</v>
      </c>
      <c r="I1617" s="49" t="s">
        <v>2298</v>
      </c>
      <c r="J1617" s="49" t="s">
        <v>2845</v>
      </c>
      <c r="L1617" s="59" t="s">
        <v>3867</v>
      </c>
    </row>
    <row r="1618" spans="1:12" x14ac:dyDescent="0.25">
      <c r="A1618" s="51">
        <v>43570</v>
      </c>
      <c r="B1618" s="59">
        <v>1028036563</v>
      </c>
      <c r="C1618" s="59" t="s">
        <v>3828</v>
      </c>
      <c r="D1618" s="49" t="s">
        <v>51</v>
      </c>
      <c r="E1618" s="49" t="s">
        <v>3249</v>
      </c>
      <c r="F1618" s="76" t="str">
        <f>IFERROR(IF(Tabla1[[#This Row],[CONCEPTO mx]]="","",VLOOKUP(Tabla1[[#This Row],[CONCEPTO mx]],Tabla2[#All],2,0)),"")</f>
        <v>CM3</v>
      </c>
      <c r="G1618" s="76" t="str">
        <f>IFERROR(IF(Tabla1[[#This Row],[CONCEPTO mx]]="","",VLOOKUP(Tabla1[[#This Row],[CONCEPTO mx]],Tabla2[#All],3,0)),"")</f>
        <v>SST</v>
      </c>
      <c r="H1618" s="49" t="s">
        <v>542</v>
      </c>
      <c r="I1618" s="49" t="s">
        <v>2512</v>
      </c>
    </row>
    <row r="1619" spans="1:12" x14ac:dyDescent="0.25">
      <c r="A1619" s="51">
        <v>43570</v>
      </c>
      <c r="B1619" s="59">
        <v>1131939133</v>
      </c>
      <c r="C1619" s="59" t="s">
        <v>3848</v>
      </c>
      <c r="D1619" s="49" t="s">
        <v>51</v>
      </c>
      <c r="E1619" s="49" t="s">
        <v>3248</v>
      </c>
      <c r="F1619" s="76" t="str">
        <f>IFERROR(IF(Tabla1[[#This Row],[CONCEPTO mx]]="","",VLOOKUP(Tabla1[[#This Row],[CONCEPTO mx]],Tabla2[#All],2,0)),"")</f>
        <v>CM1</v>
      </c>
      <c r="G1619" s="76" t="str">
        <f>IFERROR(IF(Tabla1[[#This Row],[CONCEPTO mx]]="","",VLOOKUP(Tabla1[[#This Row],[CONCEPTO mx]],Tabla2[#All],3,0)),"")</f>
        <v>Gestión Humana</v>
      </c>
      <c r="H1619" s="49" t="s">
        <v>486</v>
      </c>
      <c r="I1619" s="49" t="s">
        <v>2298</v>
      </c>
      <c r="J1619" s="49" t="s">
        <v>3849</v>
      </c>
    </row>
    <row r="1620" spans="1:12" x14ac:dyDescent="0.25">
      <c r="A1620" s="51">
        <v>43570</v>
      </c>
      <c r="B1620" s="59">
        <v>71240753</v>
      </c>
      <c r="C1620" s="59" t="s">
        <v>3851</v>
      </c>
      <c r="D1620" s="49" t="s">
        <v>51</v>
      </c>
      <c r="E1620" s="49" t="s">
        <v>3315</v>
      </c>
      <c r="F1620" s="76" t="str">
        <f>IFERROR(IF(Tabla1[[#This Row],[CONCEPTO mx]]="","",VLOOKUP(Tabla1[[#This Row],[CONCEPTO mx]],Tabla2[#All],2,0)),"")</f>
        <v>CM40</v>
      </c>
      <c r="G1620" s="76" t="str">
        <f>IFERROR(IF(Tabla1[[#This Row],[CONCEPTO mx]]="","",VLOOKUP(Tabla1[[#This Row],[CONCEPTO mx]],Tabla2[#All],3,0)),"")</f>
        <v>SST</v>
      </c>
      <c r="H1620" s="49" t="s">
        <v>628</v>
      </c>
      <c r="I1620" s="49" t="s">
        <v>2298</v>
      </c>
      <c r="J1620" s="49" t="s">
        <v>3852</v>
      </c>
      <c r="L1620" s="59" t="s">
        <v>3866</v>
      </c>
    </row>
    <row r="1621" spans="1:12" x14ac:dyDescent="0.25">
      <c r="A1621" s="51">
        <v>43570</v>
      </c>
      <c r="B1621" s="59">
        <v>3106663531</v>
      </c>
      <c r="C1621" s="59" t="s">
        <v>3837</v>
      </c>
      <c r="D1621" s="49" t="s">
        <v>180</v>
      </c>
      <c r="E1621" s="49" t="s">
        <v>3185</v>
      </c>
      <c r="F1621" s="76" t="str">
        <f>IFERROR(IF(Tabla1[[#This Row],[CONCEPTO mx]]="","",VLOOKUP(Tabla1[[#This Row],[CONCEPTO mx]],Tabla2[#All],2,0)),"")</f>
        <v>CM5</v>
      </c>
      <c r="G1621" s="76" t="str">
        <f>IFERROR(IF(Tabla1[[#This Row],[CONCEPTO mx]]="","",VLOOKUP(Tabla1[[#This Row],[CONCEPTO mx]],Tabla2[#All],3,0)),"")</f>
        <v>SST</v>
      </c>
      <c r="H1621" s="49" t="s">
        <v>3523</v>
      </c>
      <c r="I1621" s="49" t="s">
        <v>2298</v>
      </c>
      <c r="J1621" s="49" t="s">
        <v>2307</v>
      </c>
      <c r="L1621" s="49" t="s">
        <v>3838</v>
      </c>
    </row>
    <row r="1622" spans="1:12" x14ac:dyDescent="0.25">
      <c r="A1622" s="51">
        <v>43570</v>
      </c>
      <c r="B1622" s="59">
        <v>1040381065</v>
      </c>
      <c r="C1622" s="59" t="s">
        <v>3830</v>
      </c>
      <c r="D1622" s="49" t="s">
        <v>51</v>
      </c>
      <c r="E1622" s="49" t="s">
        <v>2635</v>
      </c>
      <c r="F1622" s="76" t="str">
        <f>IFERROR(IF(Tabla1[[#This Row],[CONCEPTO mx]]="","",VLOOKUP(Tabla1[[#This Row],[CONCEPTO mx]],Tabla2[#All],2,0)),"")</f>
        <v>CM21</v>
      </c>
      <c r="G1622" s="76" t="str">
        <f>IFERROR(IF(Tabla1[[#This Row],[CONCEPTO mx]]="","",VLOOKUP(Tabla1[[#This Row],[CONCEPTO mx]],Tabla2[#All],3,0)),"")</f>
        <v>SST</v>
      </c>
      <c r="H1622" s="49" t="s">
        <v>484</v>
      </c>
      <c r="I1622" s="49" t="s">
        <v>2298</v>
      </c>
      <c r="J1622" s="49" t="s">
        <v>2353</v>
      </c>
    </row>
    <row r="1623" spans="1:12" x14ac:dyDescent="0.25">
      <c r="A1623" s="51">
        <v>43570</v>
      </c>
      <c r="B1623" s="59">
        <v>1028008408</v>
      </c>
      <c r="C1623" s="59" t="s">
        <v>3850</v>
      </c>
      <c r="D1623" s="49" t="s">
        <v>51</v>
      </c>
      <c r="E1623" s="49" t="s">
        <v>3250</v>
      </c>
      <c r="F1623" s="76" t="str">
        <f>IFERROR(IF(Tabla1[[#This Row],[CONCEPTO mx]]="","",VLOOKUP(Tabla1[[#This Row],[CONCEPTO mx]],Tabla2[#All],2,0)),"")</f>
        <v>CM12</v>
      </c>
      <c r="G1623" s="76" t="str">
        <f>IFERROR(IF(Tabla1[[#This Row],[CONCEPTO mx]]="","",VLOOKUP(Tabla1[[#This Row],[CONCEPTO mx]],Tabla2[#All],3,0)),"")</f>
        <v>SST</v>
      </c>
      <c r="H1623" s="49" t="s">
        <v>406</v>
      </c>
      <c r="I1623" s="49" t="s">
        <v>2298</v>
      </c>
      <c r="J1623" s="49" t="s">
        <v>2820</v>
      </c>
      <c r="L1623" s="59" t="s">
        <v>3865</v>
      </c>
    </row>
    <row r="1624" spans="1:12" x14ac:dyDescent="0.25">
      <c r="A1624" s="51">
        <v>43570</v>
      </c>
      <c r="B1624" s="59">
        <v>71947966</v>
      </c>
      <c r="C1624" s="59" t="s">
        <v>3841</v>
      </c>
      <c r="D1624" s="49" t="s">
        <v>51</v>
      </c>
      <c r="E1624" s="49" t="s">
        <v>3315</v>
      </c>
      <c r="F1624" s="76" t="str">
        <f>IFERROR(IF(Tabla1[[#This Row],[CONCEPTO mx]]="","",VLOOKUP(Tabla1[[#This Row],[CONCEPTO mx]],Tabla2[#All],2,0)),"")</f>
        <v>CM40</v>
      </c>
      <c r="G1624" s="76" t="str">
        <f>IFERROR(IF(Tabla1[[#This Row],[CONCEPTO mx]]="","",VLOOKUP(Tabla1[[#This Row],[CONCEPTO mx]],Tabla2[#All],3,0)),"")</f>
        <v>SST</v>
      </c>
      <c r="H1624" s="49" t="s">
        <v>438</v>
      </c>
      <c r="I1624" s="49" t="s">
        <v>2298</v>
      </c>
      <c r="J1624" s="49" t="s">
        <v>3843</v>
      </c>
      <c r="L1624" s="59" t="s">
        <v>3842</v>
      </c>
    </row>
    <row r="1625" spans="1:12" x14ac:dyDescent="0.25">
      <c r="A1625" s="51">
        <v>43570</v>
      </c>
      <c r="B1625" s="59">
        <v>1027958231</v>
      </c>
      <c r="C1625" s="59" t="s">
        <v>3835</v>
      </c>
      <c r="D1625" s="49" t="s">
        <v>51</v>
      </c>
      <c r="E1625" s="49" t="s">
        <v>3315</v>
      </c>
      <c r="F1625" s="76" t="str">
        <f>IFERROR(IF(Tabla1[[#This Row],[CONCEPTO mx]]="","",VLOOKUP(Tabla1[[#This Row],[CONCEPTO mx]],Tabla2[#All],2,0)),"")</f>
        <v>CM40</v>
      </c>
      <c r="G1625" s="76" t="str">
        <f>IFERROR(IF(Tabla1[[#This Row],[CONCEPTO mx]]="","",VLOOKUP(Tabla1[[#This Row],[CONCEPTO mx]],Tabla2[#All],3,0)),"")</f>
        <v>SST</v>
      </c>
      <c r="H1625" s="49" t="s">
        <v>486</v>
      </c>
      <c r="I1625" s="49" t="s">
        <v>2298</v>
      </c>
      <c r="J1625" s="49" t="s">
        <v>3834</v>
      </c>
      <c r="L1625" s="49" t="s">
        <v>3833</v>
      </c>
    </row>
    <row r="1626" spans="1:12" x14ac:dyDescent="0.25">
      <c r="A1626" s="51">
        <v>43570</v>
      </c>
      <c r="B1626" s="59">
        <v>1039090321</v>
      </c>
      <c r="C1626" s="59" t="s">
        <v>3845</v>
      </c>
      <c r="D1626" s="49" t="s">
        <v>51</v>
      </c>
      <c r="E1626" s="49" t="s">
        <v>3250</v>
      </c>
      <c r="F1626" s="76" t="str">
        <f>IFERROR(IF(Tabla1[[#This Row],[CONCEPTO mx]]="","",VLOOKUP(Tabla1[[#This Row],[CONCEPTO mx]],Tabla2[#All],2,0)),"")</f>
        <v>CM12</v>
      </c>
      <c r="G1626" s="76" t="str">
        <f>IFERROR(IF(Tabla1[[#This Row],[CONCEPTO mx]]="","",VLOOKUP(Tabla1[[#This Row],[CONCEPTO mx]],Tabla2[#All],3,0)),"")</f>
        <v>SST</v>
      </c>
      <c r="H1626" s="49" t="s">
        <v>486</v>
      </c>
      <c r="I1626" s="49" t="s">
        <v>2298</v>
      </c>
      <c r="J1626" s="49" t="s">
        <v>2297</v>
      </c>
    </row>
    <row r="1627" spans="1:12" x14ac:dyDescent="0.25">
      <c r="A1627" s="51">
        <v>43570</v>
      </c>
      <c r="B1627" s="59">
        <v>1028039620</v>
      </c>
      <c r="C1627" s="59" t="s">
        <v>3666</v>
      </c>
      <c r="D1627" s="49" t="s">
        <v>51</v>
      </c>
      <c r="E1627" s="49" t="s">
        <v>3315</v>
      </c>
      <c r="F1627" s="76" t="str">
        <f>IFERROR(IF(Tabla1[[#This Row],[CONCEPTO mx]]="","",VLOOKUP(Tabla1[[#This Row],[CONCEPTO mx]],Tabla2[#All],2,0)),"")</f>
        <v>CM40</v>
      </c>
      <c r="G1627" s="76" t="str">
        <f>IFERROR(IF(Tabla1[[#This Row],[CONCEPTO mx]]="","",VLOOKUP(Tabla1[[#This Row],[CONCEPTO mx]],Tabla2[#All],3,0)),"")</f>
        <v>SST</v>
      </c>
      <c r="H1627" s="49" t="s">
        <v>334</v>
      </c>
      <c r="I1627" s="49" t="s">
        <v>2298</v>
      </c>
      <c r="J1627" s="49" t="s">
        <v>2784</v>
      </c>
      <c r="K1627" s="51">
        <v>43557</v>
      </c>
      <c r="L1627" s="49" t="s">
        <v>3861</v>
      </c>
    </row>
    <row r="1628" spans="1:12" x14ac:dyDescent="0.25">
      <c r="A1628" s="51">
        <v>43570</v>
      </c>
      <c r="B1628" s="59">
        <v>1028015906</v>
      </c>
      <c r="C1628" s="59" t="s">
        <v>1009</v>
      </c>
      <c r="D1628" s="49" t="s">
        <v>51</v>
      </c>
      <c r="E1628" s="49" t="s">
        <v>3248</v>
      </c>
      <c r="F1628" s="76" t="str">
        <f>IFERROR(IF(Tabla1[[#This Row],[CONCEPTO mx]]="","",VLOOKUP(Tabla1[[#This Row],[CONCEPTO mx]],Tabla2[#All],2,0)),"")</f>
        <v>CM1</v>
      </c>
      <c r="G1628" s="76" t="str">
        <f>IFERROR(IF(Tabla1[[#This Row],[CONCEPTO mx]]="","",VLOOKUP(Tabla1[[#This Row],[CONCEPTO mx]],Tabla2[#All],3,0)),"")</f>
        <v>Gestión Humana</v>
      </c>
      <c r="H1628" s="49" t="s">
        <v>406</v>
      </c>
      <c r="I1628" s="49" t="s">
        <v>2298</v>
      </c>
      <c r="J1628" s="49" t="s">
        <v>3829</v>
      </c>
    </row>
    <row r="1629" spans="1:12" x14ac:dyDescent="0.25">
      <c r="A1629" s="51">
        <v>43570</v>
      </c>
      <c r="B1629" s="59">
        <v>1028017986</v>
      </c>
      <c r="C1629" s="59" t="s">
        <v>3846</v>
      </c>
      <c r="D1629" s="49" t="s">
        <v>180</v>
      </c>
      <c r="E1629" s="49" t="s">
        <v>3185</v>
      </c>
      <c r="F1629" s="76" t="str">
        <f>IFERROR(IF(Tabla1[[#This Row],[CONCEPTO mx]]="","",VLOOKUP(Tabla1[[#This Row],[CONCEPTO mx]],Tabla2[#All],2,0)),"")</f>
        <v>CM5</v>
      </c>
      <c r="G1629" s="76" t="str">
        <f>IFERROR(IF(Tabla1[[#This Row],[CONCEPTO mx]]="","",VLOOKUP(Tabla1[[#This Row],[CONCEPTO mx]],Tabla2[#All],3,0)),"")</f>
        <v>SST</v>
      </c>
      <c r="H1629" s="49" t="s">
        <v>486</v>
      </c>
      <c r="I1629" s="49" t="s">
        <v>2298</v>
      </c>
      <c r="J1629" s="49" t="s">
        <v>3847</v>
      </c>
      <c r="L1629" s="59" t="s">
        <v>3842</v>
      </c>
    </row>
    <row r="1630" spans="1:12" x14ac:dyDescent="0.25">
      <c r="A1630" s="51">
        <v>43570</v>
      </c>
      <c r="B1630" s="59">
        <v>1028014098</v>
      </c>
      <c r="C1630" s="59" t="s">
        <v>3844</v>
      </c>
      <c r="D1630" s="49" t="s">
        <v>51</v>
      </c>
      <c r="E1630" s="49" t="s">
        <v>3315</v>
      </c>
      <c r="F1630" s="76" t="str">
        <f>IFERROR(IF(Tabla1[[#This Row],[CONCEPTO mx]]="","",VLOOKUP(Tabla1[[#This Row],[CONCEPTO mx]],Tabla2[#All],2,0)),"")</f>
        <v>CM40</v>
      </c>
      <c r="G1630" s="76" t="str">
        <f>IFERROR(IF(Tabla1[[#This Row],[CONCEPTO mx]]="","",VLOOKUP(Tabla1[[#This Row],[CONCEPTO mx]],Tabla2[#All],3,0)),"")</f>
        <v>SST</v>
      </c>
      <c r="H1630" s="49" t="s">
        <v>438</v>
      </c>
      <c r="I1630" s="49" t="s">
        <v>2298</v>
      </c>
      <c r="J1630" s="49" t="s">
        <v>3453</v>
      </c>
      <c r="L1630" s="59" t="s">
        <v>3864</v>
      </c>
    </row>
    <row r="1631" spans="1:12" x14ac:dyDescent="0.25">
      <c r="A1631" s="51">
        <v>43578</v>
      </c>
      <c r="B1631" s="59">
        <v>39321656</v>
      </c>
      <c r="C1631" s="75" t="s">
        <v>3473</v>
      </c>
      <c r="D1631" s="49" t="s">
        <v>51</v>
      </c>
      <c r="E1631" s="49" t="s">
        <v>3315</v>
      </c>
      <c r="F1631" s="76" t="str">
        <f>IFERROR(IF(Tabla1[[#This Row],[CONCEPTO mx]]="","",VLOOKUP(Tabla1[[#This Row],[CONCEPTO mx]],Tabla2[#All],2,0)),"")</f>
        <v>CM40</v>
      </c>
      <c r="G1631" s="76" t="str">
        <f>IFERROR(IF(Tabla1[[#This Row],[CONCEPTO mx]]="","",VLOOKUP(Tabla1[[#This Row],[CONCEPTO mx]],Tabla2[#All],3,0)),"")</f>
        <v>SST</v>
      </c>
      <c r="H1631" s="49" t="s">
        <v>406</v>
      </c>
      <c r="I1631" s="49" t="s">
        <v>2298</v>
      </c>
      <c r="J1631" s="49" t="s">
        <v>3558</v>
      </c>
      <c r="K1631" s="51">
        <v>43523</v>
      </c>
      <c r="L1631" s="59" t="s">
        <v>3871</v>
      </c>
    </row>
    <row r="1632" spans="1:12" x14ac:dyDescent="0.25">
      <c r="A1632" s="51">
        <v>43578</v>
      </c>
      <c r="B1632" s="59">
        <v>1038801323</v>
      </c>
      <c r="C1632" s="59" t="s">
        <v>3693</v>
      </c>
      <c r="D1632" s="49" t="s">
        <v>51</v>
      </c>
      <c r="E1632" s="49" t="s">
        <v>3315</v>
      </c>
      <c r="F1632" s="76" t="str">
        <f>IFERROR(IF(Tabla1[[#This Row],[CONCEPTO mx]]="","",VLOOKUP(Tabla1[[#This Row],[CONCEPTO mx]],Tabla2[#All],2,0)),"")</f>
        <v>CM40</v>
      </c>
      <c r="G1632" s="76" t="str">
        <f>IFERROR(IF(Tabla1[[#This Row],[CONCEPTO mx]]="","",VLOOKUP(Tabla1[[#This Row],[CONCEPTO mx]],Tabla2[#All],3,0)),"")</f>
        <v>SST</v>
      </c>
      <c r="H1632" s="49" t="s">
        <v>2391</v>
      </c>
      <c r="I1632" s="49" t="s">
        <v>2298</v>
      </c>
      <c r="J1632" s="49" t="s">
        <v>3882</v>
      </c>
      <c r="K1632" s="51">
        <v>43557</v>
      </c>
      <c r="L1632" s="59" t="s">
        <v>3883</v>
      </c>
    </row>
    <row r="1633" spans="1:12" x14ac:dyDescent="0.25">
      <c r="A1633" s="51">
        <v>43578</v>
      </c>
      <c r="B1633" s="59">
        <v>71242978</v>
      </c>
      <c r="C1633" s="59" t="s">
        <v>3893</v>
      </c>
      <c r="D1633" s="49" t="s">
        <v>51</v>
      </c>
      <c r="E1633" s="49" t="s">
        <v>3315</v>
      </c>
      <c r="F1633" s="76" t="str">
        <f>IFERROR(IF(Tabla1[[#This Row],[CONCEPTO mx]]="","",VLOOKUP(Tabla1[[#This Row],[CONCEPTO mx]],Tabla2[#All],2,0)),"")</f>
        <v>CM40</v>
      </c>
      <c r="G1633" s="76" t="str">
        <f>IFERROR(IF(Tabla1[[#This Row],[CONCEPTO mx]]="","",VLOOKUP(Tabla1[[#This Row],[CONCEPTO mx]],Tabla2[#All],3,0)),"")</f>
        <v>SST</v>
      </c>
      <c r="H1633" s="49" t="s">
        <v>439</v>
      </c>
      <c r="I1633" s="49" t="s">
        <v>2298</v>
      </c>
      <c r="J1633" s="49" t="s">
        <v>2820</v>
      </c>
      <c r="L1633" s="59" t="s">
        <v>3894</v>
      </c>
    </row>
    <row r="1634" spans="1:12" x14ac:dyDescent="0.25">
      <c r="A1634" s="51">
        <v>43578</v>
      </c>
      <c r="B1634" s="59">
        <v>1027956673</v>
      </c>
      <c r="C1634" s="59" t="s">
        <v>3873</v>
      </c>
      <c r="D1634" s="49" t="s">
        <v>180</v>
      </c>
      <c r="E1634" s="49" t="s">
        <v>2355</v>
      </c>
      <c r="F1634" s="76" t="str">
        <f>IFERROR(IF(Tabla1[[#This Row],[CONCEPTO mx]]="","",VLOOKUP(Tabla1[[#This Row],[CONCEPTO mx]],Tabla2[#All],2,0)),"")</f>
        <v>CM13</v>
      </c>
      <c r="G1634" s="76" t="str">
        <f>IFERROR(IF(Tabla1[[#This Row],[CONCEPTO mx]]="","",VLOOKUP(Tabla1[[#This Row],[CONCEPTO mx]],Tabla2[#All],3,0)),"")</f>
        <v>Gestión Humana</v>
      </c>
      <c r="H1634" s="49" t="s">
        <v>406</v>
      </c>
      <c r="I1634" s="49" t="s">
        <v>2298</v>
      </c>
      <c r="J1634" s="49" t="s">
        <v>3558</v>
      </c>
      <c r="L1634" s="59" t="s">
        <v>3872</v>
      </c>
    </row>
    <row r="1635" spans="1:12" x14ac:dyDescent="0.25">
      <c r="A1635" s="51">
        <v>43578</v>
      </c>
      <c r="B1635" s="59">
        <v>1068811905</v>
      </c>
      <c r="C1635" s="59" t="s">
        <v>3891</v>
      </c>
      <c r="D1635" s="49" t="s">
        <v>51</v>
      </c>
      <c r="E1635" s="49" t="s">
        <v>3249</v>
      </c>
      <c r="F1635" s="76" t="str">
        <f>IFERROR(IF(Tabla1[[#This Row],[CONCEPTO mx]]="","",VLOOKUP(Tabla1[[#This Row],[CONCEPTO mx]],Tabla2[#All],2,0)),"")</f>
        <v>CM3</v>
      </c>
      <c r="G1635" s="76" t="str">
        <f>IFERROR(IF(Tabla1[[#This Row],[CONCEPTO mx]]="","",VLOOKUP(Tabla1[[#This Row],[CONCEPTO mx]],Tabla2[#All],3,0)),"")</f>
        <v>SST</v>
      </c>
      <c r="H1635" s="49" t="s">
        <v>439</v>
      </c>
      <c r="I1635" s="49" t="s">
        <v>2298</v>
      </c>
      <c r="J1635" s="49" t="s">
        <v>3892</v>
      </c>
    </row>
    <row r="1636" spans="1:12" x14ac:dyDescent="0.25">
      <c r="A1636" s="51">
        <v>43578</v>
      </c>
      <c r="B1636" s="59">
        <v>70528009</v>
      </c>
      <c r="C1636" s="59" t="s">
        <v>3887</v>
      </c>
      <c r="D1636" s="49" t="s">
        <v>51</v>
      </c>
      <c r="E1636" s="49" t="s">
        <v>3315</v>
      </c>
      <c r="F1636" s="76" t="str">
        <f>IFERROR(IF(Tabla1[[#This Row],[CONCEPTO mx]]="","",VLOOKUP(Tabla1[[#This Row],[CONCEPTO mx]],Tabla2[#All],2,0)),"")</f>
        <v>CM40</v>
      </c>
      <c r="G1636" s="76" t="str">
        <f>IFERROR(IF(Tabla1[[#This Row],[CONCEPTO mx]]="","",VLOOKUP(Tabla1[[#This Row],[CONCEPTO mx]],Tabla2[#All],3,0)),"")</f>
        <v>SST</v>
      </c>
      <c r="H1636" s="49" t="s">
        <v>2391</v>
      </c>
      <c r="I1636" s="49" t="s">
        <v>2298</v>
      </c>
      <c r="J1636" s="49" t="s">
        <v>2314</v>
      </c>
      <c r="L1636" s="59" t="s">
        <v>3888</v>
      </c>
    </row>
    <row r="1637" spans="1:12" x14ac:dyDescent="0.25">
      <c r="A1637" s="51">
        <v>43578</v>
      </c>
      <c r="B1637" s="59">
        <v>1152226684</v>
      </c>
      <c r="C1637" s="49" t="s">
        <v>3868</v>
      </c>
      <c r="D1637" s="49" t="s">
        <v>51</v>
      </c>
      <c r="E1637" s="49" t="s">
        <v>3185</v>
      </c>
      <c r="F1637" s="76" t="str">
        <f>IFERROR(IF(Tabla1[[#This Row],[CONCEPTO mx]]="","",VLOOKUP(Tabla1[[#This Row],[CONCEPTO mx]],Tabla2[#All],2,0)),"")</f>
        <v>CM5</v>
      </c>
      <c r="G1637" s="76" t="str">
        <f>IFERROR(IF(Tabla1[[#This Row],[CONCEPTO mx]]="","",VLOOKUP(Tabla1[[#This Row],[CONCEPTO mx]],Tabla2[#All],3,0)),"")</f>
        <v>SST</v>
      </c>
      <c r="I1637" s="49" t="s">
        <v>2512</v>
      </c>
      <c r="J1637" s="49" t="s">
        <v>3870</v>
      </c>
      <c r="L1637" s="59" t="s">
        <v>3869</v>
      </c>
    </row>
    <row r="1638" spans="1:12" x14ac:dyDescent="0.25">
      <c r="A1638" s="51">
        <v>43578</v>
      </c>
      <c r="B1638" s="59">
        <v>1040351249</v>
      </c>
      <c r="C1638" s="59" t="s">
        <v>3878</v>
      </c>
      <c r="D1638" s="49" t="s">
        <v>180</v>
      </c>
      <c r="E1638" s="49" t="s">
        <v>3188</v>
      </c>
      <c r="F1638" s="76" t="str">
        <f>IFERROR(IF(Tabla1[[#This Row],[CONCEPTO mx]]="","",VLOOKUP(Tabla1[[#This Row],[CONCEPTO mx]],Tabla2[#All],2,0)),"")</f>
        <v>CM7</v>
      </c>
      <c r="G1638" s="76" t="str">
        <f>IFERROR(IF(Tabla1[[#This Row],[CONCEPTO mx]]="","",VLOOKUP(Tabla1[[#This Row],[CONCEPTO mx]],Tabla2[#All],3,0)),"")</f>
        <v>SST</v>
      </c>
      <c r="H1638" s="49" t="s">
        <v>387</v>
      </c>
      <c r="I1638" s="49" t="s">
        <v>2298</v>
      </c>
      <c r="J1638" s="49" t="s">
        <v>3879</v>
      </c>
      <c r="L1638" s="59" t="s">
        <v>3899</v>
      </c>
    </row>
    <row r="1639" spans="1:12" x14ac:dyDescent="0.25">
      <c r="A1639" s="51">
        <v>43578</v>
      </c>
      <c r="B1639" s="59">
        <v>1040369487</v>
      </c>
      <c r="C1639" s="59" t="s">
        <v>3895</v>
      </c>
      <c r="D1639" s="49" t="s">
        <v>51</v>
      </c>
      <c r="E1639" s="49" t="s">
        <v>2635</v>
      </c>
      <c r="F1639" s="76" t="str">
        <f>IFERROR(IF(Tabla1[[#This Row],[CONCEPTO mx]]="","",VLOOKUP(Tabla1[[#This Row],[CONCEPTO mx]],Tabla2[#All],2,0)),"")</f>
        <v>CM21</v>
      </c>
      <c r="G1639" s="76" t="str">
        <f>IFERROR(IF(Tabla1[[#This Row],[CONCEPTO mx]]="","",VLOOKUP(Tabla1[[#This Row],[CONCEPTO mx]],Tabla2[#All],3,0)),"")</f>
        <v>SST</v>
      </c>
      <c r="H1639" s="49" t="s">
        <v>484</v>
      </c>
      <c r="I1639" s="49" t="s">
        <v>2298</v>
      </c>
      <c r="J1639" s="49" t="s">
        <v>2353</v>
      </c>
      <c r="L1639" s="59" t="s">
        <v>3896</v>
      </c>
    </row>
    <row r="1640" spans="1:12" x14ac:dyDescent="0.25">
      <c r="A1640" s="51">
        <v>43578</v>
      </c>
      <c r="B1640" s="59">
        <v>1028011212</v>
      </c>
      <c r="C1640" s="59" t="s">
        <v>3874</v>
      </c>
      <c r="D1640" s="49" t="s">
        <v>180</v>
      </c>
      <c r="E1640" s="49" t="s">
        <v>3193</v>
      </c>
      <c r="F1640" s="76" t="str">
        <f>IFERROR(IF(Tabla1[[#This Row],[CONCEPTO mx]]="","",VLOOKUP(Tabla1[[#This Row],[CONCEPTO mx]],Tabla2[#All],2,0)),"")</f>
        <v>CM30</v>
      </c>
      <c r="G1640" s="76" t="str">
        <f>IFERROR(IF(Tabla1[[#This Row],[CONCEPTO mx]]="","",VLOOKUP(Tabla1[[#This Row],[CONCEPTO mx]],Tabla2[#All],3,0)),"")</f>
        <v>SST</v>
      </c>
      <c r="H1640" s="49" t="s">
        <v>406</v>
      </c>
      <c r="I1640" s="49" t="s">
        <v>2298</v>
      </c>
      <c r="J1640" s="49" t="s">
        <v>2805</v>
      </c>
      <c r="L1640" s="59" t="s">
        <v>3875</v>
      </c>
    </row>
    <row r="1641" spans="1:12" x14ac:dyDescent="0.25">
      <c r="A1641" s="51">
        <v>43578</v>
      </c>
      <c r="B1641" s="59">
        <v>1045505545</v>
      </c>
      <c r="C1641" s="59" t="s">
        <v>3890</v>
      </c>
      <c r="D1641" s="49" t="s">
        <v>51</v>
      </c>
      <c r="E1641" s="49" t="s">
        <v>3250</v>
      </c>
      <c r="F1641" s="76" t="str">
        <f>IFERROR(IF(Tabla1[[#This Row],[CONCEPTO mx]]="","",VLOOKUP(Tabla1[[#This Row],[CONCEPTO mx]],Tabla2[#All],2,0)),"")</f>
        <v>CM12</v>
      </c>
      <c r="G1641" s="76" t="str">
        <f>IFERROR(IF(Tabla1[[#This Row],[CONCEPTO mx]]="","",VLOOKUP(Tabla1[[#This Row],[CONCEPTO mx]],Tabla2[#All],3,0)),"")</f>
        <v>SST</v>
      </c>
      <c r="H1641" s="49" t="s">
        <v>439</v>
      </c>
      <c r="I1641" s="49" t="s">
        <v>2298</v>
      </c>
      <c r="J1641" s="49" t="s">
        <v>3889</v>
      </c>
      <c r="L1641" s="59" t="s">
        <v>3897</v>
      </c>
    </row>
    <row r="1642" spans="1:12" x14ac:dyDescent="0.25">
      <c r="A1642" s="51">
        <v>43578</v>
      </c>
      <c r="B1642" s="59">
        <v>1040373060</v>
      </c>
      <c r="C1642" s="59" t="s">
        <v>3710</v>
      </c>
      <c r="D1642" s="49" t="s">
        <v>51</v>
      </c>
      <c r="E1642" s="49" t="s">
        <v>3315</v>
      </c>
      <c r="F1642" s="76" t="str">
        <f>IFERROR(IF(Tabla1[[#This Row],[CONCEPTO mx]]="","",VLOOKUP(Tabla1[[#This Row],[CONCEPTO mx]],Tabla2[#All],2,0)),"")</f>
        <v>CM40</v>
      </c>
      <c r="G1642" s="76" t="str">
        <f>IFERROR(IF(Tabla1[[#This Row],[CONCEPTO mx]]="","",VLOOKUP(Tabla1[[#This Row],[CONCEPTO mx]],Tabla2[#All],3,0)),"")</f>
        <v>SST</v>
      </c>
      <c r="H1642" s="49" t="s">
        <v>438</v>
      </c>
      <c r="I1642" s="49" t="s">
        <v>2298</v>
      </c>
      <c r="J1642" s="49" t="s">
        <v>2890</v>
      </c>
      <c r="K1642" s="51">
        <v>43558</v>
      </c>
      <c r="L1642" s="59" t="s">
        <v>3884</v>
      </c>
    </row>
    <row r="1643" spans="1:12" x14ac:dyDescent="0.25">
      <c r="A1643" s="51">
        <v>43578</v>
      </c>
      <c r="B1643" s="59">
        <v>10466530858</v>
      </c>
      <c r="C1643" s="59" t="s">
        <v>3877</v>
      </c>
      <c r="D1643" s="49" t="s">
        <v>180</v>
      </c>
      <c r="E1643" s="49" t="s">
        <v>3187</v>
      </c>
      <c r="F1643" s="76" t="str">
        <f>IFERROR(IF(Tabla1[[#This Row],[CONCEPTO mx]]="","",VLOOKUP(Tabla1[[#This Row],[CONCEPTO mx]],Tabla2[#All],2,0)),"")</f>
        <v>CM8</v>
      </c>
      <c r="G1643" s="76" t="str">
        <f>IFERROR(IF(Tabla1[[#This Row],[CONCEPTO mx]]="","",VLOOKUP(Tabla1[[#This Row],[CONCEPTO mx]],Tabla2[#All],3,0)),"")</f>
        <v>Gestión Humana</v>
      </c>
      <c r="H1643" s="49" t="s">
        <v>406</v>
      </c>
      <c r="I1643" s="49" t="s">
        <v>2298</v>
      </c>
      <c r="J1643" s="49" t="s">
        <v>4233</v>
      </c>
      <c r="L1643" s="59" t="s">
        <v>3876</v>
      </c>
    </row>
    <row r="1644" spans="1:12" x14ac:dyDescent="0.25">
      <c r="A1644" s="51">
        <v>43578</v>
      </c>
      <c r="B1644" s="59">
        <v>1148699539</v>
      </c>
      <c r="C1644" s="59" t="s">
        <v>3885</v>
      </c>
      <c r="D1644" s="49" t="s">
        <v>180</v>
      </c>
      <c r="E1644" s="49" t="s">
        <v>3188</v>
      </c>
      <c r="F1644" s="76" t="str">
        <f>IFERROR(IF(Tabla1[[#This Row],[CONCEPTO mx]]="","",VLOOKUP(Tabla1[[#This Row],[CONCEPTO mx]],Tabla2[#All],2,0)),"")</f>
        <v>CM7</v>
      </c>
      <c r="G1644" s="76" t="str">
        <f>IFERROR(IF(Tabla1[[#This Row],[CONCEPTO mx]]="","",VLOOKUP(Tabla1[[#This Row],[CONCEPTO mx]],Tabla2[#All],3,0)),"")</f>
        <v>SST</v>
      </c>
      <c r="H1644" s="49" t="s">
        <v>2391</v>
      </c>
      <c r="I1644" s="49" t="s">
        <v>2298</v>
      </c>
      <c r="J1644" s="49" t="s">
        <v>475</v>
      </c>
      <c r="L1644" s="59" t="s">
        <v>3898</v>
      </c>
    </row>
    <row r="1645" spans="1:12" x14ac:dyDescent="0.25">
      <c r="A1645" s="51">
        <v>43578</v>
      </c>
      <c r="B1645" s="59">
        <v>1028027570</v>
      </c>
      <c r="C1645" s="59" t="s">
        <v>3880</v>
      </c>
      <c r="D1645" s="49" t="s">
        <v>51</v>
      </c>
      <c r="E1645" s="49" t="s">
        <v>3315</v>
      </c>
      <c r="F1645" s="76" t="str">
        <f>IFERROR(IF(Tabla1[[#This Row],[CONCEPTO mx]]="","",VLOOKUP(Tabla1[[#This Row],[CONCEPTO mx]],Tabla2[#All],2,0)),"")</f>
        <v>CM40</v>
      </c>
      <c r="G1645" s="76" t="str">
        <f>IFERROR(IF(Tabla1[[#This Row],[CONCEPTO mx]]="","",VLOOKUP(Tabla1[[#This Row],[CONCEPTO mx]],Tabla2[#All],3,0)),"")</f>
        <v>SST</v>
      </c>
      <c r="H1645" s="49" t="s">
        <v>406</v>
      </c>
      <c r="I1645" s="49" t="s">
        <v>3392</v>
      </c>
      <c r="J1645" s="49" t="s">
        <v>3243</v>
      </c>
      <c r="L1645" s="59" t="s">
        <v>3881</v>
      </c>
    </row>
    <row r="1646" spans="1:12" x14ac:dyDescent="0.25">
      <c r="A1646" s="51">
        <v>43578</v>
      </c>
      <c r="B1646" s="59">
        <v>1001592962</v>
      </c>
      <c r="C1646" s="59" t="s">
        <v>3886</v>
      </c>
      <c r="D1646" s="49" t="s">
        <v>51</v>
      </c>
      <c r="E1646" s="49" t="s">
        <v>3248</v>
      </c>
      <c r="F1646" s="76" t="str">
        <f>IFERROR(IF(Tabla1[[#This Row],[CONCEPTO mx]]="","",VLOOKUP(Tabla1[[#This Row],[CONCEPTO mx]],Tabla2[#All],2,0)),"")</f>
        <v>CM1</v>
      </c>
      <c r="G1646" s="76" t="str">
        <f>IFERROR(IF(Tabla1[[#This Row],[CONCEPTO mx]]="","",VLOOKUP(Tabla1[[#This Row],[CONCEPTO mx]],Tabla2[#All],3,0)),"")</f>
        <v>Gestión Humana</v>
      </c>
      <c r="H1646" s="49" t="s">
        <v>2391</v>
      </c>
      <c r="I1646" s="49" t="s">
        <v>2298</v>
      </c>
      <c r="J1646" s="49" t="s">
        <v>475</v>
      </c>
    </row>
    <row r="1647" spans="1:12" x14ac:dyDescent="0.25">
      <c r="A1647" s="51">
        <v>43580</v>
      </c>
      <c r="B1647" s="59">
        <v>1045488050</v>
      </c>
      <c r="C1647" s="75" t="s">
        <v>3611</v>
      </c>
      <c r="D1647" s="49" t="s">
        <v>180</v>
      </c>
      <c r="E1647" s="49" t="s">
        <v>3413</v>
      </c>
      <c r="F1647" s="76" t="str">
        <f>IFERROR(IF(Tabla1[[#This Row],[CONCEPTO mx]]="","",VLOOKUP(Tabla1[[#This Row],[CONCEPTO mx]],Tabla2[#All],2,0)),"")</f>
        <v>CM42</v>
      </c>
      <c r="G1647" s="76" t="str">
        <f>IFERROR(IF(Tabla1[[#This Row],[CONCEPTO mx]]="","",VLOOKUP(Tabla1[[#This Row],[CONCEPTO mx]],Tabla2[#All],3,0)),"")</f>
        <v>SST</v>
      </c>
      <c r="H1647" s="49" t="s">
        <v>406</v>
      </c>
      <c r="I1647" s="49" t="s">
        <v>2298</v>
      </c>
      <c r="J1647" s="49" t="s">
        <v>2792</v>
      </c>
      <c r="L1647" s="59" t="s">
        <v>3900</v>
      </c>
    </row>
    <row r="1648" spans="1:12" x14ac:dyDescent="0.25">
      <c r="A1648" s="51">
        <v>43580</v>
      </c>
      <c r="B1648" s="59">
        <v>1073976843</v>
      </c>
      <c r="C1648" s="59" t="s">
        <v>3902</v>
      </c>
      <c r="D1648" s="49" t="s">
        <v>51</v>
      </c>
      <c r="E1648" s="49" t="s">
        <v>3249</v>
      </c>
      <c r="F1648" s="76" t="str">
        <f>IFERROR(IF(Tabla1[[#This Row],[CONCEPTO mx]]="","",VLOOKUP(Tabla1[[#This Row],[CONCEPTO mx]],Tabla2[#All],2,0)),"")</f>
        <v>CM3</v>
      </c>
      <c r="G1648" s="76" t="str">
        <f>IFERROR(IF(Tabla1[[#This Row],[CONCEPTO mx]]="","",VLOOKUP(Tabla1[[#This Row],[CONCEPTO mx]],Tabla2[#All],3,0)),"")</f>
        <v>SST</v>
      </c>
      <c r="H1648" s="49" t="s">
        <v>438</v>
      </c>
      <c r="I1648" s="49" t="s">
        <v>2298</v>
      </c>
      <c r="J1648" s="49" t="s">
        <v>2353</v>
      </c>
    </row>
    <row r="1649" spans="1:12" x14ac:dyDescent="0.25">
      <c r="A1649" s="51">
        <v>43580</v>
      </c>
      <c r="B1649" s="59">
        <v>1028029134</v>
      </c>
      <c r="C1649" s="59" t="s">
        <v>3901</v>
      </c>
      <c r="D1649" s="49" t="s">
        <v>51</v>
      </c>
      <c r="E1649" s="49" t="s">
        <v>3249</v>
      </c>
      <c r="F1649" s="76" t="str">
        <f>IFERROR(IF(Tabla1[[#This Row],[CONCEPTO mx]]="","",VLOOKUP(Tabla1[[#This Row],[CONCEPTO mx]],Tabla2[#All],2,0)),"")</f>
        <v>CM3</v>
      </c>
      <c r="G1649" s="76" t="str">
        <f>IFERROR(IF(Tabla1[[#This Row],[CONCEPTO mx]]="","",VLOOKUP(Tabla1[[#This Row],[CONCEPTO mx]],Tabla2[#All],3,0)),"")</f>
        <v>SST</v>
      </c>
      <c r="H1649" s="49" t="s">
        <v>438</v>
      </c>
      <c r="I1649" s="49" t="s">
        <v>2298</v>
      </c>
      <c r="J1649" s="49" t="s">
        <v>2302</v>
      </c>
    </row>
    <row r="1650" spans="1:12" x14ac:dyDescent="0.25">
      <c r="A1650" s="51">
        <v>43584</v>
      </c>
      <c r="B1650" s="84">
        <v>1028026038</v>
      </c>
      <c r="C1650" s="59" t="s">
        <v>3769</v>
      </c>
      <c r="D1650" s="49" t="s">
        <v>180</v>
      </c>
      <c r="E1650" s="49" t="s">
        <v>3181</v>
      </c>
      <c r="F1650" s="76" t="str">
        <f>IFERROR(IF(Tabla1[[#This Row],[CONCEPTO mx]]="","",VLOOKUP(Tabla1[[#This Row],[CONCEPTO mx]],Tabla2[#All],2,0)),"")</f>
        <v>CM10</v>
      </c>
      <c r="G1650" s="76" t="str">
        <f>IFERROR(IF(Tabla1[[#This Row],[CONCEPTO mx]]="","",VLOOKUP(Tabla1[[#This Row],[CONCEPTO mx]],Tabla2[#All],3,0)),"")</f>
        <v>Gestión Humana</v>
      </c>
      <c r="H1650" s="49" t="s">
        <v>2394</v>
      </c>
      <c r="I1650" s="49" t="s">
        <v>2298</v>
      </c>
      <c r="J1650" s="49" t="s">
        <v>3770</v>
      </c>
      <c r="K1650" s="51">
        <v>43566</v>
      </c>
      <c r="L1650" s="59" t="s">
        <v>3903</v>
      </c>
    </row>
    <row r="1651" spans="1:12" x14ac:dyDescent="0.25">
      <c r="A1651" s="51">
        <v>43584</v>
      </c>
      <c r="B1651" s="59">
        <v>1038813972</v>
      </c>
      <c r="C1651" s="59" t="s">
        <v>3817</v>
      </c>
      <c r="D1651" s="49" t="s">
        <v>51</v>
      </c>
      <c r="E1651" s="49" t="s">
        <v>3248</v>
      </c>
      <c r="F1651" s="76" t="str">
        <f>IFERROR(IF(Tabla1[[#This Row],[CONCEPTO mx]]="","",VLOOKUP(Tabla1[[#This Row],[CONCEPTO mx]],Tabla2[#All],2,0)),"")</f>
        <v>CM1</v>
      </c>
      <c r="G1651" s="76" t="str">
        <f>IFERROR(IF(Tabla1[[#This Row],[CONCEPTO mx]]="","",VLOOKUP(Tabla1[[#This Row],[CONCEPTO mx]],Tabla2[#All],3,0)),"")</f>
        <v>Gestión Humana</v>
      </c>
      <c r="H1651" s="49" t="s">
        <v>2391</v>
      </c>
      <c r="I1651" s="49" t="s">
        <v>2298</v>
      </c>
      <c r="J1651" s="49" t="s">
        <v>3818</v>
      </c>
    </row>
    <row r="1652" spans="1:12" x14ac:dyDescent="0.25">
      <c r="A1652" s="51">
        <v>43584</v>
      </c>
      <c r="B1652" s="59">
        <v>1038806493</v>
      </c>
      <c r="C1652" s="59" t="s">
        <v>3905</v>
      </c>
      <c r="D1652" s="49" t="s">
        <v>51</v>
      </c>
      <c r="E1652" s="49" t="s">
        <v>3315</v>
      </c>
      <c r="F1652" s="76" t="str">
        <f>IFERROR(IF(Tabla1[[#This Row],[CONCEPTO mx]]="","",VLOOKUP(Tabla1[[#This Row],[CONCEPTO mx]],Tabla2[#All],2,0)),"")</f>
        <v>CM40</v>
      </c>
      <c r="G1652" s="76" t="str">
        <f>IFERROR(IF(Tabla1[[#This Row],[CONCEPTO mx]]="","",VLOOKUP(Tabla1[[#This Row],[CONCEPTO mx]],Tabla2[#All],3,0)),"")</f>
        <v>SST</v>
      </c>
      <c r="H1652" s="49" t="s">
        <v>484</v>
      </c>
      <c r="I1652" s="49" t="s">
        <v>2298</v>
      </c>
      <c r="J1652" s="49" t="s">
        <v>2845</v>
      </c>
      <c r="L1652" s="59" t="s">
        <v>3904</v>
      </c>
    </row>
    <row r="1653" spans="1:12" x14ac:dyDescent="0.25">
      <c r="A1653" s="51">
        <v>43587</v>
      </c>
      <c r="B1653" s="59">
        <v>1038807441</v>
      </c>
      <c r="C1653" s="59" t="s">
        <v>3906</v>
      </c>
      <c r="D1653" s="49" t="s">
        <v>180</v>
      </c>
      <c r="E1653" s="49" t="s">
        <v>3908</v>
      </c>
      <c r="F1653" s="76" t="str">
        <f>IFERROR(IF(Tabla1[[#This Row],[CONCEPTO mx]]="","",VLOOKUP(Tabla1[[#This Row],[CONCEPTO mx]],Tabla2[#All],2,0)),"")</f>
        <v/>
      </c>
      <c r="G1653" s="76" t="str">
        <f>IFERROR(IF(Tabla1[[#This Row],[CONCEPTO mx]]="","",VLOOKUP(Tabla1[[#This Row],[CONCEPTO mx]],Tabla2[#All],3,0)),"")</f>
        <v/>
      </c>
      <c r="H1653" s="49" t="s">
        <v>2393</v>
      </c>
      <c r="I1653" s="49" t="s">
        <v>2298</v>
      </c>
      <c r="J1653" s="49" t="s">
        <v>2353</v>
      </c>
      <c r="L1653" s="59" t="s">
        <v>3907</v>
      </c>
    </row>
    <row r="1654" spans="1:12" x14ac:dyDescent="0.25">
      <c r="A1654" s="51">
        <v>43587</v>
      </c>
      <c r="B1654" s="59">
        <v>1041265449</v>
      </c>
      <c r="C1654" s="59" t="s">
        <v>3909</v>
      </c>
      <c r="D1654" s="49" t="s">
        <v>180</v>
      </c>
      <c r="E1654" s="49" t="s">
        <v>3190</v>
      </c>
      <c r="F1654" s="76" t="str">
        <f>IFERROR(IF(Tabla1[[#This Row],[CONCEPTO mx]]="","",VLOOKUP(Tabla1[[#This Row],[CONCEPTO mx]],Tabla2[#All],2,0)),"")</f>
        <v>CM26</v>
      </c>
      <c r="G1654" s="76" t="str">
        <f>IFERROR(IF(Tabla1[[#This Row],[CONCEPTO mx]]="","",VLOOKUP(Tabla1[[#This Row],[CONCEPTO mx]],Tabla2[#All],3,0)),"")</f>
        <v>SST</v>
      </c>
      <c r="H1654" s="49" t="s">
        <v>439</v>
      </c>
      <c r="I1654" s="49" t="s">
        <v>2298</v>
      </c>
      <c r="J1654" s="49" t="s">
        <v>2820</v>
      </c>
      <c r="L1654" s="59" t="s">
        <v>3910</v>
      </c>
    </row>
    <row r="1655" spans="1:12" x14ac:dyDescent="0.25">
      <c r="A1655" s="51">
        <v>43587</v>
      </c>
      <c r="B1655" s="59">
        <v>98481671</v>
      </c>
      <c r="C1655" s="59" t="s">
        <v>1578</v>
      </c>
      <c r="D1655" s="49" t="s">
        <v>51</v>
      </c>
      <c r="E1655" s="49" t="s">
        <v>3197</v>
      </c>
      <c r="F1655" s="76" t="str">
        <f>IFERROR(IF(Tabla1[[#This Row],[CONCEPTO mx]]="","",VLOOKUP(Tabla1[[#This Row],[CONCEPTO mx]],Tabla2[#All],2,0)),"")</f>
        <v>CM14</v>
      </c>
      <c r="G1655" s="76" t="str">
        <f>IFERROR(IF(Tabla1[[#This Row],[CONCEPTO mx]]="","",VLOOKUP(Tabla1[[#This Row],[CONCEPTO mx]],Tabla2[#All],3,0)),"")</f>
        <v>SST</v>
      </c>
      <c r="H1655" s="49" t="s">
        <v>413</v>
      </c>
      <c r="I1655" s="49" t="s">
        <v>3392</v>
      </c>
      <c r="J1655" s="49" t="s">
        <v>2328</v>
      </c>
      <c r="L1655" s="59" t="s">
        <v>3913</v>
      </c>
    </row>
    <row r="1656" spans="1:12" x14ac:dyDescent="0.25">
      <c r="A1656" s="51">
        <v>43587</v>
      </c>
      <c r="B1656" s="59">
        <v>1028025942</v>
      </c>
      <c r="C1656" s="59" t="s">
        <v>3912</v>
      </c>
      <c r="D1656" s="49" t="s">
        <v>51</v>
      </c>
      <c r="E1656" s="49" t="s">
        <v>3248</v>
      </c>
      <c r="F1656" s="76" t="str">
        <f>IFERROR(IF(Tabla1[[#This Row],[CONCEPTO mx]]="","",VLOOKUP(Tabla1[[#This Row],[CONCEPTO mx]],Tabla2[#All],2,0)),"")</f>
        <v>CM1</v>
      </c>
      <c r="G1656" s="76" t="str">
        <f>IFERROR(IF(Tabla1[[#This Row],[CONCEPTO mx]]="","",VLOOKUP(Tabla1[[#This Row],[CONCEPTO mx]],Tabla2[#All],3,0)),"")</f>
        <v>Gestión Humana</v>
      </c>
      <c r="H1656" s="49" t="s">
        <v>486</v>
      </c>
      <c r="I1656" s="49" t="s">
        <v>2298</v>
      </c>
      <c r="J1656" s="49" t="s">
        <v>2409</v>
      </c>
    </row>
    <row r="1657" spans="1:12" x14ac:dyDescent="0.25">
      <c r="A1657" s="51">
        <v>43587</v>
      </c>
      <c r="B1657" s="59">
        <v>1067892154</v>
      </c>
      <c r="C1657" s="59" t="s">
        <v>3911</v>
      </c>
      <c r="D1657" s="49" t="s">
        <v>51</v>
      </c>
      <c r="E1657" s="49" t="s">
        <v>3249</v>
      </c>
      <c r="F1657" s="76" t="str">
        <f>IFERROR(IF(Tabla1[[#This Row],[CONCEPTO mx]]="","",VLOOKUP(Tabla1[[#This Row],[CONCEPTO mx]],Tabla2[#All],2,0)),"")</f>
        <v>CM3</v>
      </c>
      <c r="G1657" s="76" t="str">
        <f>IFERROR(IF(Tabla1[[#This Row],[CONCEPTO mx]]="","",VLOOKUP(Tabla1[[#This Row],[CONCEPTO mx]],Tabla2[#All],3,0)),"")</f>
        <v>SST</v>
      </c>
      <c r="H1657" s="49" t="s">
        <v>550</v>
      </c>
      <c r="I1657" s="49" t="s">
        <v>2298</v>
      </c>
      <c r="J1657" s="49" t="s">
        <v>2845</v>
      </c>
    </row>
    <row r="1658" spans="1:12" x14ac:dyDescent="0.25">
      <c r="A1658" s="51">
        <v>43587</v>
      </c>
      <c r="B1658" s="59">
        <v>71251953</v>
      </c>
      <c r="C1658" s="59" t="s">
        <v>3914</v>
      </c>
      <c r="D1658" s="49" t="s">
        <v>180</v>
      </c>
      <c r="E1658" s="49" t="s">
        <v>3187</v>
      </c>
      <c r="F1658" s="76" t="str">
        <f>IFERROR(IF(Tabla1[[#This Row],[CONCEPTO mx]]="","",VLOOKUP(Tabla1[[#This Row],[CONCEPTO mx]],Tabla2[#All],2,0)),"")</f>
        <v>CM8</v>
      </c>
      <c r="G1658" s="76" t="str">
        <f>IFERROR(IF(Tabla1[[#This Row],[CONCEPTO mx]]="","",VLOOKUP(Tabla1[[#This Row],[CONCEPTO mx]],Tabla2[#All],3,0)),"")</f>
        <v>Gestión Humana</v>
      </c>
      <c r="H1658" s="49" t="s">
        <v>2391</v>
      </c>
      <c r="I1658" s="49" t="s">
        <v>3392</v>
      </c>
      <c r="J1658" s="49" t="s">
        <v>2328</v>
      </c>
      <c r="L1658" s="49" t="s">
        <v>3915</v>
      </c>
    </row>
    <row r="1659" spans="1:12" x14ac:dyDescent="0.25">
      <c r="A1659" s="51">
        <v>43587</v>
      </c>
      <c r="B1659" s="59">
        <v>1027949994</v>
      </c>
      <c r="C1659" s="59" t="s">
        <v>3916</v>
      </c>
      <c r="D1659" s="49" t="s">
        <v>51</v>
      </c>
      <c r="E1659" s="49" t="s">
        <v>3315</v>
      </c>
      <c r="F1659" s="76" t="str">
        <f>IFERROR(IF(Tabla1[[#This Row],[CONCEPTO mx]]="","",VLOOKUP(Tabla1[[#This Row],[CONCEPTO mx]],Tabla2[#All],2,0)),"")</f>
        <v>CM40</v>
      </c>
      <c r="G1659" s="76" t="str">
        <f>IFERROR(IF(Tabla1[[#This Row],[CONCEPTO mx]]="","",VLOOKUP(Tabla1[[#This Row],[CONCEPTO mx]],Tabla2[#All],3,0)),"")</f>
        <v>SST</v>
      </c>
      <c r="H1659" s="49" t="s">
        <v>486</v>
      </c>
      <c r="I1659" s="49" t="s">
        <v>2298</v>
      </c>
      <c r="J1659" s="49" t="s">
        <v>3743</v>
      </c>
      <c r="L1659" s="59" t="s">
        <v>3924</v>
      </c>
    </row>
    <row r="1660" spans="1:12" x14ac:dyDescent="0.25">
      <c r="A1660" s="51">
        <v>43588</v>
      </c>
      <c r="B1660" s="59">
        <v>1038800314</v>
      </c>
      <c r="C1660" s="59" t="s">
        <v>2081</v>
      </c>
      <c r="D1660" s="49" t="s">
        <v>51</v>
      </c>
      <c r="E1660" s="49" t="s">
        <v>3315</v>
      </c>
      <c r="F1660" s="76" t="str">
        <f>IFERROR(IF(Tabla1[[#This Row],[CONCEPTO mx]]="","",VLOOKUP(Tabla1[[#This Row],[CONCEPTO mx]],Tabla2[#All],2,0)),"")</f>
        <v>CM40</v>
      </c>
      <c r="G1660" s="76" t="str">
        <f>IFERROR(IF(Tabla1[[#This Row],[CONCEPTO mx]]="","",VLOOKUP(Tabla1[[#This Row],[CONCEPTO mx]],Tabla2[#All],3,0)),"")</f>
        <v>SST</v>
      </c>
      <c r="H1660" s="49" t="s">
        <v>438</v>
      </c>
      <c r="I1660" s="49" t="s">
        <v>3392</v>
      </c>
      <c r="J1660" s="49" t="s">
        <v>3922</v>
      </c>
      <c r="L1660" s="49" t="s">
        <v>3921</v>
      </c>
    </row>
    <row r="1661" spans="1:12" x14ac:dyDescent="0.25">
      <c r="A1661" s="51">
        <v>43588</v>
      </c>
      <c r="B1661" s="59">
        <v>39427862</v>
      </c>
      <c r="C1661" s="59" t="s">
        <v>3839</v>
      </c>
      <c r="D1661" s="49" t="s">
        <v>180</v>
      </c>
      <c r="E1661" s="49" t="s">
        <v>3694</v>
      </c>
      <c r="F1661" s="76" t="str">
        <f>IFERROR(IF(Tabla1[[#This Row],[CONCEPTO mx]]="","",VLOOKUP(Tabla1[[#This Row],[CONCEPTO mx]],Tabla2[#All],2,0)),"")</f>
        <v>CM44</v>
      </c>
      <c r="G1661" s="76" t="str">
        <f>IFERROR(IF(Tabla1[[#This Row],[CONCEPTO mx]]="","",VLOOKUP(Tabla1[[#This Row],[CONCEPTO mx]],Tabla2[#All],3,0)),"")</f>
        <v>Gestión Humana</v>
      </c>
      <c r="H1661" s="49" t="s">
        <v>438</v>
      </c>
      <c r="I1661" s="49" t="s">
        <v>2298</v>
      </c>
      <c r="J1661" s="49" t="s">
        <v>3840</v>
      </c>
      <c r="K1661" s="51">
        <v>43570</v>
      </c>
      <c r="L1661" s="59" t="s">
        <v>3917</v>
      </c>
    </row>
    <row r="1662" spans="1:12" x14ac:dyDescent="0.25">
      <c r="A1662" s="51">
        <v>43588</v>
      </c>
      <c r="B1662" s="59">
        <v>1037627536</v>
      </c>
      <c r="C1662" s="59" t="s">
        <v>3918</v>
      </c>
      <c r="D1662" s="49" t="s">
        <v>51</v>
      </c>
      <c r="E1662" s="49" t="s">
        <v>3250</v>
      </c>
      <c r="F1662" s="76" t="str">
        <f>IFERROR(IF(Tabla1[[#This Row],[CONCEPTO mx]]="","",VLOOKUP(Tabla1[[#This Row],[CONCEPTO mx]],Tabla2[#All],2,0)),"")</f>
        <v>CM12</v>
      </c>
      <c r="G1662" s="76" t="str">
        <f>IFERROR(IF(Tabla1[[#This Row],[CONCEPTO mx]]="","",VLOOKUP(Tabla1[[#This Row],[CONCEPTO mx]],Tabla2[#All],3,0)),"")</f>
        <v>SST</v>
      </c>
      <c r="I1662" s="49" t="s">
        <v>3392</v>
      </c>
      <c r="J1662" s="49" t="s">
        <v>3919</v>
      </c>
      <c r="L1662" s="59" t="s">
        <v>2597</v>
      </c>
    </row>
    <row r="1663" spans="1:12" x14ac:dyDescent="0.25">
      <c r="A1663" s="51">
        <v>43588</v>
      </c>
      <c r="B1663" s="59">
        <v>1038816603</v>
      </c>
      <c r="C1663" s="59" t="s">
        <v>356</v>
      </c>
      <c r="D1663" s="49" t="s">
        <v>180</v>
      </c>
      <c r="E1663" s="49" t="s">
        <v>3185</v>
      </c>
      <c r="F1663" s="76" t="str">
        <f>IFERROR(IF(Tabla1[[#This Row],[CONCEPTO mx]]="","",VLOOKUP(Tabla1[[#This Row],[CONCEPTO mx]],Tabla2[#All],2,0)),"")</f>
        <v>CM5</v>
      </c>
      <c r="G1663" s="76" t="str">
        <f>IFERROR(IF(Tabla1[[#This Row],[CONCEPTO mx]]="","",VLOOKUP(Tabla1[[#This Row],[CONCEPTO mx]],Tabla2[#All],3,0)),"")</f>
        <v>SST</v>
      </c>
      <c r="H1663" s="49" t="s">
        <v>2393</v>
      </c>
      <c r="I1663" s="49" t="s">
        <v>2298</v>
      </c>
      <c r="J1663" s="49" t="s">
        <v>3920</v>
      </c>
    </row>
    <row r="1664" spans="1:12" x14ac:dyDescent="0.25">
      <c r="A1664" s="51">
        <v>43588</v>
      </c>
      <c r="B1664" s="59">
        <v>8321961</v>
      </c>
      <c r="C1664" s="59" t="s">
        <v>3923</v>
      </c>
      <c r="D1664" s="49" t="s">
        <v>51</v>
      </c>
      <c r="E1664" s="49" t="s">
        <v>3248</v>
      </c>
      <c r="F1664" s="76" t="str">
        <f>IFERROR(IF(Tabla1[[#This Row],[CONCEPTO mx]]="","",VLOOKUP(Tabla1[[#This Row],[CONCEPTO mx]],Tabla2[#All],2,0)),"")</f>
        <v>CM1</v>
      </c>
      <c r="G1664" s="76" t="str">
        <f>IFERROR(IF(Tabla1[[#This Row],[CONCEPTO mx]]="","",VLOOKUP(Tabla1[[#This Row],[CONCEPTO mx]],Tabla2[#All],3,0)),"")</f>
        <v>Gestión Humana</v>
      </c>
      <c r="H1664" s="49" t="s">
        <v>438</v>
      </c>
      <c r="I1664" s="49" t="s">
        <v>3392</v>
      </c>
      <c r="J1664" s="49" t="s">
        <v>2328</v>
      </c>
    </row>
    <row r="1665" spans="1:12" x14ac:dyDescent="0.25">
      <c r="A1665" s="51">
        <v>43591</v>
      </c>
      <c r="B1665" s="59">
        <v>8436998</v>
      </c>
      <c r="C1665" s="59" t="s">
        <v>3927</v>
      </c>
      <c r="D1665" s="49" t="s">
        <v>51</v>
      </c>
      <c r="E1665" s="49" t="s">
        <v>3315</v>
      </c>
      <c r="F1665" s="76" t="str">
        <f>IFERROR(IF(Tabla1[[#This Row],[CONCEPTO mx]]="","",VLOOKUP(Tabla1[[#This Row],[CONCEPTO mx]],Tabla2[#All],2,0)),"")</f>
        <v>CM40</v>
      </c>
      <c r="G1665" s="76" t="str">
        <f>IFERROR(IF(Tabla1[[#This Row],[CONCEPTO mx]]="","",VLOOKUP(Tabla1[[#This Row],[CONCEPTO mx]],Tabla2[#All],3,0)),"")</f>
        <v>SST</v>
      </c>
      <c r="H1665" s="49" t="s">
        <v>387</v>
      </c>
      <c r="I1665" s="49" t="s">
        <v>3392</v>
      </c>
      <c r="J1665" s="49" t="s">
        <v>2328</v>
      </c>
      <c r="L1665" s="77" t="s">
        <v>3926</v>
      </c>
    </row>
    <row r="1666" spans="1:12" x14ac:dyDescent="0.25">
      <c r="A1666" s="51">
        <v>43591</v>
      </c>
      <c r="B1666" s="59">
        <v>1039098715</v>
      </c>
      <c r="C1666" s="59" t="s">
        <v>3925</v>
      </c>
      <c r="D1666" s="49" t="s">
        <v>51</v>
      </c>
      <c r="E1666" s="49" t="s">
        <v>3315</v>
      </c>
      <c r="F1666" s="76" t="str">
        <f>IFERROR(IF(Tabla1[[#This Row],[CONCEPTO mx]]="","",VLOOKUP(Tabla1[[#This Row],[CONCEPTO mx]],Tabla2[#All],2,0)),"")</f>
        <v>CM40</v>
      </c>
      <c r="G1666" s="76" t="str">
        <f>IFERROR(IF(Tabla1[[#This Row],[CONCEPTO mx]]="","",VLOOKUP(Tabla1[[#This Row],[CONCEPTO mx]],Tabla2[#All],3,0)),"")</f>
        <v>SST</v>
      </c>
      <c r="H1666" s="49" t="s">
        <v>438</v>
      </c>
      <c r="I1666" s="49" t="s">
        <v>2298</v>
      </c>
      <c r="J1666" s="49" t="s">
        <v>3453</v>
      </c>
      <c r="L1666" s="59" t="s">
        <v>3928</v>
      </c>
    </row>
    <row r="1667" spans="1:12" x14ac:dyDescent="0.25">
      <c r="A1667" s="51">
        <v>43593</v>
      </c>
      <c r="B1667" s="59">
        <v>1041260625</v>
      </c>
      <c r="C1667" s="59" t="s">
        <v>3929</v>
      </c>
      <c r="D1667" s="49" t="s">
        <v>51</v>
      </c>
      <c r="E1667" s="49" t="s">
        <v>3248</v>
      </c>
      <c r="F1667" s="76" t="str">
        <f>IFERROR(IF(Tabla1[[#This Row],[CONCEPTO mx]]="","",VLOOKUP(Tabla1[[#This Row],[CONCEPTO mx]],Tabla2[#All],2,0)),"")</f>
        <v>CM1</v>
      </c>
      <c r="G1667" s="76" t="str">
        <f>IFERROR(IF(Tabla1[[#This Row],[CONCEPTO mx]]="","",VLOOKUP(Tabla1[[#This Row],[CONCEPTO mx]],Tabla2[#All],3,0)),"")</f>
        <v>Gestión Humana</v>
      </c>
      <c r="H1667" s="49" t="s">
        <v>550</v>
      </c>
      <c r="I1667" s="49" t="s">
        <v>2298</v>
      </c>
      <c r="J1667" s="49" t="s">
        <v>2820</v>
      </c>
    </row>
    <row r="1668" spans="1:12" x14ac:dyDescent="0.25">
      <c r="A1668" s="51">
        <v>43594</v>
      </c>
      <c r="B1668" s="59">
        <v>1040354773</v>
      </c>
      <c r="C1668" s="59" t="s">
        <v>3931</v>
      </c>
      <c r="D1668" s="49" t="s">
        <v>180</v>
      </c>
      <c r="E1668" s="49" t="s">
        <v>3174</v>
      </c>
      <c r="F1668" s="76" t="str">
        <f>IFERROR(IF(Tabla1[[#This Row],[CONCEPTO mx]]="","",VLOOKUP(Tabla1[[#This Row],[CONCEPTO mx]],Tabla2[#All],2,0)),"")</f>
        <v>CM2</v>
      </c>
      <c r="G1668" s="76" t="str">
        <f>IFERROR(IF(Tabla1[[#This Row],[CONCEPTO mx]]="","",VLOOKUP(Tabla1[[#This Row],[CONCEPTO mx]],Tabla2[#All],3,0)),"")</f>
        <v>SST</v>
      </c>
      <c r="H1668" s="49" t="s">
        <v>343</v>
      </c>
      <c r="I1668" s="49" t="s">
        <v>2512</v>
      </c>
      <c r="L1668" s="59" t="s">
        <v>3932</v>
      </c>
    </row>
    <row r="1669" spans="1:12" x14ac:dyDescent="0.25">
      <c r="A1669" s="51">
        <v>43594</v>
      </c>
      <c r="B1669" s="59">
        <v>1038805562</v>
      </c>
      <c r="C1669" s="59" t="s">
        <v>3941</v>
      </c>
      <c r="D1669" s="49" t="s">
        <v>51</v>
      </c>
      <c r="E1669" s="49" t="s">
        <v>3197</v>
      </c>
      <c r="F1669" s="76" t="str">
        <f>IFERROR(IF(Tabla1[[#This Row],[CONCEPTO mx]]="","",VLOOKUP(Tabla1[[#This Row],[CONCEPTO mx]],Tabla2[#All],2,0)),"")</f>
        <v>CM14</v>
      </c>
      <c r="G1669" s="76" t="str">
        <f>IFERROR(IF(Tabla1[[#This Row],[CONCEPTO mx]]="","",VLOOKUP(Tabla1[[#This Row],[CONCEPTO mx]],Tabla2[#All],3,0)),"")</f>
        <v>SST</v>
      </c>
      <c r="H1669" s="49" t="s">
        <v>628</v>
      </c>
      <c r="I1669" s="49" t="s">
        <v>2298</v>
      </c>
      <c r="J1669" s="49" t="s">
        <v>2820</v>
      </c>
      <c r="L1669" s="59" t="s">
        <v>3942</v>
      </c>
    </row>
    <row r="1670" spans="1:12" x14ac:dyDescent="0.25">
      <c r="A1670" s="51">
        <v>43594</v>
      </c>
      <c r="B1670" s="59">
        <v>1027959669</v>
      </c>
      <c r="C1670" s="59" t="s">
        <v>3934</v>
      </c>
      <c r="D1670" s="49" t="s">
        <v>51</v>
      </c>
      <c r="E1670" s="49" t="s">
        <v>3248</v>
      </c>
      <c r="F1670" s="76" t="str">
        <f>IFERROR(IF(Tabla1[[#This Row],[CONCEPTO mx]]="","",VLOOKUP(Tabla1[[#This Row],[CONCEPTO mx]],Tabla2[#All],2,0)),"")</f>
        <v>CM1</v>
      </c>
      <c r="G1670" s="76" t="str">
        <f>IFERROR(IF(Tabla1[[#This Row],[CONCEPTO mx]]="","",VLOOKUP(Tabla1[[#This Row],[CONCEPTO mx]],Tabla2[#All],3,0)),"")</f>
        <v>Gestión Humana</v>
      </c>
      <c r="H1670" s="49" t="s">
        <v>387</v>
      </c>
      <c r="I1670" s="49" t="s">
        <v>2298</v>
      </c>
      <c r="J1670" s="49" t="s">
        <v>3935</v>
      </c>
    </row>
    <row r="1671" spans="1:12" x14ac:dyDescent="0.25">
      <c r="A1671" s="51">
        <v>43594</v>
      </c>
      <c r="B1671" s="59">
        <v>71945394</v>
      </c>
      <c r="C1671" s="59" t="s">
        <v>3936</v>
      </c>
      <c r="E1671" s="49" t="s">
        <v>2355</v>
      </c>
      <c r="F1671" s="76" t="str">
        <f>IFERROR(IF(Tabla1[[#This Row],[CONCEPTO mx]]="","",VLOOKUP(Tabla1[[#This Row],[CONCEPTO mx]],Tabla2[#All],2,0)),"")</f>
        <v>CM13</v>
      </c>
      <c r="G1671" s="76" t="str">
        <f>IFERROR(IF(Tabla1[[#This Row],[CONCEPTO mx]]="","",VLOOKUP(Tabla1[[#This Row],[CONCEPTO mx]],Tabla2[#All],3,0)),"")</f>
        <v>Gestión Humana</v>
      </c>
      <c r="H1671" s="49" t="s">
        <v>441</v>
      </c>
      <c r="I1671" s="49" t="s">
        <v>3392</v>
      </c>
      <c r="J1671" s="49" t="s">
        <v>3937</v>
      </c>
    </row>
    <row r="1672" spans="1:12" x14ac:dyDescent="0.25">
      <c r="A1672" s="51">
        <v>43594</v>
      </c>
      <c r="B1672" s="59">
        <v>8323038</v>
      </c>
      <c r="C1672" s="59" t="s">
        <v>3938</v>
      </c>
      <c r="D1672" s="49" t="s">
        <v>180</v>
      </c>
      <c r="E1672" s="49" t="s">
        <v>3187</v>
      </c>
      <c r="F1672" s="76" t="str">
        <f>IFERROR(IF(Tabla1[[#This Row],[CONCEPTO mx]]="","",VLOOKUP(Tabla1[[#This Row],[CONCEPTO mx]],Tabla2[#All],2,0)),"")</f>
        <v>CM8</v>
      </c>
      <c r="G1672" s="76" t="str">
        <f>IFERROR(IF(Tabla1[[#This Row],[CONCEPTO mx]]="","",VLOOKUP(Tabla1[[#This Row],[CONCEPTO mx]],Tabla2[#All],3,0)),"")</f>
        <v>Gestión Humana</v>
      </c>
      <c r="H1672" s="49" t="s">
        <v>441</v>
      </c>
      <c r="I1672" s="49" t="s">
        <v>3392</v>
      </c>
      <c r="J1672" s="49" t="s">
        <v>3937</v>
      </c>
      <c r="L1672" s="59" t="s">
        <v>3939</v>
      </c>
    </row>
    <row r="1673" spans="1:12" x14ac:dyDescent="0.25">
      <c r="A1673" s="51">
        <v>43594</v>
      </c>
      <c r="B1673" s="59">
        <v>1007675149</v>
      </c>
      <c r="C1673" s="59" t="s">
        <v>3940</v>
      </c>
      <c r="D1673" s="49" t="s">
        <v>51</v>
      </c>
      <c r="E1673" s="49" t="s">
        <v>3248</v>
      </c>
      <c r="F1673" s="76" t="str">
        <f>IFERROR(IF(Tabla1[[#This Row],[CONCEPTO mx]]="","",VLOOKUP(Tabla1[[#This Row],[CONCEPTO mx]],Tabla2[#All],2,0)),"")</f>
        <v>CM1</v>
      </c>
      <c r="G1673" s="76" t="str">
        <f>IFERROR(IF(Tabla1[[#This Row],[CONCEPTO mx]]="","",VLOOKUP(Tabla1[[#This Row],[CONCEPTO mx]],Tabla2[#All],3,0)),"")</f>
        <v>Gestión Humana</v>
      </c>
      <c r="H1673" s="49" t="s">
        <v>352</v>
      </c>
      <c r="I1673" s="49" t="s">
        <v>2298</v>
      </c>
      <c r="J1673" s="49" t="s">
        <v>2820</v>
      </c>
    </row>
    <row r="1674" spans="1:12" x14ac:dyDescent="0.25">
      <c r="A1674" s="51">
        <v>43594</v>
      </c>
      <c r="B1674" s="59">
        <v>1038823021</v>
      </c>
      <c r="C1674" s="59" t="s">
        <v>3930</v>
      </c>
      <c r="D1674" s="49" t="s">
        <v>51</v>
      </c>
      <c r="E1674" s="49" t="s">
        <v>3250</v>
      </c>
      <c r="F1674" s="76" t="str">
        <f>IFERROR(IF(Tabla1[[#This Row],[CONCEPTO mx]]="","",VLOOKUP(Tabla1[[#This Row],[CONCEPTO mx]],Tabla2[#All],2,0)),"")</f>
        <v>CM12</v>
      </c>
      <c r="G1674" s="76" t="str">
        <f>IFERROR(IF(Tabla1[[#This Row],[CONCEPTO mx]]="","",VLOOKUP(Tabla1[[#This Row],[CONCEPTO mx]],Tabla2[#All],3,0)),"")</f>
        <v>SST</v>
      </c>
      <c r="H1674" s="49" t="s">
        <v>352</v>
      </c>
      <c r="I1674" s="49" t="s">
        <v>2512</v>
      </c>
      <c r="L1674" s="59" t="s">
        <v>3933</v>
      </c>
    </row>
    <row r="1675" spans="1:12" x14ac:dyDescent="0.25">
      <c r="A1675" s="51">
        <v>43594</v>
      </c>
      <c r="B1675" s="59">
        <v>1027960049</v>
      </c>
      <c r="C1675" s="59" t="s">
        <v>3963</v>
      </c>
      <c r="D1675" s="49" t="s">
        <v>51</v>
      </c>
      <c r="E1675" s="49" t="s">
        <v>3315</v>
      </c>
      <c r="F1675" s="76" t="str">
        <f>IFERROR(IF(Tabla1[[#This Row],[CONCEPTO mx]]="","",VLOOKUP(Tabla1[[#This Row],[CONCEPTO mx]],Tabla2[#All],2,0)),"")</f>
        <v>CM40</v>
      </c>
      <c r="G1675" s="76" t="str">
        <f>IFERROR(IF(Tabla1[[#This Row],[CONCEPTO mx]]="","",VLOOKUP(Tabla1[[#This Row],[CONCEPTO mx]],Tabla2[#All],3,0)),"")</f>
        <v>SST</v>
      </c>
      <c r="H1675" s="49" t="s">
        <v>528</v>
      </c>
      <c r="I1675" s="49" t="s">
        <v>2298</v>
      </c>
      <c r="J1675" s="49" t="s">
        <v>3964</v>
      </c>
      <c r="L1675" s="59" t="s">
        <v>3965</v>
      </c>
    </row>
    <row r="1676" spans="1:12" x14ac:dyDescent="0.25">
      <c r="A1676" s="51">
        <v>43594</v>
      </c>
      <c r="B1676" s="59">
        <v>78078041</v>
      </c>
      <c r="C1676" s="59" t="s">
        <v>3944</v>
      </c>
      <c r="D1676" s="49" t="s">
        <v>51</v>
      </c>
      <c r="E1676" s="49" t="s">
        <v>3248</v>
      </c>
      <c r="F1676" s="76" t="str">
        <f>IFERROR(IF(Tabla1[[#This Row],[CONCEPTO mx]]="","",VLOOKUP(Tabla1[[#This Row],[CONCEPTO mx]],Tabla2[#All],2,0)),"")</f>
        <v>CM1</v>
      </c>
      <c r="G1676" s="76" t="str">
        <f>IFERROR(IF(Tabla1[[#This Row],[CONCEPTO mx]]="","",VLOOKUP(Tabla1[[#This Row],[CONCEPTO mx]],Tabla2[#All],3,0)),"")</f>
        <v>Gestión Humana</v>
      </c>
      <c r="H1676" s="49" t="s">
        <v>387</v>
      </c>
      <c r="I1676" s="49" t="s">
        <v>2298</v>
      </c>
      <c r="J1676" s="49" t="s">
        <v>3945</v>
      </c>
    </row>
    <row r="1677" spans="1:12" x14ac:dyDescent="0.25">
      <c r="A1677" s="51">
        <v>43594</v>
      </c>
      <c r="B1677" s="59">
        <v>1028010990</v>
      </c>
      <c r="C1677" s="59" t="s">
        <v>3946</v>
      </c>
      <c r="D1677" s="49" t="s">
        <v>51</v>
      </c>
      <c r="E1677" s="49" t="s">
        <v>3248</v>
      </c>
      <c r="F1677" s="76" t="str">
        <f>IFERROR(IF(Tabla1[[#This Row],[CONCEPTO mx]]="","",VLOOKUP(Tabla1[[#This Row],[CONCEPTO mx]],Tabla2[#All],2,0)),"")</f>
        <v>CM1</v>
      </c>
      <c r="G1677" s="76" t="str">
        <f>IFERROR(IF(Tabla1[[#This Row],[CONCEPTO mx]]="","",VLOOKUP(Tabla1[[#This Row],[CONCEPTO mx]],Tabla2[#All],3,0)),"")</f>
        <v>Gestión Humana</v>
      </c>
      <c r="H1677" s="49" t="s">
        <v>387</v>
      </c>
      <c r="I1677" s="49" t="s">
        <v>2512</v>
      </c>
    </row>
    <row r="1678" spans="1:12" x14ac:dyDescent="0.25">
      <c r="A1678" s="51">
        <v>43594</v>
      </c>
      <c r="B1678" s="59">
        <v>1045526573</v>
      </c>
      <c r="C1678" s="59" t="s">
        <v>1396</v>
      </c>
      <c r="D1678" s="49" t="s">
        <v>51</v>
      </c>
      <c r="E1678" s="49" t="s">
        <v>3248</v>
      </c>
      <c r="F1678" s="76" t="str">
        <f>IFERROR(IF(Tabla1[[#This Row],[CONCEPTO mx]]="","",VLOOKUP(Tabla1[[#This Row],[CONCEPTO mx]],Tabla2[#All],2,0)),"")</f>
        <v>CM1</v>
      </c>
      <c r="G1678" s="76" t="str">
        <f>IFERROR(IF(Tabla1[[#This Row],[CONCEPTO mx]]="","",VLOOKUP(Tabla1[[#This Row],[CONCEPTO mx]],Tabla2[#All],3,0)),"")</f>
        <v>Gestión Humana</v>
      </c>
      <c r="H1678" s="49" t="s">
        <v>352</v>
      </c>
      <c r="I1678" s="49" t="s">
        <v>2298</v>
      </c>
      <c r="J1678" s="49" t="s">
        <v>2302</v>
      </c>
    </row>
    <row r="1679" spans="1:12" x14ac:dyDescent="0.25">
      <c r="A1679" s="51">
        <v>43594</v>
      </c>
      <c r="B1679" s="81">
        <v>71253411</v>
      </c>
      <c r="C1679" s="59" t="s">
        <v>3951</v>
      </c>
      <c r="D1679" s="49" t="s">
        <v>51</v>
      </c>
      <c r="E1679" s="49" t="s">
        <v>3315</v>
      </c>
      <c r="F1679" s="76" t="str">
        <f>IFERROR(IF(Tabla1[[#This Row],[CONCEPTO mx]]="","",VLOOKUP(Tabla1[[#This Row],[CONCEPTO mx]],Tabla2[#All],2,0)),"")</f>
        <v>CM40</v>
      </c>
      <c r="G1679" s="76" t="str">
        <f>IFERROR(IF(Tabla1[[#This Row],[CONCEPTO mx]]="","",VLOOKUP(Tabla1[[#This Row],[CONCEPTO mx]],Tabla2[#All],3,0)),"")</f>
        <v>SST</v>
      </c>
      <c r="H1679" s="49" t="s">
        <v>542</v>
      </c>
      <c r="I1679" s="49" t="s">
        <v>2298</v>
      </c>
      <c r="J1679" s="49" t="s">
        <v>2314</v>
      </c>
      <c r="L1679" s="59" t="s">
        <v>2386</v>
      </c>
    </row>
    <row r="1680" spans="1:12" x14ac:dyDescent="0.25">
      <c r="A1680" s="51">
        <v>43594</v>
      </c>
      <c r="B1680" s="59">
        <v>1028029341</v>
      </c>
      <c r="C1680" s="59" t="s">
        <v>1913</v>
      </c>
      <c r="F1680" s="76" t="str">
        <f>IFERROR(IF(Tabla1[[#This Row],[CONCEPTO mx]]="","",VLOOKUP(Tabla1[[#This Row],[CONCEPTO mx]],Tabla2[#All],2,0)),"")</f>
        <v/>
      </c>
      <c r="G1680" s="76" t="str">
        <f>IFERROR(IF(Tabla1[[#This Row],[CONCEPTO mx]]="","",VLOOKUP(Tabla1[[#This Row],[CONCEPTO mx]],Tabla2[#All],3,0)),"")</f>
        <v/>
      </c>
      <c r="H1680" s="49" t="s">
        <v>2392</v>
      </c>
      <c r="I1680" s="49" t="s">
        <v>3392</v>
      </c>
      <c r="J1680" s="49" t="s">
        <v>3950</v>
      </c>
      <c r="L1680" s="59" t="s">
        <v>3949</v>
      </c>
    </row>
    <row r="1681" spans="1:12" x14ac:dyDescent="0.25">
      <c r="A1681" s="51">
        <v>43594</v>
      </c>
      <c r="B1681" s="59">
        <v>1002086557</v>
      </c>
      <c r="C1681" s="59" t="s">
        <v>3943</v>
      </c>
      <c r="D1681" s="49" t="s">
        <v>180</v>
      </c>
      <c r="E1681" s="49" t="s">
        <v>3185</v>
      </c>
      <c r="F1681" s="76" t="str">
        <f>IFERROR(IF(Tabla1[[#This Row],[CONCEPTO mx]]="","",VLOOKUP(Tabla1[[#This Row],[CONCEPTO mx]],Tabla2[#All],2,0)),"")</f>
        <v>CM5</v>
      </c>
      <c r="G1681" s="76" t="str">
        <f>IFERROR(IF(Tabla1[[#This Row],[CONCEPTO mx]]="","",VLOOKUP(Tabla1[[#This Row],[CONCEPTO mx]],Tabla2[#All],3,0)),"")</f>
        <v>SST</v>
      </c>
      <c r="H1681" s="49" t="s">
        <v>528</v>
      </c>
      <c r="I1681" s="49" t="s">
        <v>2298</v>
      </c>
      <c r="J1681" s="49" t="s">
        <v>2792</v>
      </c>
      <c r="L1681" s="59" t="s">
        <v>3684</v>
      </c>
    </row>
    <row r="1682" spans="1:12" x14ac:dyDescent="0.25">
      <c r="A1682" s="51">
        <v>43594</v>
      </c>
      <c r="B1682" s="59">
        <v>71241976</v>
      </c>
      <c r="C1682" s="59" t="s">
        <v>1239</v>
      </c>
      <c r="D1682" s="49" t="s">
        <v>51</v>
      </c>
      <c r="E1682" s="49" t="s">
        <v>3315</v>
      </c>
      <c r="F1682" s="76" t="str">
        <f>IFERROR(IF(Tabla1[[#This Row],[CONCEPTO mx]]="","",VLOOKUP(Tabla1[[#This Row],[CONCEPTO mx]],Tabla2[#All],2,0)),"")</f>
        <v>CM40</v>
      </c>
      <c r="G1682" s="76" t="str">
        <f>IFERROR(IF(Tabla1[[#This Row],[CONCEPTO mx]]="","",VLOOKUP(Tabla1[[#This Row],[CONCEPTO mx]],Tabla2[#All],3,0)),"")</f>
        <v>SST</v>
      </c>
      <c r="H1682" s="49" t="s">
        <v>2394</v>
      </c>
      <c r="I1682" s="49" t="s">
        <v>3392</v>
      </c>
      <c r="J1682" s="49" t="s">
        <v>3243</v>
      </c>
      <c r="L1682" s="59" t="s">
        <v>3966</v>
      </c>
    </row>
    <row r="1683" spans="1:12" x14ac:dyDescent="0.25">
      <c r="A1683" s="51">
        <v>43594</v>
      </c>
      <c r="B1683" s="59">
        <v>10781242</v>
      </c>
      <c r="C1683" s="59" t="s">
        <v>3961</v>
      </c>
      <c r="D1683" s="49" t="s">
        <v>51</v>
      </c>
      <c r="E1683" s="49" t="s">
        <v>2401</v>
      </c>
      <c r="F1683" s="76" t="str">
        <f>IFERROR(IF(Tabla1[[#This Row],[CONCEPTO mx]]="","",VLOOKUP(Tabla1[[#This Row],[CONCEPTO mx]],Tabla2[#All],2,0)),"")</f>
        <v>CM28</v>
      </c>
      <c r="G1683" s="76" t="str">
        <f>IFERROR(IF(Tabla1[[#This Row],[CONCEPTO mx]]="","",VLOOKUP(Tabla1[[#This Row],[CONCEPTO mx]],Tabla2[#All],3,0)),"")</f>
        <v>SST</v>
      </c>
      <c r="H1683" s="49" t="s">
        <v>406</v>
      </c>
      <c r="I1683" s="49" t="s">
        <v>2298</v>
      </c>
      <c r="J1683" s="49" t="s">
        <v>2811</v>
      </c>
    </row>
    <row r="1684" spans="1:12" x14ac:dyDescent="0.25">
      <c r="A1684" s="51">
        <v>43594</v>
      </c>
      <c r="B1684" s="59">
        <v>1033371106</v>
      </c>
      <c r="C1684" s="59" t="s">
        <v>3956</v>
      </c>
      <c r="D1684" s="49" t="s">
        <v>51</v>
      </c>
      <c r="E1684" s="49" t="s">
        <v>3315</v>
      </c>
      <c r="F1684" s="76" t="str">
        <f>IFERROR(IF(Tabla1[[#This Row],[CONCEPTO mx]]="","",VLOOKUP(Tabla1[[#This Row],[CONCEPTO mx]],Tabla2[#All],2,0)),"")</f>
        <v>CM40</v>
      </c>
      <c r="G1684" s="76" t="str">
        <f>IFERROR(IF(Tabla1[[#This Row],[CONCEPTO mx]]="","",VLOOKUP(Tabla1[[#This Row],[CONCEPTO mx]],Tabla2[#All],3,0)),"")</f>
        <v>SST</v>
      </c>
      <c r="H1684" s="49" t="s">
        <v>343</v>
      </c>
      <c r="I1684" s="49" t="s">
        <v>2298</v>
      </c>
      <c r="J1684" s="49" t="s">
        <v>2811</v>
      </c>
      <c r="L1684" s="59" t="s">
        <v>3955</v>
      </c>
    </row>
    <row r="1685" spans="1:12" x14ac:dyDescent="0.25">
      <c r="A1685" s="51">
        <v>43594</v>
      </c>
      <c r="B1685" s="59">
        <v>1045518040</v>
      </c>
      <c r="C1685" s="59" t="s">
        <v>3959</v>
      </c>
      <c r="D1685" s="49" t="s">
        <v>51</v>
      </c>
      <c r="E1685" s="49" t="s">
        <v>3248</v>
      </c>
      <c r="F1685" s="76" t="str">
        <f>IFERROR(IF(Tabla1[[#This Row],[CONCEPTO mx]]="","",VLOOKUP(Tabla1[[#This Row],[CONCEPTO mx]],Tabla2[#All],2,0)),"")</f>
        <v>CM1</v>
      </c>
      <c r="G1685" s="76" t="str">
        <f>IFERROR(IF(Tabla1[[#This Row],[CONCEPTO mx]]="","",VLOOKUP(Tabla1[[#This Row],[CONCEPTO mx]],Tabla2[#All],3,0)),"")</f>
        <v>Gestión Humana</v>
      </c>
      <c r="H1685" s="49" t="s">
        <v>343</v>
      </c>
      <c r="I1685" s="49" t="s">
        <v>2298</v>
      </c>
      <c r="J1685" s="49" t="s">
        <v>3960</v>
      </c>
    </row>
    <row r="1686" spans="1:12" x14ac:dyDescent="0.25">
      <c r="A1686" s="51">
        <v>43594</v>
      </c>
      <c r="B1686" s="59">
        <v>71242588</v>
      </c>
      <c r="C1686" s="86" t="s">
        <v>3954</v>
      </c>
      <c r="D1686" s="49" t="s">
        <v>180</v>
      </c>
      <c r="E1686" s="49" t="s">
        <v>3193</v>
      </c>
      <c r="F1686" s="76" t="str">
        <f>IFERROR(IF(Tabla1[[#This Row],[CONCEPTO mx]]="","",VLOOKUP(Tabla1[[#This Row],[CONCEPTO mx]],Tabla2[#All],2,0)),"")</f>
        <v>CM30</v>
      </c>
      <c r="G1686" s="76" t="str">
        <f>IFERROR(IF(Tabla1[[#This Row],[CONCEPTO mx]]="","",VLOOKUP(Tabla1[[#This Row],[CONCEPTO mx]],Tabla2[#All],3,0)),"")</f>
        <v>SST</v>
      </c>
      <c r="H1686" s="49" t="s">
        <v>628</v>
      </c>
      <c r="I1686" s="49" t="s">
        <v>2298</v>
      </c>
      <c r="J1686" s="49" t="s">
        <v>3953</v>
      </c>
      <c r="L1686" s="59" t="s">
        <v>3952</v>
      </c>
    </row>
    <row r="1687" spans="1:12" x14ac:dyDescent="0.25">
      <c r="A1687" s="51">
        <v>43594</v>
      </c>
      <c r="B1687" s="59">
        <v>1001023786</v>
      </c>
      <c r="C1687" s="59" t="s">
        <v>3947</v>
      </c>
      <c r="D1687" s="49" t="s">
        <v>51</v>
      </c>
      <c r="E1687" s="49" t="s">
        <v>2401</v>
      </c>
      <c r="F1687" s="76" t="str">
        <f>IFERROR(IF(Tabla1[[#This Row],[CONCEPTO mx]]="","",VLOOKUP(Tabla1[[#This Row],[CONCEPTO mx]],Tabla2[#All],2,0)),"")</f>
        <v>CM28</v>
      </c>
      <c r="G1687" s="76" t="str">
        <f>IFERROR(IF(Tabla1[[#This Row],[CONCEPTO mx]]="","",VLOOKUP(Tabla1[[#This Row],[CONCEPTO mx]],Tabla2[#All],3,0)),"")</f>
        <v>SST</v>
      </c>
      <c r="H1687" s="49" t="s">
        <v>387</v>
      </c>
      <c r="I1687" s="49" t="s">
        <v>2298</v>
      </c>
      <c r="J1687" s="49" t="s">
        <v>3948</v>
      </c>
    </row>
    <row r="1688" spans="1:12" x14ac:dyDescent="0.25">
      <c r="A1688" s="51">
        <v>43594</v>
      </c>
      <c r="B1688" s="59">
        <v>1039696680</v>
      </c>
      <c r="C1688" s="59" t="s">
        <v>3962</v>
      </c>
      <c r="E1688" s="49" t="s">
        <v>2355</v>
      </c>
      <c r="F1688" s="76" t="str">
        <f>IFERROR(IF(Tabla1[[#This Row],[CONCEPTO mx]]="","",VLOOKUP(Tabla1[[#This Row],[CONCEPTO mx]],Tabla2[#All],2,0)),"")</f>
        <v>CM13</v>
      </c>
      <c r="G1688" s="76" t="str">
        <f>IFERROR(IF(Tabla1[[#This Row],[CONCEPTO mx]]="","",VLOOKUP(Tabla1[[#This Row],[CONCEPTO mx]],Tabla2[#All],3,0)),"")</f>
        <v>Gestión Humana</v>
      </c>
      <c r="H1688" s="49" t="s">
        <v>2394</v>
      </c>
      <c r="I1688" s="49" t="s">
        <v>2298</v>
      </c>
      <c r="J1688" s="49" t="s">
        <v>2353</v>
      </c>
    </row>
    <row r="1689" spans="1:12" x14ac:dyDescent="0.25">
      <c r="A1689" s="51">
        <v>43594</v>
      </c>
      <c r="B1689" s="59">
        <v>1001023690</v>
      </c>
      <c r="C1689" s="59" t="s">
        <v>3957</v>
      </c>
      <c r="D1689" s="49" t="s">
        <v>51</v>
      </c>
      <c r="E1689" s="49" t="s">
        <v>3315</v>
      </c>
      <c r="F1689" s="76" t="str">
        <f>IFERROR(IF(Tabla1[[#This Row],[CONCEPTO mx]]="","",VLOOKUP(Tabla1[[#This Row],[CONCEPTO mx]],Tabla2[#All],2,0)),"")</f>
        <v>CM40</v>
      </c>
      <c r="G1689" s="76" t="str">
        <f>IFERROR(IF(Tabla1[[#This Row],[CONCEPTO mx]]="","",VLOOKUP(Tabla1[[#This Row],[CONCEPTO mx]],Tabla2[#All],3,0)),"")</f>
        <v>SST</v>
      </c>
      <c r="H1689" s="49" t="s">
        <v>343</v>
      </c>
      <c r="I1689" s="49" t="s">
        <v>2298</v>
      </c>
      <c r="J1689" s="49" t="s">
        <v>3958</v>
      </c>
      <c r="L1689" s="59" t="s">
        <v>3970</v>
      </c>
    </row>
    <row r="1690" spans="1:12" x14ac:dyDescent="0.25">
      <c r="A1690" s="51">
        <v>43598</v>
      </c>
      <c r="B1690" s="59">
        <v>8324445</v>
      </c>
      <c r="C1690" s="59" t="s">
        <v>3967</v>
      </c>
      <c r="D1690" s="49" t="s">
        <v>180</v>
      </c>
      <c r="E1690" s="49" t="s">
        <v>3198</v>
      </c>
      <c r="F1690" s="76" t="str">
        <f>IFERROR(IF(Tabla1[[#This Row],[CONCEPTO mx]]="","",VLOOKUP(Tabla1[[#This Row],[CONCEPTO mx]],Tabla2[#All],2,0)),"")</f>
        <v>CM6</v>
      </c>
      <c r="G1690" s="76" t="str">
        <f>IFERROR(IF(Tabla1[[#This Row],[CONCEPTO mx]]="","",VLOOKUP(Tabla1[[#This Row],[CONCEPTO mx]],Tabla2[#All],3,0)),"")</f>
        <v>SST</v>
      </c>
      <c r="H1690" s="49" t="s">
        <v>388</v>
      </c>
      <c r="I1690" s="49" t="s">
        <v>2298</v>
      </c>
      <c r="J1690" s="49" t="s">
        <v>2792</v>
      </c>
      <c r="L1690" s="49" t="s">
        <v>3968</v>
      </c>
    </row>
    <row r="1691" spans="1:12" x14ac:dyDescent="0.25">
      <c r="A1691" s="51">
        <v>43598</v>
      </c>
      <c r="B1691" s="59">
        <v>1028012158</v>
      </c>
      <c r="C1691" s="59" t="s">
        <v>90</v>
      </c>
      <c r="E1691" s="49" t="s">
        <v>2355</v>
      </c>
      <c r="F1691" s="76" t="str">
        <f>IFERROR(IF(Tabla1[[#This Row],[CONCEPTO mx]]="","",VLOOKUP(Tabla1[[#This Row],[CONCEPTO mx]],Tabla2[#All],2,0)),"")</f>
        <v>CM13</v>
      </c>
      <c r="G1691" s="76" t="str">
        <f>IFERROR(IF(Tabla1[[#This Row],[CONCEPTO mx]]="","",VLOOKUP(Tabla1[[#This Row],[CONCEPTO mx]],Tabla2[#All],3,0)),"")</f>
        <v>Gestión Humana</v>
      </c>
      <c r="H1691" s="49" t="s">
        <v>486</v>
      </c>
      <c r="I1691" s="49" t="s">
        <v>2298</v>
      </c>
      <c r="J1691" s="49" t="s">
        <v>3969</v>
      </c>
    </row>
    <row r="1692" spans="1:12" x14ac:dyDescent="0.25">
      <c r="A1692" s="51">
        <v>43599</v>
      </c>
      <c r="B1692" s="59">
        <v>1038816681</v>
      </c>
      <c r="C1692" s="59" t="s">
        <v>3971</v>
      </c>
      <c r="D1692" s="49" t="s">
        <v>51</v>
      </c>
      <c r="E1692" s="49" t="s">
        <v>3248</v>
      </c>
      <c r="F1692" s="76" t="str">
        <f>IFERROR(IF(Tabla1[[#This Row],[CONCEPTO mx]]="","",VLOOKUP(Tabla1[[#This Row],[CONCEPTO mx]],Tabla2[#All],2,0)),"")</f>
        <v>CM1</v>
      </c>
      <c r="G1692" s="76" t="str">
        <f>IFERROR(IF(Tabla1[[#This Row],[CONCEPTO mx]]="","",VLOOKUP(Tabla1[[#This Row],[CONCEPTO mx]],Tabla2[#All],3,0)),"")</f>
        <v>Gestión Humana</v>
      </c>
      <c r="H1692" s="49" t="s">
        <v>438</v>
      </c>
      <c r="I1692" s="49" t="s">
        <v>3392</v>
      </c>
      <c r="J1692" s="49" t="s">
        <v>3972</v>
      </c>
    </row>
    <row r="1693" spans="1:12" x14ac:dyDescent="0.25">
      <c r="A1693" s="51">
        <v>43599</v>
      </c>
      <c r="B1693" s="59">
        <v>1037486111</v>
      </c>
      <c r="C1693" s="59" t="s">
        <v>3973</v>
      </c>
      <c r="D1693" s="49" t="s">
        <v>51</v>
      </c>
      <c r="E1693" s="49" t="s">
        <v>3248</v>
      </c>
      <c r="F1693" s="76" t="str">
        <f>IFERROR(IF(Tabla1[[#This Row],[CONCEPTO mx]]="","",VLOOKUP(Tabla1[[#This Row],[CONCEPTO mx]],Tabla2[#All],2,0)),"")</f>
        <v>CM1</v>
      </c>
      <c r="G1693" s="76" t="str">
        <f>IFERROR(IF(Tabla1[[#This Row],[CONCEPTO mx]]="","",VLOOKUP(Tabla1[[#This Row],[CONCEPTO mx]],Tabla2[#All],3,0)),"")</f>
        <v>Gestión Humana</v>
      </c>
      <c r="H1693" s="49" t="s">
        <v>406</v>
      </c>
      <c r="I1693" s="49" t="s">
        <v>2298</v>
      </c>
      <c r="J1693" s="49" t="s">
        <v>3974</v>
      </c>
    </row>
    <row r="1694" spans="1:12" x14ac:dyDescent="0.25">
      <c r="A1694" s="51">
        <v>43599</v>
      </c>
      <c r="B1694" s="59">
        <v>1001152968</v>
      </c>
      <c r="C1694" s="59" t="s">
        <v>3975</v>
      </c>
      <c r="D1694" s="49" t="s">
        <v>51</v>
      </c>
      <c r="E1694" s="49" t="s">
        <v>3248</v>
      </c>
      <c r="F1694" s="76" t="str">
        <f>IFERROR(IF(Tabla1[[#This Row],[CONCEPTO mx]]="","",VLOOKUP(Tabla1[[#This Row],[CONCEPTO mx]],Tabla2[#All],2,0)),"")</f>
        <v>CM1</v>
      </c>
      <c r="G1694" s="76" t="str">
        <f>IFERROR(IF(Tabla1[[#This Row],[CONCEPTO mx]]="","",VLOOKUP(Tabla1[[#This Row],[CONCEPTO mx]],Tabla2[#All],3,0)),"")</f>
        <v>Gestión Humana</v>
      </c>
      <c r="H1694" s="49" t="s">
        <v>528</v>
      </c>
      <c r="I1694" s="49" t="s">
        <v>2298</v>
      </c>
      <c r="J1694" s="49" t="s">
        <v>3976</v>
      </c>
    </row>
    <row r="1695" spans="1:12" x14ac:dyDescent="0.25">
      <c r="A1695" s="51">
        <v>43599</v>
      </c>
      <c r="B1695" s="59">
        <v>1007853529</v>
      </c>
      <c r="C1695" s="59" t="s">
        <v>3977</v>
      </c>
      <c r="D1695" s="49" t="s">
        <v>51</v>
      </c>
      <c r="E1695" s="49" t="s">
        <v>3248</v>
      </c>
      <c r="F1695" s="76" t="str">
        <f>IFERROR(IF(Tabla1[[#This Row],[CONCEPTO mx]]="","",VLOOKUP(Tabla1[[#This Row],[CONCEPTO mx]],Tabla2[#All],2,0)),"")</f>
        <v>CM1</v>
      </c>
      <c r="G1695" s="76" t="str">
        <f>IFERROR(IF(Tabla1[[#This Row],[CONCEPTO mx]]="","",VLOOKUP(Tabla1[[#This Row],[CONCEPTO mx]],Tabla2[#All],3,0)),"")</f>
        <v>Gestión Humana</v>
      </c>
      <c r="H1695" s="49" t="s">
        <v>388</v>
      </c>
      <c r="I1695" s="49" t="s">
        <v>2298</v>
      </c>
      <c r="J1695" s="49" t="s">
        <v>3976</v>
      </c>
    </row>
    <row r="1696" spans="1:12" x14ac:dyDescent="0.25">
      <c r="A1696" s="51">
        <v>43601</v>
      </c>
      <c r="B1696" s="59">
        <v>1001032637</v>
      </c>
      <c r="C1696" s="59" t="s">
        <v>3979</v>
      </c>
      <c r="D1696" s="49" t="s">
        <v>180</v>
      </c>
      <c r="E1696" s="49" t="s">
        <v>3187</v>
      </c>
      <c r="F1696" s="76" t="str">
        <f>IFERROR(IF(Tabla1[[#This Row],[CONCEPTO mx]]="","",VLOOKUP(Tabla1[[#This Row],[CONCEPTO mx]],Tabla2[#All],2,0)),"")</f>
        <v>CM8</v>
      </c>
      <c r="G1696" s="76" t="str">
        <f>IFERROR(IF(Tabla1[[#This Row],[CONCEPTO mx]]="","",VLOOKUP(Tabla1[[#This Row],[CONCEPTO mx]],Tabla2[#All],3,0)),"")</f>
        <v>Gestión Humana</v>
      </c>
      <c r="H1696" s="49" t="s">
        <v>406</v>
      </c>
      <c r="I1696" s="49" t="s">
        <v>2512</v>
      </c>
      <c r="J1696" s="49" t="s">
        <v>3989</v>
      </c>
      <c r="L1696" s="59" t="s">
        <v>3980</v>
      </c>
    </row>
    <row r="1697" spans="1:12" x14ac:dyDescent="0.25">
      <c r="A1697" s="51">
        <v>43601</v>
      </c>
      <c r="B1697" s="59">
        <v>71252883</v>
      </c>
      <c r="C1697" s="59" t="s">
        <v>3981</v>
      </c>
      <c r="D1697" s="49" t="s">
        <v>51</v>
      </c>
      <c r="E1697" s="49" t="s">
        <v>3250</v>
      </c>
      <c r="F1697" s="76" t="str">
        <f>IFERROR(IF(Tabla1[[#This Row],[CONCEPTO mx]]="","",VLOOKUP(Tabla1[[#This Row],[CONCEPTO mx]],Tabla2[#All],2,0)),"")</f>
        <v>CM12</v>
      </c>
      <c r="G1697" s="76" t="str">
        <f>IFERROR(IF(Tabla1[[#This Row],[CONCEPTO mx]]="","",VLOOKUP(Tabla1[[#This Row],[CONCEPTO mx]],Tabla2[#All],3,0)),"")</f>
        <v>SST</v>
      </c>
      <c r="H1697" s="49" t="s">
        <v>352</v>
      </c>
      <c r="I1697" s="49" t="s">
        <v>2298</v>
      </c>
      <c r="J1697" s="49" t="s">
        <v>3983</v>
      </c>
      <c r="L1697" s="59" t="s">
        <v>3982</v>
      </c>
    </row>
    <row r="1698" spans="1:12" x14ac:dyDescent="0.25">
      <c r="A1698" s="51">
        <v>43601</v>
      </c>
      <c r="B1698" s="59">
        <v>8324258</v>
      </c>
      <c r="C1698" s="59" t="s">
        <v>3993</v>
      </c>
      <c r="D1698" s="49" t="s">
        <v>51</v>
      </c>
      <c r="E1698" s="49" t="s">
        <v>3249</v>
      </c>
      <c r="F1698" s="76" t="str">
        <f>IFERROR(IF(Tabla1[[#This Row],[CONCEPTO mx]]="","",VLOOKUP(Tabla1[[#This Row],[CONCEPTO mx]],Tabla2[#All],2,0)),"")</f>
        <v>CM3</v>
      </c>
      <c r="G1698" s="76" t="str">
        <f>IFERROR(IF(Tabla1[[#This Row],[CONCEPTO mx]]="","",VLOOKUP(Tabla1[[#This Row],[CONCEPTO mx]],Tabla2[#All],3,0)),"")</f>
        <v>SST</v>
      </c>
      <c r="H1698" s="49" t="s">
        <v>486</v>
      </c>
      <c r="I1698" s="49" t="s">
        <v>2298</v>
      </c>
      <c r="J1698" s="49" t="s">
        <v>3453</v>
      </c>
    </row>
    <row r="1699" spans="1:12" x14ac:dyDescent="0.25">
      <c r="A1699" s="51">
        <v>43601</v>
      </c>
      <c r="B1699" s="59">
        <v>1040378793</v>
      </c>
      <c r="C1699" s="59" t="s">
        <v>3987</v>
      </c>
      <c r="D1699" s="49" t="s">
        <v>51</v>
      </c>
      <c r="E1699" s="49" t="s">
        <v>3248</v>
      </c>
      <c r="F1699" s="76" t="str">
        <f>IFERROR(IF(Tabla1[[#This Row],[CONCEPTO mx]]="","",VLOOKUP(Tabla1[[#This Row],[CONCEPTO mx]],Tabla2[#All],2,0)),"")</f>
        <v>CM1</v>
      </c>
      <c r="G1699" s="76" t="str">
        <f>IFERROR(IF(Tabla1[[#This Row],[CONCEPTO mx]]="","",VLOOKUP(Tabla1[[#This Row],[CONCEPTO mx]],Tabla2[#All],3,0)),"")</f>
        <v>Gestión Humana</v>
      </c>
      <c r="H1699" s="49" t="s">
        <v>388</v>
      </c>
      <c r="I1699" s="49" t="s">
        <v>2419</v>
      </c>
      <c r="J1699" s="49" t="s">
        <v>3988</v>
      </c>
    </row>
    <row r="1700" spans="1:12" x14ac:dyDescent="0.25">
      <c r="A1700" s="51">
        <v>43601</v>
      </c>
      <c r="B1700" s="59">
        <v>1037647028</v>
      </c>
      <c r="C1700" s="59" t="s">
        <v>3995</v>
      </c>
      <c r="D1700" s="49" t="s">
        <v>51</v>
      </c>
      <c r="E1700" s="49" t="s">
        <v>3250</v>
      </c>
      <c r="F1700" s="76" t="str">
        <f>IFERROR(IF(Tabla1[[#This Row],[CONCEPTO mx]]="","",VLOOKUP(Tabla1[[#This Row],[CONCEPTO mx]],Tabla2[#All],2,0)),"")</f>
        <v>CM12</v>
      </c>
      <c r="G1700" s="76" t="str">
        <f>IFERROR(IF(Tabla1[[#This Row],[CONCEPTO mx]]="","",VLOOKUP(Tabla1[[#This Row],[CONCEPTO mx]],Tabla2[#All],3,0)),"")</f>
        <v>SST</v>
      </c>
      <c r="H1700" s="49" t="s">
        <v>352</v>
      </c>
      <c r="I1700" s="49" t="s">
        <v>2419</v>
      </c>
      <c r="J1700" s="49" t="s">
        <v>3996</v>
      </c>
    </row>
    <row r="1701" spans="1:12" x14ac:dyDescent="0.25">
      <c r="A1701" s="51">
        <v>43601</v>
      </c>
      <c r="B1701" s="59">
        <v>168818951</v>
      </c>
      <c r="C1701" s="59" t="s">
        <v>3986</v>
      </c>
      <c r="D1701" s="49" t="s">
        <v>51</v>
      </c>
      <c r="E1701" s="49" t="s">
        <v>3315</v>
      </c>
      <c r="F1701" s="76" t="str">
        <f>IFERROR(IF(Tabla1[[#This Row],[CONCEPTO mx]]="","",VLOOKUP(Tabla1[[#This Row],[CONCEPTO mx]],Tabla2[#All],2,0)),"")</f>
        <v>CM40</v>
      </c>
      <c r="G1701" s="76" t="str">
        <f>IFERROR(IF(Tabla1[[#This Row],[CONCEPTO mx]]="","",VLOOKUP(Tabla1[[#This Row],[CONCEPTO mx]],Tabla2[#All],3,0)),"")</f>
        <v>SST</v>
      </c>
      <c r="H1701" s="49" t="s">
        <v>441</v>
      </c>
      <c r="I1701" s="49" t="s">
        <v>2298</v>
      </c>
      <c r="J1701" s="49" t="s">
        <v>3985</v>
      </c>
      <c r="L1701" s="49" t="s">
        <v>3984</v>
      </c>
    </row>
    <row r="1702" spans="1:12" x14ac:dyDescent="0.25">
      <c r="A1702" s="51">
        <v>43601</v>
      </c>
      <c r="B1702" s="59">
        <v>10784816</v>
      </c>
      <c r="C1702" s="59" t="s">
        <v>3994</v>
      </c>
      <c r="D1702" s="49" t="s">
        <v>51</v>
      </c>
      <c r="E1702" s="49" t="s">
        <v>3248</v>
      </c>
      <c r="F1702" s="76" t="str">
        <f>IFERROR(IF(Tabla1[[#This Row],[CONCEPTO mx]]="","",VLOOKUP(Tabla1[[#This Row],[CONCEPTO mx]],Tabla2[#All],2,0)),"")</f>
        <v>CM1</v>
      </c>
      <c r="G1702" s="76" t="str">
        <f>IFERROR(IF(Tabla1[[#This Row],[CONCEPTO mx]]="","",VLOOKUP(Tabla1[[#This Row],[CONCEPTO mx]],Tabla2[#All],3,0)),"")</f>
        <v>Gestión Humana</v>
      </c>
      <c r="H1702" s="49" t="s">
        <v>542</v>
      </c>
      <c r="I1702" s="49" t="s">
        <v>3392</v>
      </c>
      <c r="J1702" s="49" t="s">
        <v>2328</v>
      </c>
    </row>
    <row r="1703" spans="1:12" x14ac:dyDescent="0.25">
      <c r="A1703" s="51">
        <v>43601</v>
      </c>
      <c r="B1703" s="59">
        <v>1028027805</v>
      </c>
      <c r="C1703" s="59" t="s">
        <v>3991</v>
      </c>
      <c r="D1703" s="49" t="s">
        <v>51</v>
      </c>
      <c r="E1703" s="49" t="s">
        <v>3185</v>
      </c>
      <c r="F1703" s="76" t="str">
        <f>IFERROR(IF(Tabla1[[#This Row],[CONCEPTO mx]]="","",VLOOKUP(Tabla1[[#This Row],[CONCEPTO mx]],Tabla2[#All],2,0)),"")</f>
        <v>CM5</v>
      </c>
      <c r="G1703" s="76" t="str">
        <f>IFERROR(IF(Tabla1[[#This Row],[CONCEPTO mx]]="","",VLOOKUP(Tabla1[[#This Row],[CONCEPTO mx]],Tabla2[#All],3,0)),"")</f>
        <v>SST</v>
      </c>
      <c r="H1703" s="49" t="s">
        <v>343</v>
      </c>
      <c r="I1703" s="49" t="s">
        <v>2512</v>
      </c>
      <c r="J1703" s="49" t="s">
        <v>3992</v>
      </c>
      <c r="L1703" s="77" t="s">
        <v>3990</v>
      </c>
    </row>
    <row r="1704" spans="1:12" x14ac:dyDescent="0.25">
      <c r="A1704" s="51">
        <v>43601</v>
      </c>
      <c r="B1704" s="59">
        <v>1040363029</v>
      </c>
      <c r="C1704" s="59" t="s">
        <v>3997</v>
      </c>
      <c r="D1704" s="49" t="s">
        <v>180</v>
      </c>
      <c r="E1704" s="49" t="s">
        <v>3187</v>
      </c>
      <c r="F1704" s="76" t="str">
        <f>IFERROR(IF(Tabla1[[#This Row],[CONCEPTO mx]]="","",VLOOKUP(Tabla1[[#This Row],[CONCEPTO mx]],Tabla2[#All],2,0)),"")</f>
        <v>CM8</v>
      </c>
      <c r="G1704" s="76" t="str">
        <f>IFERROR(IF(Tabla1[[#This Row],[CONCEPTO mx]]="","",VLOOKUP(Tabla1[[#This Row],[CONCEPTO mx]],Tabla2[#All],3,0)),"")</f>
        <v>Gestión Humana</v>
      </c>
      <c r="H1704" s="49" t="s">
        <v>439</v>
      </c>
      <c r="I1704" s="49" t="s">
        <v>2298</v>
      </c>
      <c r="J1704" s="49" t="s">
        <v>2820</v>
      </c>
      <c r="L1704" s="59" t="s">
        <v>3998</v>
      </c>
    </row>
    <row r="1705" spans="1:12" x14ac:dyDescent="0.25">
      <c r="A1705" s="51">
        <v>43606</v>
      </c>
      <c r="B1705" s="59">
        <v>8324063</v>
      </c>
      <c r="C1705" s="59" t="s">
        <v>3978</v>
      </c>
      <c r="D1705" s="49" t="s">
        <v>180</v>
      </c>
      <c r="E1705" s="49" t="s">
        <v>3174</v>
      </c>
      <c r="F1705" s="76" t="str">
        <f>IFERROR(IF(Tabla1[[#This Row],[CONCEPTO mx]]="","",VLOOKUP(Tabla1[[#This Row],[CONCEPTO mx]],Tabla2[#All],2,0)),"")</f>
        <v>CM2</v>
      </c>
      <c r="G1705" s="76" t="str">
        <f>IFERROR(IF(Tabla1[[#This Row],[CONCEPTO mx]]="","",VLOOKUP(Tabla1[[#This Row],[CONCEPTO mx]],Tabla2[#All],3,0)),"")</f>
        <v>SST</v>
      </c>
      <c r="H1705" s="49" t="s">
        <v>388</v>
      </c>
      <c r="I1705" s="49" t="s">
        <v>2298</v>
      </c>
      <c r="J1705" s="49" t="s">
        <v>3477</v>
      </c>
      <c r="K1705" s="51">
        <v>43599</v>
      </c>
      <c r="L1705" s="59" t="s">
        <v>3999</v>
      </c>
    </row>
    <row r="1706" spans="1:12" x14ac:dyDescent="0.25">
      <c r="A1706" s="51">
        <v>43606</v>
      </c>
      <c r="B1706" s="59">
        <v>1040373962</v>
      </c>
      <c r="C1706" s="59" t="s">
        <v>4003</v>
      </c>
      <c r="D1706" s="49" t="s">
        <v>51</v>
      </c>
      <c r="E1706" s="49" t="s">
        <v>3250</v>
      </c>
      <c r="F1706" s="76" t="str">
        <f>IFERROR(IF(Tabla1[[#This Row],[CONCEPTO mx]]="","",VLOOKUP(Tabla1[[#This Row],[CONCEPTO mx]],Tabla2[#All],2,0)),"")</f>
        <v>CM12</v>
      </c>
      <c r="G1706" s="76" t="str">
        <f>IFERROR(IF(Tabla1[[#This Row],[CONCEPTO mx]]="","",VLOOKUP(Tabla1[[#This Row],[CONCEPTO mx]],Tabla2[#All],3,0)),"")</f>
        <v>SST</v>
      </c>
      <c r="H1706" s="49" t="s">
        <v>528</v>
      </c>
      <c r="I1706" s="49" t="s">
        <v>2419</v>
      </c>
      <c r="J1706" s="49" t="s">
        <v>3988</v>
      </c>
      <c r="L1706" s="49" t="s">
        <v>4002</v>
      </c>
    </row>
    <row r="1707" spans="1:12" x14ac:dyDescent="0.25">
      <c r="A1707" s="51">
        <v>43606</v>
      </c>
      <c r="B1707" s="59">
        <v>1045514894</v>
      </c>
      <c r="C1707" s="59" t="s">
        <v>4000</v>
      </c>
      <c r="D1707" s="49" t="s">
        <v>51</v>
      </c>
      <c r="E1707" s="49" t="s">
        <v>3197</v>
      </c>
      <c r="F1707" s="76" t="str">
        <f>IFERROR(IF(Tabla1[[#This Row],[CONCEPTO mx]]="","",VLOOKUP(Tabla1[[#This Row],[CONCEPTO mx]],Tabla2[#All],2,0)),"")</f>
        <v>CM14</v>
      </c>
      <c r="G1707" s="76" t="str">
        <f>IFERROR(IF(Tabla1[[#This Row],[CONCEPTO mx]]="","",VLOOKUP(Tabla1[[#This Row],[CONCEPTO mx]],Tabla2[#All],3,0)),"")</f>
        <v>SST</v>
      </c>
      <c r="H1707" s="49" t="s">
        <v>388</v>
      </c>
      <c r="I1707" s="49" t="s">
        <v>2512</v>
      </c>
      <c r="J1707" s="49" t="s">
        <v>4001</v>
      </c>
    </row>
    <row r="1708" spans="1:12" x14ac:dyDescent="0.25">
      <c r="A1708" s="51">
        <v>43614</v>
      </c>
      <c r="B1708" s="59">
        <v>1040762895</v>
      </c>
      <c r="C1708" s="59" t="s">
        <v>4004</v>
      </c>
      <c r="E1708" s="49" t="s">
        <v>2355</v>
      </c>
      <c r="F1708" s="76" t="str">
        <f>IFERROR(IF(Tabla1[[#This Row],[CONCEPTO mx]]="","",VLOOKUP(Tabla1[[#This Row],[CONCEPTO mx]],Tabla2[#All],2,0)),"")</f>
        <v>CM13</v>
      </c>
      <c r="G1708" s="76" t="str">
        <f>IFERROR(IF(Tabla1[[#This Row],[CONCEPTO mx]]="","",VLOOKUP(Tabla1[[#This Row],[CONCEPTO mx]],Tabla2[#All],3,0)),"")</f>
        <v>Gestión Humana</v>
      </c>
      <c r="H1708" s="49" t="s">
        <v>334</v>
      </c>
      <c r="I1708" s="49" t="s">
        <v>2298</v>
      </c>
      <c r="J1708" s="49" t="s">
        <v>4005</v>
      </c>
    </row>
    <row r="1709" spans="1:12" x14ac:dyDescent="0.25">
      <c r="A1709" s="51">
        <v>43614</v>
      </c>
      <c r="B1709" s="59">
        <v>1066726253</v>
      </c>
      <c r="C1709" s="59" t="s">
        <v>4006</v>
      </c>
      <c r="D1709" s="49" t="s">
        <v>51</v>
      </c>
      <c r="E1709" s="49" t="s">
        <v>3250</v>
      </c>
      <c r="F1709" s="76" t="str">
        <f>IFERROR(IF(Tabla1[[#This Row],[CONCEPTO mx]]="","",VLOOKUP(Tabla1[[#This Row],[CONCEPTO mx]],Tabla2[#All],2,0)),"")</f>
        <v>CM12</v>
      </c>
      <c r="G1709" s="76" t="str">
        <f>IFERROR(IF(Tabla1[[#This Row],[CONCEPTO mx]]="","",VLOOKUP(Tabla1[[#This Row],[CONCEPTO mx]],Tabla2[#All],3,0)),"")</f>
        <v>SST</v>
      </c>
      <c r="H1709" s="49" t="s">
        <v>542</v>
      </c>
      <c r="I1709" s="49" t="s">
        <v>2298</v>
      </c>
      <c r="J1709" s="49" t="s">
        <v>2409</v>
      </c>
    </row>
    <row r="1710" spans="1:12" x14ac:dyDescent="0.25">
      <c r="A1710" s="51">
        <v>43614</v>
      </c>
      <c r="B1710" s="59">
        <v>1001668467</v>
      </c>
      <c r="C1710" s="59" t="s">
        <v>4007</v>
      </c>
      <c r="D1710" s="49" t="s">
        <v>51</v>
      </c>
      <c r="E1710" s="49" t="s">
        <v>3248</v>
      </c>
      <c r="F1710" s="76" t="str">
        <f>IFERROR(IF(Tabla1[[#This Row],[CONCEPTO mx]]="","",VLOOKUP(Tabla1[[#This Row],[CONCEPTO mx]],Tabla2[#All],2,0)),"")</f>
        <v>CM1</v>
      </c>
      <c r="G1710" s="76" t="str">
        <f>IFERROR(IF(Tabla1[[#This Row],[CONCEPTO mx]]="","",VLOOKUP(Tabla1[[#This Row],[CONCEPTO mx]],Tabla2[#All],3,0)),"")</f>
        <v>Gestión Humana</v>
      </c>
      <c r="H1710" s="49" t="s">
        <v>550</v>
      </c>
      <c r="I1710" s="49" t="s">
        <v>2298</v>
      </c>
      <c r="J1710" s="49" t="s">
        <v>2353</v>
      </c>
    </row>
    <row r="1711" spans="1:12" x14ac:dyDescent="0.25">
      <c r="A1711" s="51">
        <v>43614</v>
      </c>
      <c r="B1711" s="59">
        <v>1001035429</v>
      </c>
      <c r="C1711" s="59" t="s">
        <v>1215</v>
      </c>
      <c r="D1711" s="49" t="s">
        <v>180</v>
      </c>
      <c r="E1711" s="49" t="s">
        <v>3248</v>
      </c>
      <c r="F1711" s="76" t="str">
        <f>IFERROR(IF(Tabla1[[#This Row],[CONCEPTO mx]]="","",VLOOKUP(Tabla1[[#This Row],[CONCEPTO mx]],Tabla2[#All],2,0)),"")</f>
        <v>CM1</v>
      </c>
      <c r="G1711" s="76" t="str">
        <f>IFERROR(IF(Tabla1[[#This Row],[CONCEPTO mx]]="","",VLOOKUP(Tabla1[[#This Row],[CONCEPTO mx]],Tabla2[#All],3,0)),"")</f>
        <v>Gestión Humana</v>
      </c>
      <c r="H1711" s="49" t="s">
        <v>550</v>
      </c>
      <c r="I1711" s="49" t="s">
        <v>2298</v>
      </c>
      <c r="J1711" s="49" t="s">
        <v>4008</v>
      </c>
    </row>
    <row r="1712" spans="1:12" x14ac:dyDescent="0.25">
      <c r="A1712" s="51">
        <v>43614</v>
      </c>
      <c r="B1712" s="59">
        <v>1028022716</v>
      </c>
      <c r="C1712" s="59" t="s">
        <v>4009</v>
      </c>
      <c r="D1712" s="49" t="s">
        <v>51</v>
      </c>
      <c r="E1712" s="49" t="s">
        <v>3250</v>
      </c>
      <c r="F1712" s="76" t="str">
        <f>IFERROR(IF(Tabla1[[#This Row],[CONCEPTO mx]]="","",VLOOKUP(Tabla1[[#This Row],[CONCEPTO mx]],Tabla2[#All],2,0)),"")</f>
        <v>CM12</v>
      </c>
      <c r="G1712" s="76" t="str">
        <f>IFERROR(IF(Tabla1[[#This Row],[CONCEPTO mx]]="","",VLOOKUP(Tabla1[[#This Row],[CONCEPTO mx]],Tabla2[#All],3,0)),"")</f>
        <v>SST</v>
      </c>
      <c r="H1712" s="49" t="s">
        <v>528</v>
      </c>
      <c r="I1712" s="49" t="s">
        <v>2512</v>
      </c>
      <c r="J1712" s="59" t="s">
        <v>2885</v>
      </c>
    </row>
    <row r="1713" spans="1:12" x14ac:dyDescent="0.25">
      <c r="A1713" s="51">
        <v>43616</v>
      </c>
      <c r="B1713" s="59">
        <v>8322932</v>
      </c>
      <c r="C1713" s="59" t="s">
        <v>4011</v>
      </c>
      <c r="D1713" s="49" t="s">
        <v>51</v>
      </c>
      <c r="E1713" s="49" t="s">
        <v>3315</v>
      </c>
      <c r="F1713" s="76" t="str">
        <f>IFERROR(IF(Tabla1[[#This Row],[CONCEPTO mx]]="","",VLOOKUP(Tabla1[[#This Row],[CONCEPTO mx]],Tabla2[#All],2,0)),"")</f>
        <v>CM40</v>
      </c>
      <c r="G1713" s="76" t="str">
        <f>IFERROR(IF(Tabla1[[#This Row],[CONCEPTO mx]]="","",VLOOKUP(Tabla1[[#This Row],[CONCEPTO mx]],Tabla2[#All],3,0)),"")</f>
        <v>SST</v>
      </c>
      <c r="H1713" s="49" t="s">
        <v>486</v>
      </c>
      <c r="I1713" s="49" t="s">
        <v>2298</v>
      </c>
      <c r="J1713" s="49" t="s">
        <v>2341</v>
      </c>
      <c r="L1713" s="59" t="s">
        <v>4012</v>
      </c>
    </row>
    <row r="1714" spans="1:12" x14ac:dyDescent="0.25">
      <c r="A1714" s="51">
        <v>43616</v>
      </c>
      <c r="B1714" s="59">
        <v>8435308</v>
      </c>
      <c r="C1714" s="59" t="s">
        <v>4018</v>
      </c>
      <c r="D1714" s="49" t="s">
        <v>51</v>
      </c>
      <c r="E1714" s="49" t="s">
        <v>3315</v>
      </c>
      <c r="F1714" s="76" t="str">
        <f>IFERROR(IF(Tabla1[[#This Row],[CONCEPTO mx]]="","",VLOOKUP(Tabla1[[#This Row],[CONCEPTO mx]],Tabla2[#All],2,0)),"")</f>
        <v>CM40</v>
      </c>
      <c r="G1714" s="76" t="str">
        <f>IFERROR(IF(Tabla1[[#This Row],[CONCEPTO mx]]="","",VLOOKUP(Tabla1[[#This Row],[CONCEPTO mx]],Tabla2[#All],3,0)),"")</f>
        <v>SST</v>
      </c>
      <c r="H1714" s="49" t="s">
        <v>438</v>
      </c>
      <c r="I1714" s="49" t="s">
        <v>2298</v>
      </c>
      <c r="J1714" s="49" t="s">
        <v>4019</v>
      </c>
      <c r="L1714" s="59" t="s">
        <v>4017</v>
      </c>
    </row>
    <row r="1715" spans="1:12" x14ac:dyDescent="0.25">
      <c r="A1715" s="51">
        <v>43616</v>
      </c>
      <c r="B1715" s="59">
        <v>98617563</v>
      </c>
      <c r="C1715" s="59" t="s">
        <v>4013</v>
      </c>
      <c r="D1715" s="49" t="s">
        <v>51</v>
      </c>
      <c r="E1715" s="49" t="s">
        <v>3197</v>
      </c>
      <c r="F1715" s="76" t="str">
        <f>IFERROR(IF(Tabla1[[#This Row],[CONCEPTO mx]]="","",VLOOKUP(Tabla1[[#This Row],[CONCEPTO mx]],Tabla2[#All],2,0)),"")</f>
        <v>CM14</v>
      </c>
      <c r="G1715" s="76" t="str">
        <f>IFERROR(IF(Tabla1[[#This Row],[CONCEPTO mx]]="","",VLOOKUP(Tabla1[[#This Row],[CONCEPTO mx]],Tabla2[#All],3,0)),"")</f>
        <v>SST</v>
      </c>
      <c r="H1715" s="49" t="s">
        <v>438</v>
      </c>
      <c r="I1715" s="49" t="s">
        <v>2298</v>
      </c>
      <c r="J1715" s="49" t="s">
        <v>2409</v>
      </c>
      <c r="L1715" s="49" t="s">
        <v>4014</v>
      </c>
    </row>
    <row r="1716" spans="1:12" x14ac:dyDescent="0.25">
      <c r="A1716" s="51">
        <v>43616</v>
      </c>
      <c r="B1716" s="59">
        <v>1038813874</v>
      </c>
      <c r="C1716" s="59" t="s">
        <v>4015</v>
      </c>
      <c r="D1716" s="49" t="s">
        <v>51</v>
      </c>
      <c r="E1716" s="49" t="s">
        <v>3315</v>
      </c>
      <c r="F1716" s="76" t="str">
        <f>IFERROR(IF(Tabla1[[#This Row],[CONCEPTO mx]]="","",VLOOKUP(Tabla1[[#This Row],[CONCEPTO mx]],Tabla2[#All],2,0)),"")</f>
        <v>CM40</v>
      </c>
      <c r="G1716" s="76" t="str">
        <f>IFERROR(IF(Tabla1[[#This Row],[CONCEPTO mx]]="","",VLOOKUP(Tabla1[[#This Row],[CONCEPTO mx]],Tabla2[#All],3,0)),"")</f>
        <v>SST</v>
      </c>
      <c r="H1716" s="49" t="s">
        <v>438</v>
      </c>
      <c r="I1716" s="49" t="s">
        <v>2298</v>
      </c>
      <c r="J1716" s="49" t="s">
        <v>3964</v>
      </c>
      <c r="L1716" s="59" t="s">
        <v>4016</v>
      </c>
    </row>
    <row r="1717" spans="1:12" x14ac:dyDescent="0.25">
      <c r="A1717" s="51">
        <v>43616</v>
      </c>
      <c r="B1717" s="59">
        <v>31322903</v>
      </c>
      <c r="C1717" s="59" t="s">
        <v>4010</v>
      </c>
      <c r="D1717" s="49" t="s">
        <v>51</v>
      </c>
      <c r="E1717" s="49" t="s">
        <v>2401</v>
      </c>
      <c r="F1717" s="76" t="str">
        <f>IFERROR(IF(Tabla1[[#This Row],[CONCEPTO mx]]="","",VLOOKUP(Tabla1[[#This Row],[CONCEPTO mx]],Tabla2[#All],2,0)),"")</f>
        <v>CM28</v>
      </c>
      <c r="G1717" s="76" t="str">
        <f>IFERROR(IF(Tabla1[[#This Row],[CONCEPTO mx]]="","",VLOOKUP(Tabla1[[#This Row],[CONCEPTO mx]],Tabla2[#All],3,0)),"")</f>
        <v>SST</v>
      </c>
      <c r="H1717" s="49" t="s">
        <v>438</v>
      </c>
      <c r="I1717" s="49" t="s">
        <v>2298</v>
      </c>
      <c r="J1717" s="49" t="s">
        <v>2845</v>
      </c>
    </row>
    <row r="1718" spans="1:12" x14ac:dyDescent="0.25">
      <c r="A1718" s="51">
        <v>43620</v>
      </c>
      <c r="B1718" s="59">
        <v>1040762895</v>
      </c>
      <c r="C1718" s="59" t="s">
        <v>4004</v>
      </c>
      <c r="D1718" s="49" t="s">
        <v>51</v>
      </c>
      <c r="E1718" s="49" t="s">
        <v>3315</v>
      </c>
      <c r="F1718" s="76" t="str">
        <f>IFERROR(IF(Tabla1[[#This Row],[CONCEPTO mx]]="","",VLOOKUP(Tabla1[[#This Row],[CONCEPTO mx]],Tabla2[#All],2,0)),"")</f>
        <v>CM40</v>
      </c>
      <c r="G1718" s="76" t="str">
        <f>IFERROR(IF(Tabla1[[#This Row],[CONCEPTO mx]]="","",VLOOKUP(Tabla1[[#This Row],[CONCEPTO mx]],Tabla2[#All],3,0)),"")</f>
        <v>SST</v>
      </c>
      <c r="H1718" s="49" t="s">
        <v>334</v>
      </c>
      <c r="I1718" s="49" t="s">
        <v>2298</v>
      </c>
      <c r="J1718" s="49" t="s">
        <v>4005</v>
      </c>
      <c r="L1718" s="59" t="s">
        <v>3965</v>
      </c>
    </row>
    <row r="1719" spans="1:12" x14ac:dyDescent="0.25">
      <c r="A1719" s="51">
        <v>43620</v>
      </c>
      <c r="B1719" s="59">
        <v>8438058</v>
      </c>
      <c r="C1719" s="59" t="s">
        <v>4020</v>
      </c>
      <c r="D1719" s="49" t="s">
        <v>51</v>
      </c>
      <c r="E1719" s="49" t="s">
        <v>3315</v>
      </c>
      <c r="F1719" s="76" t="str">
        <f>IFERROR(IF(Tabla1[[#This Row],[CONCEPTO mx]]="","",VLOOKUP(Tabla1[[#This Row],[CONCEPTO mx]],Tabla2[#All],2,0)),"")</f>
        <v>CM40</v>
      </c>
      <c r="G1719" s="76" t="str">
        <f>IFERROR(IF(Tabla1[[#This Row],[CONCEPTO mx]]="","",VLOOKUP(Tabla1[[#This Row],[CONCEPTO mx]],Tabla2[#All],3,0)),"")</f>
        <v>SST</v>
      </c>
      <c r="H1719" s="49" t="s">
        <v>2393</v>
      </c>
      <c r="I1719" s="49" t="s">
        <v>2298</v>
      </c>
      <c r="J1719" s="49" t="s">
        <v>2792</v>
      </c>
      <c r="L1719" s="59" t="s">
        <v>4022</v>
      </c>
    </row>
    <row r="1720" spans="1:12" x14ac:dyDescent="0.25">
      <c r="A1720" s="51">
        <v>43620</v>
      </c>
      <c r="B1720" s="59">
        <v>8438202</v>
      </c>
      <c r="C1720" s="59" t="s">
        <v>4023</v>
      </c>
      <c r="D1720" s="49" t="s">
        <v>51</v>
      </c>
      <c r="E1720" s="49" t="s">
        <v>3248</v>
      </c>
      <c r="F1720" s="76" t="str">
        <f>IFERROR(IF(Tabla1[[#This Row],[CONCEPTO mx]]="","",VLOOKUP(Tabla1[[#This Row],[CONCEPTO mx]],Tabla2[#All],2,0)),"")</f>
        <v>CM1</v>
      </c>
      <c r="G1720" s="76" t="str">
        <f>IFERROR(IF(Tabla1[[#This Row],[CONCEPTO mx]]="","",VLOOKUP(Tabla1[[#This Row],[CONCEPTO mx]],Tabla2[#All],3,0)),"")</f>
        <v>Gestión Humana</v>
      </c>
      <c r="H1720" s="49" t="s">
        <v>438</v>
      </c>
      <c r="I1720" s="49" t="s">
        <v>2298</v>
      </c>
      <c r="J1720" s="49" t="s">
        <v>2811</v>
      </c>
    </row>
    <row r="1721" spans="1:12" x14ac:dyDescent="0.25">
      <c r="A1721" s="51">
        <v>43620</v>
      </c>
      <c r="B1721" s="59">
        <v>1069494975</v>
      </c>
      <c r="C1721" s="59" t="s">
        <v>4024</v>
      </c>
      <c r="D1721" s="49" t="s">
        <v>51</v>
      </c>
      <c r="E1721" s="49" t="s">
        <v>3248</v>
      </c>
      <c r="F1721" s="76" t="str">
        <f>IFERROR(IF(Tabla1[[#This Row],[CONCEPTO mx]]="","",VLOOKUP(Tabla1[[#This Row],[CONCEPTO mx]],Tabla2[#All],2,0)),"")</f>
        <v>CM1</v>
      </c>
      <c r="G1721" s="76" t="str">
        <f>IFERROR(IF(Tabla1[[#This Row],[CONCEPTO mx]]="","",VLOOKUP(Tabla1[[#This Row],[CONCEPTO mx]],Tabla2[#All],3,0)),"")</f>
        <v>Gestión Humana</v>
      </c>
      <c r="H1721" s="49" t="s">
        <v>628</v>
      </c>
      <c r="I1721" s="49" t="s">
        <v>2298</v>
      </c>
      <c r="J1721" s="49" t="s">
        <v>2409</v>
      </c>
    </row>
    <row r="1722" spans="1:12" x14ac:dyDescent="0.25">
      <c r="A1722" s="51">
        <v>43620</v>
      </c>
      <c r="B1722" s="59">
        <v>1028018426</v>
      </c>
      <c r="C1722" s="59" t="s">
        <v>4025</v>
      </c>
      <c r="D1722" s="49" t="s">
        <v>51</v>
      </c>
      <c r="E1722" s="49" t="s">
        <v>3248</v>
      </c>
      <c r="F1722" s="76" t="str">
        <f>IFERROR(IF(Tabla1[[#This Row],[CONCEPTO mx]]="","",VLOOKUP(Tabla1[[#This Row],[CONCEPTO mx]],Tabla2[#All],2,0)),"")</f>
        <v>CM1</v>
      </c>
      <c r="G1722" s="76" t="str">
        <f>IFERROR(IF(Tabla1[[#This Row],[CONCEPTO mx]]="","",VLOOKUP(Tabla1[[#This Row],[CONCEPTO mx]],Tabla2[#All],3,0)),"")</f>
        <v>Gestión Humana</v>
      </c>
      <c r="H1722" s="49" t="s">
        <v>470</v>
      </c>
      <c r="I1722" s="49" t="s">
        <v>2298</v>
      </c>
      <c r="J1722" s="49" t="s">
        <v>2863</v>
      </c>
    </row>
    <row r="1723" spans="1:12" x14ac:dyDescent="0.25">
      <c r="A1723" s="51">
        <v>43620</v>
      </c>
      <c r="B1723" s="59">
        <v>1028018413</v>
      </c>
      <c r="C1723" s="59" t="s">
        <v>4026</v>
      </c>
      <c r="D1723" s="49" t="s">
        <v>51</v>
      </c>
      <c r="E1723" s="49" t="s">
        <v>3249</v>
      </c>
      <c r="F1723" s="76" t="str">
        <f>IFERROR(IF(Tabla1[[#This Row],[CONCEPTO mx]]="","",VLOOKUP(Tabla1[[#This Row],[CONCEPTO mx]],Tabla2[#All],2,0)),"")</f>
        <v>CM3</v>
      </c>
      <c r="G1723" s="76" t="str">
        <f>IFERROR(IF(Tabla1[[#This Row],[CONCEPTO mx]]="","",VLOOKUP(Tabla1[[#This Row],[CONCEPTO mx]],Tabla2[#All],3,0)),"")</f>
        <v>SST</v>
      </c>
      <c r="H1723" s="49" t="s">
        <v>334</v>
      </c>
      <c r="I1723" s="49" t="s">
        <v>2298</v>
      </c>
      <c r="J1723" s="49" t="s">
        <v>4027</v>
      </c>
    </row>
    <row r="1724" spans="1:12" x14ac:dyDescent="0.25">
      <c r="A1724" s="51">
        <v>43620</v>
      </c>
      <c r="B1724" s="59">
        <v>1069494975</v>
      </c>
      <c r="C1724" s="59" t="s">
        <v>4024</v>
      </c>
      <c r="D1724" s="49" t="s">
        <v>51</v>
      </c>
      <c r="E1724" s="49" t="s">
        <v>3249</v>
      </c>
      <c r="F1724" s="76" t="str">
        <f>IFERROR(IF(Tabla1[[#This Row],[CONCEPTO mx]]="","",VLOOKUP(Tabla1[[#This Row],[CONCEPTO mx]],Tabla2[#All],2,0)),"")</f>
        <v>CM3</v>
      </c>
      <c r="G1724" s="76" t="str">
        <f>IFERROR(IF(Tabla1[[#This Row],[CONCEPTO mx]]="","",VLOOKUP(Tabla1[[#This Row],[CONCEPTO mx]],Tabla2[#All],3,0)),"")</f>
        <v>SST</v>
      </c>
      <c r="H1724" s="49" t="s">
        <v>628</v>
      </c>
      <c r="I1724" s="49" t="s">
        <v>2298</v>
      </c>
      <c r="J1724" s="49" t="s">
        <v>2409</v>
      </c>
    </row>
    <row r="1725" spans="1:12" x14ac:dyDescent="0.25">
      <c r="A1725" s="51">
        <v>43620</v>
      </c>
      <c r="B1725" s="59">
        <v>10932986</v>
      </c>
      <c r="C1725" s="59" t="s">
        <v>4021</v>
      </c>
      <c r="D1725" s="49" t="s">
        <v>51</v>
      </c>
      <c r="E1725" s="49" t="s">
        <v>3315</v>
      </c>
      <c r="F1725" s="76" t="str">
        <f>IFERROR(IF(Tabla1[[#This Row],[CONCEPTO mx]]="","",VLOOKUP(Tabla1[[#This Row],[CONCEPTO mx]],Tabla2[#All],2,0)),"")</f>
        <v>CM40</v>
      </c>
      <c r="G1725" s="76" t="str">
        <f>IFERROR(IF(Tabla1[[#This Row],[CONCEPTO mx]]="","",VLOOKUP(Tabla1[[#This Row],[CONCEPTO mx]],Tabla2[#All],3,0)),"")</f>
        <v>SST</v>
      </c>
      <c r="H1725" s="49" t="s">
        <v>550</v>
      </c>
      <c r="I1725" s="49" t="s">
        <v>2298</v>
      </c>
      <c r="J1725" s="49" t="s">
        <v>2845</v>
      </c>
      <c r="L1725" s="59" t="s">
        <v>4039</v>
      </c>
    </row>
    <row r="1726" spans="1:12" x14ac:dyDescent="0.25">
      <c r="A1726" s="51">
        <v>43620</v>
      </c>
      <c r="B1726" s="59">
        <v>1039694689</v>
      </c>
      <c r="C1726" s="59" t="s">
        <v>4029</v>
      </c>
      <c r="D1726" s="49" t="s">
        <v>51</v>
      </c>
      <c r="E1726" s="49" t="s">
        <v>3248</v>
      </c>
      <c r="F1726" s="76" t="str">
        <f>IFERROR(IF(Tabla1[[#This Row],[CONCEPTO mx]]="","",VLOOKUP(Tabla1[[#This Row],[CONCEPTO mx]],Tabla2[#All],2,0)),"")</f>
        <v>CM1</v>
      </c>
      <c r="G1726" s="76" t="str">
        <f>IFERROR(IF(Tabla1[[#This Row],[CONCEPTO mx]]="","",VLOOKUP(Tabla1[[#This Row],[CONCEPTO mx]],Tabla2[#All],3,0)),"")</f>
        <v>Gestión Humana</v>
      </c>
      <c r="H1726" s="49" t="s">
        <v>470</v>
      </c>
      <c r="I1726" s="49" t="s">
        <v>2298</v>
      </c>
      <c r="J1726" s="49" t="s">
        <v>4028</v>
      </c>
    </row>
    <row r="1727" spans="1:12" x14ac:dyDescent="0.25">
      <c r="A1727" s="51">
        <v>43621</v>
      </c>
      <c r="C1727" s="59" t="s">
        <v>4034</v>
      </c>
      <c r="D1727" s="49" t="s">
        <v>51</v>
      </c>
      <c r="E1727" s="49" t="s">
        <v>3197</v>
      </c>
      <c r="F1727" s="76" t="str">
        <f>IFERROR(IF(Tabla1[[#This Row],[CONCEPTO mx]]="","",VLOOKUP(Tabla1[[#This Row],[CONCEPTO mx]],Tabla2[#All],2,0)),"")</f>
        <v>CM14</v>
      </c>
      <c r="G1727" s="76" t="str">
        <f>IFERROR(IF(Tabla1[[#This Row],[CONCEPTO mx]]="","",VLOOKUP(Tabla1[[#This Row],[CONCEPTO mx]],Tabla2[#All],3,0)),"")</f>
        <v>SST</v>
      </c>
      <c r="H1727" s="49" t="s">
        <v>628</v>
      </c>
      <c r="I1727" s="49" t="s">
        <v>2298</v>
      </c>
      <c r="J1727" s="49" t="s">
        <v>3396</v>
      </c>
    </row>
    <row r="1728" spans="1:12" x14ac:dyDescent="0.25">
      <c r="A1728" s="51">
        <v>43621</v>
      </c>
      <c r="B1728" s="59">
        <v>1028039487</v>
      </c>
      <c r="C1728" s="59" t="s">
        <v>4031</v>
      </c>
      <c r="D1728" s="49" t="s">
        <v>51</v>
      </c>
      <c r="E1728" s="49" t="s">
        <v>3250</v>
      </c>
      <c r="F1728" s="76" t="str">
        <f>IFERROR(IF(Tabla1[[#This Row],[CONCEPTO mx]]="","",VLOOKUP(Tabla1[[#This Row],[CONCEPTO mx]],Tabla2[#All],2,0)),"")</f>
        <v>CM12</v>
      </c>
      <c r="G1728" s="76" t="str">
        <f>IFERROR(IF(Tabla1[[#This Row],[CONCEPTO mx]]="","",VLOOKUP(Tabla1[[#This Row],[CONCEPTO mx]],Tabla2[#All],3,0)),"")</f>
        <v>SST</v>
      </c>
      <c r="H1728" s="49" t="s">
        <v>486</v>
      </c>
      <c r="I1728" s="49" t="s">
        <v>2512</v>
      </c>
      <c r="J1728" s="49" t="s">
        <v>3432</v>
      </c>
      <c r="L1728" s="59" t="s">
        <v>4032</v>
      </c>
    </row>
    <row r="1729" spans="1:12" x14ac:dyDescent="0.25">
      <c r="A1729" s="51">
        <v>43621</v>
      </c>
      <c r="C1729" s="59" t="s">
        <v>4033</v>
      </c>
      <c r="D1729" s="49" t="s">
        <v>51</v>
      </c>
      <c r="E1729" s="49" t="s">
        <v>3248</v>
      </c>
      <c r="F1729" s="76" t="str">
        <f>IFERROR(IF(Tabla1[[#This Row],[CONCEPTO mx]]="","",VLOOKUP(Tabla1[[#This Row],[CONCEPTO mx]],Tabla2[#All],2,0)),"")</f>
        <v>CM1</v>
      </c>
      <c r="G1729" s="76" t="str">
        <f>IFERROR(IF(Tabla1[[#This Row],[CONCEPTO mx]]="","",VLOOKUP(Tabla1[[#This Row],[CONCEPTO mx]],Tabla2[#All],3,0)),"")</f>
        <v>Gestión Humana</v>
      </c>
      <c r="H1729" s="49" t="s">
        <v>406</v>
      </c>
      <c r="I1729" s="49" t="s">
        <v>2298</v>
      </c>
      <c r="J1729" s="49" t="s">
        <v>3460</v>
      </c>
    </row>
    <row r="1730" spans="1:12" x14ac:dyDescent="0.25">
      <c r="A1730" s="51">
        <v>43621</v>
      </c>
      <c r="B1730" s="59">
        <v>1039696680</v>
      </c>
      <c r="C1730" s="59" t="s">
        <v>3962</v>
      </c>
      <c r="D1730" s="49" t="s">
        <v>180</v>
      </c>
      <c r="E1730" s="54" t="s">
        <v>3174</v>
      </c>
      <c r="F1730" s="76" t="str">
        <f>IFERROR(IF(Tabla1[[#This Row],[CONCEPTO mx]]="","",VLOOKUP(Tabla1[[#This Row],[CONCEPTO mx]],Tabla2[#All],2,0)),"")</f>
        <v>CM2</v>
      </c>
      <c r="G1730" s="76" t="str">
        <f>IFERROR(IF(Tabla1[[#This Row],[CONCEPTO mx]]="","",VLOOKUP(Tabla1[[#This Row],[CONCEPTO mx]],Tabla2[#All],3,0)),"")</f>
        <v>SST</v>
      </c>
      <c r="H1730" s="49" t="s">
        <v>2394</v>
      </c>
      <c r="I1730" s="49" t="s">
        <v>2298</v>
      </c>
      <c r="J1730" s="49" t="s">
        <v>2353</v>
      </c>
      <c r="K1730" s="51">
        <v>43620</v>
      </c>
      <c r="L1730" s="59" t="s">
        <v>4030</v>
      </c>
    </row>
    <row r="1731" spans="1:12" x14ac:dyDescent="0.25">
      <c r="A1731" s="51">
        <v>43621</v>
      </c>
      <c r="B1731" s="59">
        <v>8322308</v>
      </c>
      <c r="C1731" s="59" t="s">
        <v>4035</v>
      </c>
      <c r="D1731" s="49" t="s">
        <v>51</v>
      </c>
      <c r="E1731" s="49" t="s">
        <v>3315</v>
      </c>
      <c r="F1731" s="76" t="str">
        <f>IFERROR(IF(Tabla1[[#This Row],[CONCEPTO mx]]="","",VLOOKUP(Tabla1[[#This Row],[CONCEPTO mx]],Tabla2[#All],2,0)),"")</f>
        <v>CM40</v>
      </c>
      <c r="G1731" s="76" t="str">
        <f>IFERROR(IF(Tabla1[[#This Row],[CONCEPTO mx]]="","",VLOOKUP(Tabla1[[#This Row],[CONCEPTO mx]],Tabla2[#All],3,0)),"")</f>
        <v>SST</v>
      </c>
      <c r="H1731" s="49" t="s">
        <v>550</v>
      </c>
      <c r="I1731" s="49" t="s">
        <v>2298</v>
      </c>
      <c r="J1731" s="49" t="s">
        <v>2811</v>
      </c>
      <c r="L1731" s="59" t="s">
        <v>4012</v>
      </c>
    </row>
    <row r="1732" spans="1:12" x14ac:dyDescent="0.25">
      <c r="A1732" s="51">
        <v>43621</v>
      </c>
      <c r="B1732" s="59">
        <v>1001670507</v>
      </c>
      <c r="C1732" s="59" t="s">
        <v>4036</v>
      </c>
      <c r="D1732" s="49" t="s">
        <v>180</v>
      </c>
      <c r="E1732" s="49" t="s">
        <v>3181</v>
      </c>
      <c r="F1732" s="76" t="str">
        <f>IFERROR(IF(Tabla1[[#This Row],[CONCEPTO mx]]="","",VLOOKUP(Tabla1[[#This Row],[CONCEPTO mx]],Tabla2[#All],2,0)),"")</f>
        <v>CM10</v>
      </c>
      <c r="G1732" s="76" t="str">
        <f>IFERROR(IF(Tabla1[[#This Row],[CONCEPTO mx]]="","",VLOOKUP(Tabla1[[#This Row],[CONCEPTO mx]],Tabla2[#All],3,0)),"")</f>
        <v>Gestión Humana</v>
      </c>
      <c r="H1732" s="49" t="s">
        <v>2393</v>
      </c>
      <c r="I1732" s="49" t="s">
        <v>2298</v>
      </c>
      <c r="J1732" s="49" t="s">
        <v>3396</v>
      </c>
      <c r="L1732" s="59" t="s">
        <v>4037</v>
      </c>
    </row>
    <row r="1733" spans="1:12" x14ac:dyDescent="0.25">
      <c r="A1733" s="51">
        <v>43621</v>
      </c>
      <c r="B1733" s="59">
        <v>1028012158</v>
      </c>
      <c r="C1733" s="59" t="s">
        <v>90</v>
      </c>
      <c r="E1733" s="49" t="s">
        <v>2355</v>
      </c>
      <c r="F1733" s="76" t="str">
        <f>IFERROR(IF(Tabla1[[#This Row],[CONCEPTO mx]]="","",VLOOKUP(Tabla1[[#This Row],[CONCEPTO mx]],Tabla2[#All],2,0)),"")</f>
        <v>CM13</v>
      </c>
      <c r="G1733" s="76" t="str">
        <f>IFERROR(IF(Tabla1[[#This Row],[CONCEPTO mx]]="","",VLOOKUP(Tabla1[[#This Row],[CONCEPTO mx]],Tabla2[#All],3,0)),"")</f>
        <v>Gestión Humana</v>
      </c>
      <c r="H1733" s="49" t="s">
        <v>486</v>
      </c>
      <c r="I1733" s="49" t="s">
        <v>2298</v>
      </c>
      <c r="J1733" s="49" t="s">
        <v>3969</v>
      </c>
    </row>
    <row r="1734" spans="1:12" x14ac:dyDescent="0.25">
      <c r="A1734" s="51">
        <v>43622</v>
      </c>
      <c r="B1734" s="59">
        <v>98618798</v>
      </c>
      <c r="C1734" s="59" t="s">
        <v>4042</v>
      </c>
      <c r="D1734" s="49" t="s">
        <v>51</v>
      </c>
      <c r="E1734" s="49" t="s">
        <v>3315</v>
      </c>
      <c r="F1734" s="76" t="str">
        <f>IFERROR(IF(Tabla1[[#This Row],[CONCEPTO mx]]="","",VLOOKUP(Tabla1[[#This Row],[CONCEPTO mx]],Tabla2[#All],2,0)),"")</f>
        <v>CM40</v>
      </c>
      <c r="G1734" s="76" t="str">
        <f>IFERROR(IF(Tabla1[[#This Row],[CONCEPTO mx]]="","",VLOOKUP(Tabla1[[#This Row],[CONCEPTO mx]],Tabla2[#All],3,0)),"")</f>
        <v>SST</v>
      </c>
      <c r="H1734" s="49" t="s">
        <v>542</v>
      </c>
      <c r="I1734" s="49" t="s">
        <v>2298</v>
      </c>
      <c r="J1734" s="49" t="s">
        <v>3969</v>
      </c>
    </row>
    <row r="1735" spans="1:12" x14ac:dyDescent="0.25">
      <c r="A1735" s="51">
        <v>43622</v>
      </c>
      <c r="B1735" s="59">
        <v>71949832</v>
      </c>
      <c r="C1735" s="59" t="s">
        <v>4041</v>
      </c>
      <c r="D1735" s="49" t="s">
        <v>51</v>
      </c>
      <c r="E1735" s="49" t="s">
        <v>3248</v>
      </c>
      <c r="F1735" s="76" t="str">
        <f>IFERROR(IF(Tabla1[[#This Row],[CONCEPTO mx]]="","",VLOOKUP(Tabla1[[#This Row],[CONCEPTO mx]],Tabla2[#All],2,0)),"")</f>
        <v>CM1</v>
      </c>
      <c r="G1735" s="76" t="str">
        <f>IFERROR(IF(Tabla1[[#This Row],[CONCEPTO mx]]="","",VLOOKUP(Tabla1[[#This Row],[CONCEPTO mx]],Tabla2[#All],3,0)),"")</f>
        <v>Gestión Humana</v>
      </c>
      <c r="H1735" s="49" t="s">
        <v>550</v>
      </c>
      <c r="I1735" s="49" t="s">
        <v>3392</v>
      </c>
      <c r="J1735" s="49" t="s">
        <v>2328</v>
      </c>
    </row>
    <row r="1736" spans="1:12" x14ac:dyDescent="0.25">
      <c r="A1736" s="51">
        <v>43622</v>
      </c>
      <c r="B1736" s="59">
        <v>71946535</v>
      </c>
      <c r="C1736" s="59" t="s">
        <v>4040</v>
      </c>
      <c r="D1736" s="49" t="s">
        <v>51</v>
      </c>
      <c r="E1736" s="49" t="s">
        <v>3250</v>
      </c>
      <c r="F1736" s="76" t="str">
        <f>IFERROR(IF(Tabla1[[#This Row],[CONCEPTO mx]]="","",VLOOKUP(Tabla1[[#This Row],[CONCEPTO mx]],Tabla2[#All],2,0)),"")</f>
        <v>CM12</v>
      </c>
      <c r="G1736" s="76" t="str">
        <f>IFERROR(IF(Tabla1[[#This Row],[CONCEPTO mx]]="","",VLOOKUP(Tabla1[[#This Row],[CONCEPTO mx]],Tabla2[#All],3,0)),"")</f>
        <v>SST</v>
      </c>
      <c r="H1736" s="49" t="s">
        <v>413</v>
      </c>
      <c r="I1736" s="49" t="s">
        <v>3392</v>
      </c>
      <c r="J1736" s="49" t="s">
        <v>2328</v>
      </c>
      <c r="L1736" s="59" t="s">
        <v>4016</v>
      </c>
    </row>
    <row r="1737" spans="1:12" x14ac:dyDescent="0.25">
      <c r="A1737" s="51">
        <v>43624</v>
      </c>
      <c r="B1737" s="59">
        <v>1017240028</v>
      </c>
      <c r="C1737" s="59" t="s">
        <v>4046</v>
      </c>
      <c r="D1737" s="49" t="s">
        <v>180</v>
      </c>
      <c r="E1737" s="49" t="s">
        <v>3198</v>
      </c>
      <c r="F1737" s="76" t="str">
        <f>IFERROR(IF(Tabla1[[#This Row],[CONCEPTO mx]]="","",VLOOKUP(Tabla1[[#This Row],[CONCEPTO mx]],Tabla2[#All],2,0)),"")</f>
        <v>CM6</v>
      </c>
      <c r="G1737" s="76" t="str">
        <f>IFERROR(IF(Tabla1[[#This Row],[CONCEPTO mx]]="","",VLOOKUP(Tabla1[[#This Row],[CONCEPTO mx]],Tabla2[#All],3,0)),"")</f>
        <v>SST</v>
      </c>
      <c r="H1737" s="49" t="s">
        <v>542</v>
      </c>
      <c r="I1737" s="49" t="s">
        <v>2298</v>
      </c>
      <c r="J1737" s="49" t="s">
        <v>4047</v>
      </c>
      <c r="L1737" s="59" t="s">
        <v>4048</v>
      </c>
    </row>
    <row r="1738" spans="1:12" x14ac:dyDescent="0.25">
      <c r="A1738" s="51">
        <v>43624</v>
      </c>
      <c r="B1738" s="59">
        <v>1038803664</v>
      </c>
      <c r="C1738" s="59" t="s">
        <v>4050</v>
      </c>
      <c r="D1738" s="49" t="s">
        <v>51</v>
      </c>
      <c r="E1738" s="49" t="s">
        <v>3250</v>
      </c>
      <c r="F1738" s="76" t="str">
        <f>IFERROR(IF(Tabla1[[#This Row],[CONCEPTO mx]]="","",VLOOKUP(Tabla1[[#This Row],[CONCEPTO mx]],Tabla2[#All],2,0)),"")</f>
        <v>CM12</v>
      </c>
      <c r="G1738" s="76" t="str">
        <f>IFERROR(IF(Tabla1[[#This Row],[CONCEPTO mx]]="","",VLOOKUP(Tabla1[[#This Row],[CONCEPTO mx]],Tabla2[#All],3,0)),"")</f>
        <v>SST</v>
      </c>
      <c r="H1738" s="49" t="s">
        <v>2393</v>
      </c>
      <c r="I1738" s="49" t="s">
        <v>3392</v>
      </c>
      <c r="J1738" s="49" t="s">
        <v>2328</v>
      </c>
      <c r="L1738" s="59" t="s">
        <v>4016</v>
      </c>
    </row>
    <row r="1739" spans="1:12" x14ac:dyDescent="0.25">
      <c r="A1739" s="51">
        <v>43624</v>
      </c>
      <c r="B1739" s="59">
        <v>71353187</v>
      </c>
      <c r="C1739" s="59" t="s">
        <v>4049</v>
      </c>
      <c r="D1739" s="49" t="s">
        <v>51</v>
      </c>
      <c r="E1739" s="49" t="s">
        <v>3249</v>
      </c>
      <c r="F1739" s="76" t="str">
        <f>IFERROR(IF(Tabla1[[#This Row],[CONCEPTO mx]]="","",VLOOKUP(Tabla1[[#This Row],[CONCEPTO mx]],Tabla2[#All],2,0)),"")</f>
        <v>CM3</v>
      </c>
      <c r="G1739" s="76" t="str">
        <f>IFERROR(IF(Tabla1[[#This Row],[CONCEPTO mx]]="","",VLOOKUP(Tabla1[[#This Row],[CONCEPTO mx]],Tabla2[#All],3,0)),"")</f>
        <v>SST</v>
      </c>
      <c r="H1739" s="49" t="s">
        <v>470</v>
      </c>
      <c r="I1739" s="49" t="s">
        <v>3392</v>
      </c>
      <c r="J1739" s="49" t="s">
        <v>2328</v>
      </c>
    </row>
    <row r="1740" spans="1:12" x14ac:dyDescent="0.25">
      <c r="A1740" s="51">
        <v>43624</v>
      </c>
      <c r="B1740" s="59">
        <v>1100399564</v>
      </c>
      <c r="C1740" s="59" t="s">
        <v>4051</v>
      </c>
      <c r="D1740" s="49" t="s">
        <v>51</v>
      </c>
      <c r="E1740" s="49" t="s">
        <v>3315</v>
      </c>
      <c r="F1740" s="76" t="str">
        <f>IFERROR(IF(Tabla1[[#This Row],[CONCEPTO mx]]="","",VLOOKUP(Tabla1[[#This Row],[CONCEPTO mx]],Tabla2[#All],2,0)),"")</f>
        <v>CM40</v>
      </c>
      <c r="G1740" s="76" t="str">
        <f>IFERROR(IF(Tabla1[[#This Row],[CONCEPTO mx]]="","",VLOOKUP(Tabla1[[#This Row],[CONCEPTO mx]],Tabla2[#All],3,0)),"")</f>
        <v>SST</v>
      </c>
      <c r="H1740" s="49" t="s">
        <v>542</v>
      </c>
      <c r="I1740" s="49" t="s">
        <v>2298</v>
      </c>
      <c r="J1740" s="49" t="s">
        <v>4047</v>
      </c>
      <c r="L1740" s="59" t="s">
        <v>4052</v>
      </c>
    </row>
    <row r="1741" spans="1:12" x14ac:dyDescent="0.25">
      <c r="A1741" s="51">
        <v>43624</v>
      </c>
      <c r="B1741" s="59">
        <v>10966186</v>
      </c>
      <c r="C1741" s="59" t="s">
        <v>4044</v>
      </c>
      <c r="D1741" s="49" t="s">
        <v>51</v>
      </c>
      <c r="E1741" s="49" t="s">
        <v>3315</v>
      </c>
      <c r="F1741" s="76" t="str">
        <f>IFERROR(IF(Tabla1[[#This Row],[CONCEPTO mx]]="","",VLOOKUP(Tabla1[[#This Row],[CONCEPTO mx]],Tabla2[#All],2,0)),"")</f>
        <v>CM40</v>
      </c>
      <c r="G1741" s="76" t="str">
        <f>IFERROR(IF(Tabla1[[#This Row],[CONCEPTO mx]]="","",VLOOKUP(Tabla1[[#This Row],[CONCEPTO mx]],Tabla2[#All],3,0)),"")</f>
        <v>SST</v>
      </c>
      <c r="H1741" s="49" t="s">
        <v>406</v>
      </c>
      <c r="I1741" s="49" t="s">
        <v>2298</v>
      </c>
      <c r="J1741" s="49" t="s">
        <v>4045</v>
      </c>
      <c r="L1741" s="59" t="s">
        <v>4043</v>
      </c>
    </row>
    <row r="1742" spans="1:12" x14ac:dyDescent="0.25">
      <c r="A1742" s="51">
        <v>43627</v>
      </c>
      <c r="B1742" s="59">
        <v>1039094772</v>
      </c>
      <c r="C1742" s="59" t="s">
        <v>4053</v>
      </c>
      <c r="D1742" s="49" t="s">
        <v>51</v>
      </c>
      <c r="E1742" s="49" t="s">
        <v>3248</v>
      </c>
      <c r="F1742" s="76" t="str">
        <f>IFERROR(IF(Tabla1[[#This Row],[CONCEPTO mx]]="","",VLOOKUP(Tabla1[[#This Row],[CONCEPTO mx]],Tabla2[#All],2,0)),"")</f>
        <v>CM1</v>
      </c>
      <c r="G1742" s="76" t="str">
        <f>IFERROR(IF(Tabla1[[#This Row],[CONCEPTO mx]]="","",VLOOKUP(Tabla1[[#This Row],[CONCEPTO mx]],Tabla2[#All],3,0)),"")</f>
        <v>Gestión Humana</v>
      </c>
      <c r="H1742" s="49" t="s">
        <v>470</v>
      </c>
      <c r="I1742" s="49" t="s">
        <v>2298</v>
      </c>
      <c r="J1742" s="49" t="s">
        <v>4233</v>
      </c>
    </row>
    <row r="1743" spans="1:12" x14ac:dyDescent="0.25">
      <c r="A1743" s="51">
        <v>43628</v>
      </c>
      <c r="B1743" s="59">
        <v>1045526573</v>
      </c>
      <c r="C1743" s="59" t="s">
        <v>4054</v>
      </c>
      <c r="D1743" s="49" t="s">
        <v>51</v>
      </c>
      <c r="E1743" s="49" t="s">
        <v>3248</v>
      </c>
      <c r="F1743" s="76" t="str">
        <f>IFERROR(IF(Tabla1[[#This Row],[CONCEPTO mx]]="","",VLOOKUP(Tabla1[[#This Row],[CONCEPTO mx]],Tabla2[#All],2,0)),"")</f>
        <v>CM1</v>
      </c>
      <c r="G1743" s="76" t="str">
        <f>IFERROR(IF(Tabla1[[#This Row],[CONCEPTO mx]]="","",VLOOKUP(Tabla1[[#This Row],[CONCEPTO mx]],Tabla2[#All],3,0)),"")</f>
        <v>Gestión Humana</v>
      </c>
      <c r="H1743" s="49" t="s">
        <v>542</v>
      </c>
      <c r="I1743" s="49" t="s">
        <v>2298</v>
      </c>
      <c r="J1743" s="49" t="s">
        <v>4055</v>
      </c>
      <c r="L1743" s="49" t="s">
        <v>4056</v>
      </c>
    </row>
    <row r="1744" spans="1:12" x14ac:dyDescent="0.25">
      <c r="A1744" s="51">
        <v>43628</v>
      </c>
      <c r="B1744" s="59">
        <v>1003717423</v>
      </c>
      <c r="C1744" s="59" t="s">
        <v>4067</v>
      </c>
      <c r="D1744" s="49" t="s">
        <v>180</v>
      </c>
      <c r="E1744" s="49" t="s">
        <v>3188</v>
      </c>
      <c r="F1744" s="76" t="str">
        <f>IFERROR(IF(Tabla1[[#This Row],[CONCEPTO mx]]="","",VLOOKUP(Tabla1[[#This Row],[CONCEPTO mx]],Tabla2[#All],2,0)),"")</f>
        <v>CM7</v>
      </c>
      <c r="G1744" s="76" t="str">
        <f>IFERROR(IF(Tabla1[[#This Row],[CONCEPTO mx]]="","",VLOOKUP(Tabla1[[#This Row],[CONCEPTO mx]],Tabla2[#All],3,0)),"")</f>
        <v>SST</v>
      </c>
      <c r="H1744" s="49" t="s">
        <v>2391</v>
      </c>
      <c r="I1744" s="49" t="s">
        <v>2298</v>
      </c>
      <c r="J1744" s="49" t="s">
        <v>4068</v>
      </c>
      <c r="L1744" s="59" t="s">
        <v>4081</v>
      </c>
    </row>
    <row r="1745" spans="1:12" x14ac:dyDescent="0.25">
      <c r="A1745" s="51">
        <v>43628</v>
      </c>
      <c r="B1745" s="59">
        <v>1040375539</v>
      </c>
      <c r="C1745" s="59" t="s">
        <v>4069</v>
      </c>
      <c r="D1745" s="49" t="s">
        <v>51</v>
      </c>
      <c r="E1745" s="49" t="s">
        <v>2401</v>
      </c>
      <c r="F1745" s="76" t="str">
        <f>IFERROR(IF(Tabla1[[#This Row],[CONCEPTO mx]]="","",VLOOKUP(Tabla1[[#This Row],[CONCEPTO mx]],Tabla2[#All],2,0)),"")</f>
        <v>CM28</v>
      </c>
      <c r="G1745" s="76" t="str">
        <f>IFERROR(IF(Tabla1[[#This Row],[CONCEPTO mx]]="","",VLOOKUP(Tabla1[[#This Row],[CONCEPTO mx]],Tabla2[#All],3,0)),"")</f>
        <v>SST</v>
      </c>
      <c r="H1745" s="49" t="s">
        <v>2393</v>
      </c>
      <c r="I1745" s="49" t="s">
        <v>2512</v>
      </c>
      <c r="J1745" s="49" t="s">
        <v>4066</v>
      </c>
    </row>
    <row r="1746" spans="1:12" x14ac:dyDescent="0.25">
      <c r="A1746" s="51">
        <v>43628</v>
      </c>
      <c r="B1746" s="59">
        <v>1027961941</v>
      </c>
      <c r="C1746" s="59" t="s">
        <v>4063</v>
      </c>
      <c r="D1746" s="49" t="s">
        <v>51</v>
      </c>
      <c r="E1746" s="49" t="s">
        <v>3315</v>
      </c>
      <c r="F1746" s="76" t="str">
        <f>IFERROR(IF(Tabla1[[#This Row],[CONCEPTO mx]]="","",VLOOKUP(Tabla1[[#This Row],[CONCEPTO mx]],Tabla2[#All],2,0)),"")</f>
        <v>CM40</v>
      </c>
      <c r="G1746" s="76" t="str">
        <f>IFERROR(IF(Tabla1[[#This Row],[CONCEPTO mx]]="","",VLOOKUP(Tabla1[[#This Row],[CONCEPTO mx]],Tabla2[#All],3,0)),"")</f>
        <v>SST</v>
      </c>
      <c r="H1746" s="49" t="s">
        <v>628</v>
      </c>
      <c r="I1746" s="49" t="s">
        <v>2298</v>
      </c>
      <c r="J1746" s="49" t="s">
        <v>2792</v>
      </c>
      <c r="L1746" s="49" t="s">
        <v>4062</v>
      </c>
    </row>
    <row r="1747" spans="1:12" x14ac:dyDescent="0.25">
      <c r="A1747" s="51">
        <v>43628</v>
      </c>
      <c r="B1747" s="59">
        <v>1040362046</v>
      </c>
      <c r="C1747" s="59" t="s">
        <v>4057</v>
      </c>
      <c r="D1747" s="49" t="s">
        <v>51</v>
      </c>
      <c r="E1747" s="49" t="s">
        <v>3315</v>
      </c>
      <c r="F1747" s="76" t="str">
        <f>IFERROR(IF(Tabla1[[#This Row],[CONCEPTO mx]]="","",VLOOKUP(Tabla1[[#This Row],[CONCEPTO mx]],Tabla2[#All],2,0)),"")</f>
        <v>CM40</v>
      </c>
      <c r="G1747" s="76" t="str">
        <f>IFERROR(IF(Tabla1[[#This Row],[CONCEPTO mx]]="","",VLOOKUP(Tabla1[[#This Row],[CONCEPTO mx]],Tabla2[#All],3,0)),"")</f>
        <v>SST</v>
      </c>
      <c r="H1747" s="49" t="s">
        <v>2391</v>
      </c>
      <c r="I1747" s="49" t="s">
        <v>2298</v>
      </c>
      <c r="J1747" s="49" t="s">
        <v>2422</v>
      </c>
      <c r="L1747" s="49" t="s">
        <v>4058</v>
      </c>
    </row>
    <row r="1748" spans="1:12" x14ac:dyDescent="0.25">
      <c r="A1748" s="51">
        <v>43628</v>
      </c>
      <c r="B1748" s="59">
        <v>1001031618</v>
      </c>
      <c r="C1748" s="59" t="s">
        <v>4065</v>
      </c>
      <c r="D1748" s="49" t="s">
        <v>51</v>
      </c>
      <c r="E1748" s="49" t="s">
        <v>3248</v>
      </c>
      <c r="F1748" s="76" t="str">
        <f>IFERROR(IF(Tabla1[[#This Row],[CONCEPTO mx]]="","",VLOOKUP(Tabla1[[#This Row],[CONCEPTO mx]],Tabla2[#All],2,0)),"")</f>
        <v>CM1</v>
      </c>
      <c r="G1748" s="76" t="str">
        <f>IFERROR(IF(Tabla1[[#This Row],[CONCEPTO mx]]="","",VLOOKUP(Tabla1[[#This Row],[CONCEPTO mx]],Tabla2[#All],3,0)),"")</f>
        <v>Gestión Humana</v>
      </c>
      <c r="H1748" s="49" t="s">
        <v>439</v>
      </c>
      <c r="I1748" s="49" t="s">
        <v>2512</v>
      </c>
      <c r="J1748" s="49" t="s">
        <v>4066</v>
      </c>
    </row>
    <row r="1749" spans="1:12" x14ac:dyDescent="0.25">
      <c r="A1749" s="51">
        <v>43628</v>
      </c>
      <c r="B1749" s="59">
        <v>1045505441</v>
      </c>
      <c r="C1749" s="59" t="s">
        <v>4059</v>
      </c>
      <c r="D1749" s="49" t="s">
        <v>51</v>
      </c>
      <c r="E1749" s="49" t="s">
        <v>3315</v>
      </c>
      <c r="F1749" s="76" t="str">
        <f>IFERROR(IF(Tabla1[[#This Row],[CONCEPTO mx]]="","",VLOOKUP(Tabla1[[#This Row],[CONCEPTO mx]],Tabla2[#All],2,0)),"")</f>
        <v>CM40</v>
      </c>
      <c r="G1749" s="76" t="str">
        <f>IFERROR(IF(Tabla1[[#This Row],[CONCEPTO mx]]="","",VLOOKUP(Tabla1[[#This Row],[CONCEPTO mx]],Tabla2[#All],3,0)),"")</f>
        <v>SST</v>
      </c>
      <c r="H1749" s="49" t="s">
        <v>470</v>
      </c>
      <c r="I1749" s="49" t="s">
        <v>2298</v>
      </c>
      <c r="J1749" s="49" t="s">
        <v>2820</v>
      </c>
      <c r="L1749" s="49" t="s">
        <v>4060</v>
      </c>
    </row>
    <row r="1750" spans="1:12" x14ac:dyDescent="0.25">
      <c r="A1750" s="51">
        <v>43628</v>
      </c>
      <c r="B1750" s="59">
        <v>1028014777</v>
      </c>
      <c r="C1750" s="59" t="s">
        <v>4061</v>
      </c>
      <c r="D1750" s="49" t="s">
        <v>51</v>
      </c>
      <c r="E1750" s="49" t="s">
        <v>2635</v>
      </c>
      <c r="F1750" s="76" t="str">
        <f>IFERROR(IF(Tabla1[[#This Row],[CONCEPTO mx]]="","",VLOOKUP(Tabla1[[#This Row],[CONCEPTO mx]],Tabla2[#All],2,0)),"")</f>
        <v>CM21</v>
      </c>
      <c r="G1750" s="76" t="str">
        <f>IFERROR(IF(Tabla1[[#This Row],[CONCEPTO mx]]="","",VLOOKUP(Tabla1[[#This Row],[CONCEPTO mx]],Tabla2[#All],3,0)),"")</f>
        <v>SST</v>
      </c>
      <c r="H1750" s="49" t="s">
        <v>2393</v>
      </c>
      <c r="I1750" s="49" t="s">
        <v>2512</v>
      </c>
      <c r="J1750" s="49" t="s">
        <v>3432</v>
      </c>
    </row>
    <row r="1751" spans="1:12" x14ac:dyDescent="0.25">
      <c r="A1751" s="51">
        <v>43628</v>
      </c>
      <c r="B1751" s="59">
        <v>1001673247</v>
      </c>
      <c r="C1751" s="59" t="s">
        <v>4070</v>
      </c>
      <c r="D1751" s="49" t="s">
        <v>180</v>
      </c>
      <c r="E1751" s="49" t="s">
        <v>3174</v>
      </c>
      <c r="F1751" s="76" t="str">
        <f>IFERROR(IF(Tabla1[[#This Row],[CONCEPTO mx]]="","",VLOOKUP(Tabla1[[#This Row],[CONCEPTO mx]],Tabla2[#All],2,0)),"")</f>
        <v>CM2</v>
      </c>
      <c r="G1751" s="76" t="str">
        <f>IFERROR(IF(Tabla1[[#This Row],[CONCEPTO mx]]="","",VLOOKUP(Tabla1[[#This Row],[CONCEPTO mx]],Tabla2[#All],3,0)),"")</f>
        <v>SST</v>
      </c>
      <c r="H1751" s="49" t="s">
        <v>2393</v>
      </c>
      <c r="I1751" s="49" t="s">
        <v>2512</v>
      </c>
      <c r="J1751" s="49" t="s">
        <v>4066</v>
      </c>
    </row>
    <row r="1752" spans="1:12" x14ac:dyDescent="0.25">
      <c r="A1752" s="51">
        <v>43634</v>
      </c>
      <c r="B1752" s="59">
        <v>1040360765</v>
      </c>
      <c r="C1752" s="59" t="s">
        <v>4071</v>
      </c>
      <c r="D1752" s="49" t="s">
        <v>51</v>
      </c>
      <c r="E1752" s="49" t="s">
        <v>3250</v>
      </c>
      <c r="F1752" s="76" t="str">
        <f>IFERROR(IF(Tabla1[[#This Row],[CONCEPTO mx]]="","",VLOOKUP(Tabla1[[#This Row],[CONCEPTO mx]],Tabla2[#All],2,0)),"")</f>
        <v>CM12</v>
      </c>
      <c r="G1752" s="76" t="str">
        <f>IFERROR(IF(Tabla1[[#This Row],[CONCEPTO mx]]="","",VLOOKUP(Tabla1[[#This Row],[CONCEPTO mx]],Tabla2[#All],3,0)),"")</f>
        <v>SST</v>
      </c>
      <c r="H1752" s="49" t="s">
        <v>628</v>
      </c>
      <c r="I1752" s="49" t="s">
        <v>2512</v>
      </c>
      <c r="J1752" s="49" t="s">
        <v>3432</v>
      </c>
      <c r="L1752" s="59" t="s">
        <v>4082</v>
      </c>
    </row>
    <row r="1753" spans="1:12" x14ac:dyDescent="0.25">
      <c r="A1753" s="51">
        <v>43634</v>
      </c>
      <c r="B1753" s="59">
        <v>1027945426</v>
      </c>
      <c r="C1753" s="59" t="s">
        <v>4073</v>
      </c>
      <c r="D1753" s="49" t="s">
        <v>51</v>
      </c>
      <c r="E1753" s="49" t="s">
        <v>3315</v>
      </c>
      <c r="F1753" s="76" t="str">
        <f>IFERROR(IF(Tabla1[[#This Row],[CONCEPTO mx]]="","",VLOOKUP(Tabla1[[#This Row],[CONCEPTO mx]],Tabla2[#All],2,0)),"")</f>
        <v>CM40</v>
      </c>
      <c r="G1753" s="76" t="str">
        <f>IFERROR(IF(Tabla1[[#This Row],[CONCEPTO mx]]="","",VLOOKUP(Tabla1[[#This Row],[CONCEPTO mx]],Tabla2[#All],3,0)),"")</f>
        <v>SST</v>
      </c>
      <c r="H1753" s="49" t="s">
        <v>486</v>
      </c>
      <c r="I1753" s="49" t="s">
        <v>2298</v>
      </c>
      <c r="J1753" s="49" t="s">
        <v>2811</v>
      </c>
      <c r="L1753" s="49" t="s">
        <v>4074</v>
      </c>
    </row>
    <row r="1754" spans="1:12" x14ac:dyDescent="0.25">
      <c r="A1754" s="51">
        <v>43634</v>
      </c>
      <c r="B1754" s="59">
        <v>1049348521</v>
      </c>
      <c r="C1754" s="59" t="s">
        <v>4080</v>
      </c>
      <c r="D1754" s="49" t="s">
        <v>51</v>
      </c>
      <c r="E1754" s="49" t="s">
        <v>2635</v>
      </c>
      <c r="F1754" s="76" t="str">
        <f>IFERROR(IF(Tabla1[[#This Row],[CONCEPTO mx]]="","",VLOOKUP(Tabla1[[#This Row],[CONCEPTO mx]],Tabla2[#All],2,0)),"")</f>
        <v>CM21</v>
      </c>
      <c r="G1754" s="76" t="str">
        <f>IFERROR(IF(Tabla1[[#This Row],[CONCEPTO mx]]="","",VLOOKUP(Tabla1[[#This Row],[CONCEPTO mx]],Tabla2[#All],3,0)),"")</f>
        <v>SST</v>
      </c>
      <c r="H1754" s="49" t="s">
        <v>334</v>
      </c>
      <c r="I1754" s="49" t="s">
        <v>2298</v>
      </c>
      <c r="J1754" s="49" t="s">
        <v>4083</v>
      </c>
      <c r="L1754" s="59" t="s">
        <v>4079</v>
      </c>
    </row>
    <row r="1755" spans="1:12" x14ac:dyDescent="0.25">
      <c r="A1755" s="51">
        <v>43634</v>
      </c>
      <c r="B1755" s="59">
        <v>1040383351</v>
      </c>
      <c r="C1755" s="59" t="s">
        <v>4072</v>
      </c>
      <c r="D1755" s="49" t="s">
        <v>51</v>
      </c>
      <c r="E1755" s="49" t="s">
        <v>3197</v>
      </c>
      <c r="F1755" s="76" t="str">
        <f>IFERROR(IF(Tabla1[[#This Row],[CONCEPTO mx]]="","",VLOOKUP(Tabla1[[#This Row],[CONCEPTO mx]],Tabla2[#All],2,0)),"")</f>
        <v>CM14</v>
      </c>
      <c r="G1755" s="76" t="str">
        <f>IFERROR(IF(Tabla1[[#This Row],[CONCEPTO mx]]="","",VLOOKUP(Tabla1[[#This Row],[CONCEPTO mx]],Tabla2[#All],3,0)),"")</f>
        <v>SST</v>
      </c>
      <c r="H1755" s="49" t="s">
        <v>470</v>
      </c>
      <c r="I1755" s="49" t="s">
        <v>2512</v>
      </c>
      <c r="J1755" s="49" t="s">
        <v>3432</v>
      </c>
    </row>
    <row r="1756" spans="1:12" x14ac:dyDescent="0.25">
      <c r="A1756" s="51">
        <v>43634</v>
      </c>
      <c r="B1756" s="59">
        <v>43602631</v>
      </c>
      <c r="C1756" s="59" t="s">
        <v>4075</v>
      </c>
      <c r="E1756" s="49" t="s">
        <v>3694</v>
      </c>
      <c r="F1756" s="76" t="str">
        <f>IFERROR(IF(Tabla1[[#This Row],[CONCEPTO mx]]="","",VLOOKUP(Tabla1[[#This Row],[CONCEPTO mx]],Tabla2[#All],2,0)),"")</f>
        <v>CM44</v>
      </c>
      <c r="G1756" s="76" t="str">
        <f>IFERROR(IF(Tabla1[[#This Row],[CONCEPTO mx]]="","",VLOOKUP(Tabla1[[#This Row],[CONCEPTO mx]],Tabla2[#All],3,0)),"")</f>
        <v>Gestión Humana</v>
      </c>
      <c r="H1756" s="49" t="s">
        <v>438</v>
      </c>
      <c r="I1756" s="49" t="s">
        <v>3392</v>
      </c>
      <c r="J1756" s="49" t="s">
        <v>2330</v>
      </c>
    </row>
    <row r="1757" spans="1:12" x14ac:dyDescent="0.25">
      <c r="A1757" s="51">
        <v>43634</v>
      </c>
      <c r="B1757" s="59">
        <v>1065617006</v>
      </c>
      <c r="C1757" s="59" t="s">
        <v>4076</v>
      </c>
      <c r="D1757" s="49" t="s">
        <v>51</v>
      </c>
      <c r="E1757" s="49" t="s">
        <v>3248</v>
      </c>
      <c r="F1757" s="76" t="str">
        <f>IFERROR(IF(Tabla1[[#This Row],[CONCEPTO mx]]="","",VLOOKUP(Tabla1[[#This Row],[CONCEPTO mx]],Tabla2[#All],2,0)),"")</f>
        <v>CM1</v>
      </c>
      <c r="G1757" s="76" t="str">
        <f>IFERROR(IF(Tabla1[[#This Row],[CONCEPTO mx]]="","",VLOOKUP(Tabla1[[#This Row],[CONCEPTO mx]],Tabla2[#All],3,0)),"")</f>
        <v>Gestión Humana</v>
      </c>
      <c r="H1757" s="49" t="s">
        <v>334</v>
      </c>
      <c r="I1757" s="49" t="s">
        <v>2298</v>
      </c>
      <c r="J1757" s="49" t="s">
        <v>2870</v>
      </c>
    </row>
    <row r="1758" spans="1:12" x14ac:dyDescent="0.25">
      <c r="A1758" s="51">
        <v>43634</v>
      </c>
      <c r="B1758" s="59">
        <v>10388171034</v>
      </c>
      <c r="C1758" s="59" t="s">
        <v>4038</v>
      </c>
      <c r="D1758" s="49" t="s">
        <v>51</v>
      </c>
      <c r="E1758" s="49" t="s">
        <v>3315</v>
      </c>
      <c r="F1758" s="76" t="str">
        <f>IFERROR(IF(Tabla1[[#This Row],[CONCEPTO mx]]="","",VLOOKUP(Tabla1[[#This Row],[CONCEPTO mx]],Tabla2[#All],2,0)),"")</f>
        <v>CM40</v>
      </c>
      <c r="G1758" s="76" t="str">
        <f>IFERROR(IF(Tabla1[[#This Row],[CONCEPTO mx]]="","",VLOOKUP(Tabla1[[#This Row],[CONCEPTO mx]],Tabla2[#All],3,0)),"")</f>
        <v>SST</v>
      </c>
      <c r="H1758" s="49" t="s">
        <v>2393</v>
      </c>
      <c r="I1758" s="49" t="s">
        <v>2298</v>
      </c>
      <c r="J1758" s="49" t="s">
        <v>3396</v>
      </c>
      <c r="K1758" s="51">
        <v>43621</v>
      </c>
      <c r="L1758" s="49" t="s">
        <v>3370</v>
      </c>
    </row>
    <row r="1759" spans="1:12" x14ac:dyDescent="0.25">
      <c r="A1759" s="51">
        <v>43634</v>
      </c>
      <c r="B1759" s="59">
        <v>1001671407</v>
      </c>
      <c r="C1759" s="59" t="s">
        <v>4078</v>
      </c>
      <c r="D1759" s="49" t="s">
        <v>51</v>
      </c>
      <c r="E1759" s="49" t="s">
        <v>3248</v>
      </c>
      <c r="F1759" s="76" t="str">
        <f>IFERROR(IF(Tabla1[[#This Row],[CONCEPTO mx]]="","",VLOOKUP(Tabla1[[#This Row],[CONCEPTO mx]],Tabla2[#All],2,0)),"")</f>
        <v>CM1</v>
      </c>
      <c r="G1759" s="76" t="str">
        <f>IFERROR(IF(Tabla1[[#This Row],[CONCEPTO mx]]="","",VLOOKUP(Tabla1[[#This Row],[CONCEPTO mx]],Tabla2[#All],3,0)),"")</f>
        <v>Gestión Humana</v>
      </c>
      <c r="H1759" s="49" t="s">
        <v>542</v>
      </c>
      <c r="I1759" s="49" t="s">
        <v>2512</v>
      </c>
      <c r="J1759" s="49" t="s">
        <v>3432</v>
      </c>
    </row>
    <row r="1760" spans="1:12" x14ac:dyDescent="0.25">
      <c r="A1760" s="51">
        <v>43634</v>
      </c>
      <c r="B1760" s="59">
        <v>1063717016</v>
      </c>
      <c r="C1760" s="59" t="s">
        <v>4077</v>
      </c>
      <c r="D1760" s="49" t="s">
        <v>180</v>
      </c>
      <c r="E1760" s="49" t="s">
        <v>3185</v>
      </c>
      <c r="F1760" s="76" t="str">
        <f>IFERROR(IF(Tabla1[[#This Row],[CONCEPTO mx]]="","",VLOOKUP(Tabla1[[#This Row],[CONCEPTO mx]],Tabla2[#All],2,0)),"")</f>
        <v>CM5</v>
      </c>
      <c r="G1760" s="76" t="str">
        <f>IFERROR(IF(Tabla1[[#This Row],[CONCEPTO mx]]="","",VLOOKUP(Tabla1[[#This Row],[CONCEPTO mx]],Tabla2[#All],3,0)),"")</f>
        <v>SST</v>
      </c>
      <c r="H1760" s="49" t="s">
        <v>2394</v>
      </c>
      <c r="I1760" s="49" t="s">
        <v>2298</v>
      </c>
      <c r="J1760" s="49" t="s">
        <v>2820</v>
      </c>
    </row>
    <row r="1761" spans="1:12" x14ac:dyDescent="0.25">
      <c r="A1761" s="51">
        <v>43642</v>
      </c>
      <c r="B1761" s="59">
        <v>71240516</v>
      </c>
      <c r="C1761" s="59" t="s">
        <v>4104</v>
      </c>
      <c r="D1761" s="49" t="s">
        <v>51</v>
      </c>
      <c r="E1761" s="49" t="s">
        <v>3315</v>
      </c>
      <c r="F1761" s="76" t="str">
        <f>IFERROR(IF(Tabla1[[#This Row],[CONCEPTO mx]]="","",VLOOKUP(Tabla1[[#This Row],[CONCEPTO mx]],Tabla2[#All],2,0)),"")</f>
        <v>CM40</v>
      </c>
      <c r="G1761" s="76" t="str">
        <f>IFERROR(IF(Tabla1[[#This Row],[CONCEPTO mx]]="","",VLOOKUP(Tabla1[[#This Row],[CONCEPTO mx]],Tabla2[#All],3,0)),"")</f>
        <v>SST</v>
      </c>
      <c r="H1761" s="49" t="s">
        <v>334</v>
      </c>
      <c r="I1761" s="49" t="s">
        <v>3392</v>
      </c>
      <c r="J1761" s="49" t="s">
        <v>4107</v>
      </c>
      <c r="L1761" s="59" t="s">
        <v>4103</v>
      </c>
    </row>
    <row r="1762" spans="1:12" x14ac:dyDescent="0.25">
      <c r="A1762" s="51">
        <v>43642</v>
      </c>
      <c r="B1762" s="59">
        <v>1040359033</v>
      </c>
      <c r="C1762" s="59" t="s">
        <v>4108</v>
      </c>
      <c r="D1762" s="49" t="s">
        <v>51</v>
      </c>
      <c r="E1762" s="49" t="s">
        <v>3249</v>
      </c>
      <c r="F1762" s="76" t="str">
        <f>IFERROR(IF(Tabla1[[#This Row],[CONCEPTO mx]]="","",VLOOKUP(Tabla1[[#This Row],[CONCEPTO mx]],Tabla2[#All],2,0)),"")</f>
        <v>CM3</v>
      </c>
      <c r="G1762" s="76" t="str">
        <f>IFERROR(IF(Tabla1[[#This Row],[CONCEPTO mx]]="","",VLOOKUP(Tabla1[[#This Row],[CONCEPTO mx]],Tabla2[#All],3,0)),"")</f>
        <v>SST</v>
      </c>
      <c r="H1762" s="49" t="s">
        <v>2394</v>
      </c>
      <c r="I1762" s="49" t="s">
        <v>2298</v>
      </c>
      <c r="J1762" s="49" t="s">
        <v>2811</v>
      </c>
      <c r="L1762" s="59" t="s">
        <v>4109</v>
      </c>
    </row>
    <row r="1763" spans="1:12" x14ac:dyDescent="0.25">
      <c r="A1763" s="51">
        <v>43642</v>
      </c>
      <c r="B1763" s="59">
        <v>1068823969</v>
      </c>
      <c r="C1763" s="59" t="s">
        <v>4101</v>
      </c>
      <c r="D1763" s="49" t="s">
        <v>51</v>
      </c>
      <c r="E1763" s="49" t="s">
        <v>3315</v>
      </c>
      <c r="F1763" s="76" t="str">
        <f>IFERROR(IF(Tabla1[[#This Row],[CONCEPTO mx]]="","",VLOOKUP(Tabla1[[#This Row],[CONCEPTO mx]],Tabla2[#All],2,0)),"")</f>
        <v>CM40</v>
      </c>
      <c r="G1763" s="76" t="str">
        <f>IFERROR(IF(Tabla1[[#This Row],[CONCEPTO mx]]="","",VLOOKUP(Tabla1[[#This Row],[CONCEPTO mx]],Tabla2[#All],3,0)),"")</f>
        <v>SST</v>
      </c>
      <c r="H1763" s="49" t="s">
        <v>438</v>
      </c>
      <c r="I1763" s="49" t="s">
        <v>2298</v>
      </c>
      <c r="J1763" s="49" t="s">
        <v>2845</v>
      </c>
      <c r="L1763" s="59" t="s">
        <v>4130</v>
      </c>
    </row>
    <row r="1764" spans="1:12" x14ac:dyDescent="0.25">
      <c r="A1764" s="51">
        <v>43642</v>
      </c>
      <c r="B1764" s="59">
        <v>1148699035</v>
      </c>
      <c r="C1764" s="59" t="s">
        <v>4064</v>
      </c>
      <c r="D1764" s="49" t="s">
        <v>51</v>
      </c>
      <c r="E1764" s="49" t="s">
        <v>3315</v>
      </c>
      <c r="F1764" s="76" t="str">
        <f>IFERROR(IF(Tabla1[[#This Row],[CONCEPTO mx]]="","",VLOOKUP(Tabla1[[#This Row],[CONCEPTO mx]],Tabla2[#All],2,0)),"")</f>
        <v>CM40</v>
      </c>
      <c r="G1764" s="76" t="str">
        <f>IFERROR(IF(Tabla1[[#This Row],[CONCEPTO mx]]="","",VLOOKUP(Tabla1[[#This Row],[CONCEPTO mx]],Tabla2[#All],3,0)),"")</f>
        <v>SST</v>
      </c>
      <c r="H1764" s="49" t="s">
        <v>387</v>
      </c>
      <c r="I1764" s="49" t="s">
        <v>2298</v>
      </c>
      <c r="J1764" s="49" t="s">
        <v>2820</v>
      </c>
      <c r="K1764" s="51">
        <v>43628</v>
      </c>
      <c r="L1764" s="59" t="s">
        <v>3370</v>
      </c>
    </row>
    <row r="1765" spans="1:12" x14ac:dyDescent="0.25">
      <c r="A1765" s="51">
        <v>43642</v>
      </c>
      <c r="B1765" s="59">
        <v>1040360660</v>
      </c>
      <c r="C1765" s="59" t="s">
        <v>4091</v>
      </c>
      <c r="D1765" s="49" t="s">
        <v>180</v>
      </c>
      <c r="E1765" s="49" t="s">
        <v>3187</v>
      </c>
      <c r="F1765" s="76" t="str">
        <f>IFERROR(IF(Tabla1[[#This Row],[CONCEPTO mx]]="","",VLOOKUP(Tabla1[[#This Row],[CONCEPTO mx]],Tabla2[#All],2,0)),"")</f>
        <v>CM8</v>
      </c>
      <c r="G1765" s="76" t="str">
        <f>IFERROR(IF(Tabla1[[#This Row],[CONCEPTO mx]]="","",VLOOKUP(Tabla1[[#This Row],[CONCEPTO mx]],Tabla2[#All],3,0)),"")</f>
        <v>Gestión Humana</v>
      </c>
      <c r="H1765" s="49" t="s">
        <v>486</v>
      </c>
      <c r="I1765" s="49" t="s">
        <v>2298</v>
      </c>
      <c r="J1765" s="49" t="s">
        <v>4090</v>
      </c>
      <c r="L1765" s="49" t="s">
        <v>4089</v>
      </c>
    </row>
    <row r="1766" spans="1:12" x14ac:dyDescent="0.25">
      <c r="A1766" s="51">
        <v>43642</v>
      </c>
      <c r="B1766" s="59">
        <v>1028010747</v>
      </c>
      <c r="C1766" s="59" t="s">
        <v>4092</v>
      </c>
      <c r="D1766" s="49" t="s">
        <v>51</v>
      </c>
      <c r="E1766" s="49" t="s">
        <v>3248</v>
      </c>
      <c r="F1766" s="76" t="str">
        <f>IFERROR(IF(Tabla1[[#This Row],[CONCEPTO mx]]="","",VLOOKUP(Tabla1[[#This Row],[CONCEPTO mx]],Tabla2[#All],2,0)),"")</f>
        <v>CM1</v>
      </c>
      <c r="G1766" s="76" t="str">
        <f>IFERROR(IF(Tabla1[[#This Row],[CONCEPTO mx]]="","",VLOOKUP(Tabla1[[#This Row],[CONCEPTO mx]],Tabla2[#All],3,0)),"")</f>
        <v>Gestión Humana</v>
      </c>
      <c r="H1766" s="49" t="s">
        <v>2391</v>
      </c>
      <c r="I1766" s="49" t="s">
        <v>2512</v>
      </c>
      <c r="J1766" s="49" t="s">
        <v>4087</v>
      </c>
    </row>
    <row r="1767" spans="1:12" x14ac:dyDescent="0.25">
      <c r="A1767" s="51">
        <v>43642</v>
      </c>
      <c r="B1767" s="59">
        <v>1040376526</v>
      </c>
      <c r="C1767" s="59" t="s">
        <v>4127</v>
      </c>
      <c r="D1767" s="49" t="s">
        <v>180</v>
      </c>
      <c r="E1767" s="49" t="s">
        <v>3185</v>
      </c>
      <c r="F1767" s="76" t="str">
        <f>IFERROR(IF(Tabla1[[#This Row],[CONCEPTO mx]]="","",VLOOKUP(Tabla1[[#This Row],[CONCEPTO mx]],Tabla2[#All],2,0)),"")</f>
        <v>CM5</v>
      </c>
      <c r="G1767" s="76" t="str">
        <f>IFERROR(IF(Tabla1[[#This Row],[CONCEPTO mx]]="","",VLOOKUP(Tabla1[[#This Row],[CONCEPTO mx]],Tabla2[#All],3,0)),"")</f>
        <v>SST</v>
      </c>
      <c r="H1767" s="49" t="s">
        <v>438</v>
      </c>
      <c r="I1767" s="49" t="s">
        <v>2298</v>
      </c>
      <c r="J1767" s="49" t="s">
        <v>4047</v>
      </c>
      <c r="L1767" s="59" t="s">
        <v>2386</v>
      </c>
    </row>
    <row r="1768" spans="1:12" x14ac:dyDescent="0.25">
      <c r="A1768" s="51">
        <v>43642</v>
      </c>
      <c r="B1768" s="59">
        <v>1028036076</v>
      </c>
      <c r="C1768" s="59" t="s">
        <v>4095</v>
      </c>
      <c r="E1768" s="49" t="s">
        <v>2355</v>
      </c>
      <c r="F1768" s="76" t="str">
        <f>IFERROR(IF(Tabla1[[#This Row],[CONCEPTO mx]]="","",VLOOKUP(Tabla1[[#This Row],[CONCEPTO mx]],Tabla2[#All],2,0)),"")</f>
        <v>CM13</v>
      </c>
      <c r="G1768" s="76" t="str">
        <f>IFERROR(IF(Tabla1[[#This Row],[CONCEPTO mx]]="","",VLOOKUP(Tabla1[[#This Row],[CONCEPTO mx]],Tabla2[#All],3,0)),"")</f>
        <v>Gestión Humana</v>
      </c>
      <c r="H1768" s="49" t="s">
        <v>542</v>
      </c>
      <c r="I1768" s="49" t="s">
        <v>2512</v>
      </c>
      <c r="J1768" s="49" t="s">
        <v>4094</v>
      </c>
      <c r="L1768" s="59" t="s">
        <v>4096</v>
      </c>
    </row>
    <row r="1769" spans="1:12" x14ac:dyDescent="0.25">
      <c r="A1769" s="51">
        <v>43642</v>
      </c>
      <c r="B1769" s="59">
        <v>1099553511</v>
      </c>
      <c r="C1769" s="59" t="s">
        <v>4097</v>
      </c>
      <c r="D1769" s="49" t="s">
        <v>51</v>
      </c>
      <c r="E1769" s="49" t="s">
        <v>3248</v>
      </c>
      <c r="F1769" s="76" t="str">
        <f>IFERROR(IF(Tabla1[[#This Row],[CONCEPTO mx]]="","",VLOOKUP(Tabla1[[#This Row],[CONCEPTO mx]],Tabla2[#All],2,0)),"")</f>
        <v>CM1</v>
      </c>
      <c r="G1769" s="76" t="str">
        <f>IFERROR(IF(Tabla1[[#This Row],[CONCEPTO mx]]="","",VLOOKUP(Tabla1[[#This Row],[CONCEPTO mx]],Tabla2[#All],3,0)),"")</f>
        <v>Gestión Humana</v>
      </c>
      <c r="H1769" s="49" t="s">
        <v>2394</v>
      </c>
      <c r="I1769" s="49" t="s">
        <v>2298</v>
      </c>
      <c r="J1769" s="49" t="s">
        <v>4098</v>
      </c>
    </row>
    <row r="1770" spans="1:12" x14ac:dyDescent="0.25">
      <c r="A1770" s="51">
        <v>43642</v>
      </c>
      <c r="B1770" s="59">
        <v>1038817099</v>
      </c>
      <c r="C1770" s="59" t="s">
        <v>4099</v>
      </c>
      <c r="D1770" s="49" t="s">
        <v>51</v>
      </c>
      <c r="E1770" s="49" t="s">
        <v>3248</v>
      </c>
      <c r="F1770" s="76" t="str">
        <f>IFERROR(IF(Tabla1[[#This Row],[CONCEPTO mx]]="","",VLOOKUP(Tabla1[[#This Row],[CONCEPTO mx]],Tabla2[#All],2,0)),"")</f>
        <v>CM1</v>
      </c>
      <c r="G1770" s="76" t="str">
        <f>IFERROR(IF(Tabla1[[#This Row],[CONCEPTO mx]]="","",VLOOKUP(Tabla1[[#This Row],[CONCEPTO mx]],Tabla2[#All],3,0)),"")</f>
        <v>Gestión Humana</v>
      </c>
      <c r="H1770" s="49" t="s">
        <v>438</v>
      </c>
      <c r="I1770" s="49" t="s">
        <v>2298</v>
      </c>
      <c r="J1770" s="49" t="s">
        <v>4100</v>
      </c>
    </row>
    <row r="1771" spans="1:12" x14ac:dyDescent="0.25">
      <c r="A1771" s="51">
        <v>43642</v>
      </c>
      <c r="B1771" s="59">
        <v>1074000953</v>
      </c>
      <c r="C1771" s="59" t="s">
        <v>4120</v>
      </c>
      <c r="D1771" s="49" t="s">
        <v>51</v>
      </c>
      <c r="E1771" s="49" t="s">
        <v>3315</v>
      </c>
      <c r="F1771" s="76" t="str">
        <f>IFERROR(IF(Tabla1[[#This Row],[CONCEPTO mx]]="","",VLOOKUP(Tabla1[[#This Row],[CONCEPTO mx]],Tabla2[#All],2,0)),"")</f>
        <v>CM40</v>
      </c>
      <c r="G1771" s="76" t="str">
        <f>IFERROR(IF(Tabla1[[#This Row],[CONCEPTO mx]]="","",VLOOKUP(Tabla1[[#This Row],[CONCEPTO mx]],Tabla2[#All],3,0)),"")</f>
        <v>SST</v>
      </c>
      <c r="H1771" s="49" t="s">
        <v>470</v>
      </c>
      <c r="I1771" s="49" t="s">
        <v>2298</v>
      </c>
      <c r="J1771" s="49" t="s">
        <v>2314</v>
      </c>
      <c r="L1771" s="59" t="s">
        <v>4121</v>
      </c>
    </row>
    <row r="1772" spans="1:12" x14ac:dyDescent="0.25">
      <c r="A1772" s="51">
        <v>43642</v>
      </c>
      <c r="B1772" s="59">
        <v>1028005346</v>
      </c>
      <c r="C1772" s="59" t="s">
        <v>4088</v>
      </c>
      <c r="D1772" s="49" t="s">
        <v>51</v>
      </c>
      <c r="E1772" s="49" t="s">
        <v>3250</v>
      </c>
      <c r="F1772" s="76" t="str">
        <f>IFERROR(IF(Tabla1[[#This Row],[CONCEPTO mx]]="","",VLOOKUP(Tabla1[[#This Row],[CONCEPTO mx]],Tabla2[#All],2,0)),"")</f>
        <v>CM12</v>
      </c>
      <c r="G1772" s="76" t="str">
        <f>IFERROR(IF(Tabla1[[#This Row],[CONCEPTO mx]]="","",VLOOKUP(Tabla1[[#This Row],[CONCEPTO mx]],Tabla2[#All],3,0)),"")</f>
        <v>SST</v>
      </c>
      <c r="H1772" s="49" t="s">
        <v>352</v>
      </c>
      <c r="I1772" s="49" t="s">
        <v>2298</v>
      </c>
      <c r="J1772" s="49" t="s">
        <v>2811</v>
      </c>
      <c r="L1772" s="59" t="s">
        <v>2574</v>
      </c>
    </row>
    <row r="1773" spans="1:12" x14ac:dyDescent="0.25">
      <c r="A1773" s="51">
        <v>43642</v>
      </c>
      <c r="B1773" s="59">
        <v>1001503618</v>
      </c>
      <c r="C1773" s="59" t="s">
        <v>4115</v>
      </c>
      <c r="D1773" s="49" t="s">
        <v>51</v>
      </c>
      <c r="E1773" s="49" t="s">
        <v>3249</v>
      </c>
      <c r="F1773" s="76" t="str">
        <f>IFERROR(IF(Tabla1[[#This Row],[CONCEPTO mx]]="","",VLOOKUP(Tabla1[[#This Row],[CONCEPTO mx]],Tabla2[#All],2,0)),"")</f>
        <v>CM3</v>
      </c>
      <c r="G1773" s="76" t="str">
        <f>IFERROR(IF(Tabla1[[#This Row],[CONCEPTO mx]]="","",VLOOKUP(Tabla1[[#This Row],[CONCEPTO mx]],Tabla2[#All],3,0)),"")</f>
        <v>SST</v>
      </c>
      <c r="H1773" s="49" t="s">
        <v>438</v>
      </c>
      <c r="I1773" s="49" t="s">
        <v>2298</v>
      </c>
      <c r="J1773" s="49" t="s">
        <v>4047</v>
      </c>
    </row>
    <row r="1774" spans="1:12" x14ac:dyDescent="0.25">
      <c r="A1774" s="51">
        <v>43642</v>
      </c>
      <c r="B1774" s="59">
        <v>71389725</v>
      </c>
      <c r="C1774" s="59" t="s">
        <v>4105</v>
      </c>
      <c r="D1774" s="49" t="s">
        <v>180</v>
      </c>
      <c r="E1774" s="49" t="s">
        <v>3187</v>
      </c>
      <c r="F1774" s="76" t="str">
        <f>IFERROR(IF(Tabla1[[#This Row],[CONCEPTO mx]]="","",VLOOKUP(Tabla1[[#This Row],[CONCEPTO mx]],Tabla2[#All],2,0)),"")</f>
        <v>CM8</v>
      </c>
      <c r="G1774" s="76" t="str">
        <f>IFERROR(IF(Tabla1[[#This Row],[CONCEPTO mx]]="","",VLOOKUP(Tabla1[[#This Row],[CONCEPTO mx]],Tabla2[#All],3,0)),"")</f>
        <v>Gestión Humana</v>
      </c>
      <c r="H1774" s="49" t="s">
        <v>387</v>
      </c>
      <c r="I1774" s="49" t="s">
        <v>3392</v>
      </c>
      <c r="J1774" s="49" t="s">
        <v>2316</v>
      </c>
      <c r="L1774" s="49" t="s">
        <v>4106</v>
      </c>
    </row>
    <row r="1775" spans="1:12" x14ac:dyDescent="0.25">
      <c r="A1775" s="51">
        <v>43642</v>
      </c>
      <c r="B1775" s="59">
        <v>1038821056</v>
      </c>
      <c r="C1775" s="59" t="s">
        <v>4116</v>
      </c>
      <c r="D1775" s="49" t="s">
        <v>51</v>
      </c>
      <c r="E1775" s="49" t="s">
        <v>3249</v>
      </c>
      <c r="F1775" s="76" t="str">
        <f>IFERROR(IF(Tabla1[[#This Row],[CONCEPTO mx]]="","",VLOOKUP(Tabla1[[#This Row],[CONCEPTO mx]],Tabla2[#All],2,0)),"")</f>
        <v>CM3</v>
      </c>
      <c r="G1775" s="76" t="str">
        <f>IFERROR(IF(Tabla1[[#This Row],[CONCEPTO mx]]="","",VLOOKUP(Tabla1[[#This Row],[CONCEPTO mx]],Tabla2[#All],3,0)),"")</f>
        <v>SST</v>
      </c>
      <c r="H1775" s="49" t="s">
        <v>2393</v>
      </c>
      <c r="I1775" s="49" t="s">
        <v>2298</v>
      </c>
      <c r="J1775" s="49" t="s">
        <v>4117</v>
      </c>
      <c r="L1775" s="90" t="s">
        <v>4118</v>
      </c>
    </row>
    <row r="1776" spans="1:12" x14ac:dyDescent="0.25">
      <c r="A1776" s="51">
        <v>43642</v>
      </c>
      <c r="B1776" s="59">
        <v>71256887</v>
      </c>
      <c r="C1776" s="59" t="s">
        <v>4119</v>
      </c>
      <c r="D1776" s="49" t="s">
        <v>51</v>
      </c>
      <c r="E1776" s="49" t="s">
        <v>3315</v>
      </c>
      <c r="F1776" s="76" t="str">
        <f>IFERROR(IF(Tabla1[[#This Row],[CONCEPTO mx]]="","",VLOOKUP(Tabla1[[#This Row],[CONCEPTO mx]],Tabla2[#All],2,0)),"")</f>
        <v>CM40</v>
      </c>
      <c r="G1776" s="76" t="str">
        <f>IFERROR(IF(Tabla1[[#This Row],[CONCEPTO mx]]="","",VLOOKUP(Tabla1[[#This Row],[CONCEPTO mx]],Tabla2[#All],3,0)),"")</f>
        <v>SST</v>
      </c>
      <c r="H1776" s="49" t="s">
        <v>550</v>
      </c>
      <c r="I1776" s="49" t="s">
        <v>2298</v>
      </c>
      <c r="J1776" s="49" t="s">
        <v>2409</v>
      </c>
      <c r="L1776" s="59" t="s">
        <v>3990</v>
      </c>
    </row>
    <row r="1777" spans="1:12" x14ac:dyDescent="0.25">
      <c r="A1777" s="51">
        <v>43642</v>
      </c>
      <c r="B1777" s="59">
        <v>1040360582</v>
      </c>
      <c r="C1777" s="59" t="s">
        <v>4112</v>
      </c>
      <c r="D1777" s="49" t="s">
        <v>51</v>
      </c>
      <c r="E1777" s="49" t="s">
        <v>3248</v>
      </c>
      <c r="F1777" s="76" t="str">
        <f>IFERROR(IF(Tabla1[[#This Row],[CONCEPTO mx]]="","",VLOOKUP(Tabla1[[#This Row],[CONCEPTO mx]],Tabla2[#All],2,0)),"")</f>
        <v>CM1</v>
      </c>
      <c r="G1777" s="76" t="str">
        <f>IFERROR(IF(Tabla1[[#This Row],[CONCEPTO mx]]="","",VLOOKUP(Tabla1[[#This Row],[CONCEPTO mx]],Tabla2[#All],3,0)),"")</f>
        <v>Gestión Humana</v>
      </c>
      <c r="H1777" s="49" t="s">
        <v>438</v>
      </c>
      <c r="I1777" s="49" t="s">
        <v>2298</v>
      </c>
      <c r="J1777" s="49" t="s">
        <v>2409</v>
      </c>
    </row>
    <row r="1778" spans="1:12" x14ac:dyDescent="0.25">
      <c r="A1778" s="51">
        <v>43642</v>
      </c>
      <c r="B1778" s="59">
        <v>71383494</v>
      </c>
      <c r="C1778" s="59" t="s">
        <v>4114</v>
      </c>
      <c r="E1778" s="49" t="s">
        <v>2355</v>
      </c>
      <c r="F1778" s="76" t="str">
        <f>IFERROR(IF(Tabla1[[#This Row],[CONCEPTO mx]]="","",VLOOKUP(Tabla1[[#This Row],[CONCEPTO mx]],Tabla2[#All],2,0)),"")</f>
        <v>CM13</v>
      </c>
      <c r="G1778" s="76" t="str">
        <f>IFERROR(IF(Tabla1[[#This Row],[CONCEPTO mx]]="","",VLOOKUP(Tabla1[[#This Row],[CONCEPTO mx]],Tabla2[#All],3,0)),"")</f>
        <v>Gestión Humana</v>
      </c>
      <c r="H1778" s="49" t="s">
        <v>438</v>
      </c>
      <c r="I1778" s="49" t="s">
        <v>2298</v>
      </c>
      <c r="J1778" s="49" t="s">
        <v>4100</v>
      </c>
      <c r="L1778" s="91" t="s">
        <v>4113</v>
      </c>
    </row>
    <row r="1779" spans="1:12" x14ac:dyDescent="0.25">
      <c r="A1779" s="51">
        <v>43642</v>
      </c>
      <c r="B1779" s="59">
        <v>1028032416</v>
      </c>
      <c r="C1779" s="59" t="s">
        <v>4085</v>
      </c>
      <c r="D1779" s="49" t="s">
        <v>180</v>
      </c>
      <c r="E1779" s="49" t="s">
        <v>3188</v>
      </c>
      <c r="F1779" s="76" t="str">
        <f>IFERROR(IF(Tabla1[[#This Row],[CONCEPTO mx]]="","",VLOOKUP(Tabla1[[#This Row],[CONCEPTO mx]],Tabla2[#All],2,0)),"")</f>
        <v>CM7</v>
      </c>
      <c r="G1779" s="76" t="str">
        <f>IFERROR(IF(Tabla1[[#This Row],[CONCEPTO mx]]="","",VLOOKUP(Tabla1[[#This Row],[CONCEPTO mx]],Tabla2[#All],3,0)),"")</f>
        <v>SST</v>
      </c>
      <c r="H1779" s="49" t="s">
        <v>413</v>
      </c>
      <c r="I1779" s="49" t="s">
        <v>2512</v>
      </c>
      <c r="J1779" s="49" t="s">
        <v>4087</v>
      </c>
      <c r="L1779" s="81" t="s">
        <v>4086</v>
      </c>
    </row>
    <row r="1780" spans="1:12" x14ac:dyDescent="0.25">
      <c r="A1780" s="51">
        <v>43642</v>
      </c>
      <c r="B1780" s="90">
        <v>43987262</v>
      </c>
      <c r="C1780" s="90" t="s">
        <v>4110</v>
      </c>
      <c r="D1780" s="49" t="s">
        <v>180</v>
      </c>
      <c r="E1780" s="49" t="s">
        <v>3188</v>
      </c>
      <c r="F1780" s="76" t="str">
        <f>IFERROR(IF(Tabla1[[#This Row],[CONCEPTO mx]]="","",VLOOKUP(Tabla1[[#This Row],[CONCEPTO mx]],Tabla2[#All],2,0)),"")</f>
        <v>CM7</v>
      </c>
      <c r="G1780" s="76" t="str">
        <f>IFERROR(IF(Tabla1[[#This Row],[CONCEPTO mx]]="","",VLOOKUP(Tabla1[[#This Row],[CONCEPTO mx]],Tabla2[#All],3,0)),"")</f>
        <v>SST</v>
      </c>
      <c r="H1780" s="49" t="s">
        <v>438</v>
      </c>
      <c r="I1780" s="49" t="s">
        <v>2298</v>
      </c>
      <c r="J1780" s="49" t="s">
        <v>2845</v>
      </c>
      <c r="L1780" s="59" t="s">
        <v>4111</v>
      </c>
    </row>
    <row r="1781" spans="1:12" x14ac:dyDescent="0.25">
      <c r="A1781" s="51">
        <v>43642</v>
      </c>
      <c r="B1781" s="59">
        <v>39420009</v>
      </c>
      <c r="C1781" s="59" t="s">
        <v>4093</v>
      </c>
      <c r="D1781" s="49" t="s">
        <v>51</v>
      </c>
      <c r="E1781" s="49" t="s">
        <v>3250</v>
      </c>
      <c r="F1781" s="76" t="str">
        <f>IFERROR(IF(Tabla1[[#This Row],[CONCEPTO mx]]="","",VLOOKUP(Tabla1[[#This Row],[CONCEPTO mx]],Tabla2[#All],2,0)),"")</f>
        <v>CM12</v>
      </c>
      <c r="G1781" s="76" t="str">
        <f>IFERROR(IF(Tabla1[[#This Row],[CONCEPTO mx]]="","",VLOOKUP(Tabla1[[#This Row],[CONCEPTO mx]],Tabla2[#All],3,0)),"")</f>
        <v>SST</v>
      </c>
      <c r="H1781" s="49" t="s">
        <v>413</v>
      </c>
      <c r="I1781" s="49" t="s">
        <v>2512</v>
      </c>
      <c r="J1781" s="49" t="s">
        <v>4087</v>
      </c>
      <c r="L1781" s="49" t="s">
        <v>3699</v>
      </c>
    </row>
    <row r="1782" spans="1:12" x14ac:dyDescent="0.25">
      <c r="A1782" s="51">
        <v>43642</v>
      </c>
      <c r="B1782" s="92" t="s">
        <v>2588</v>
      </c>
      <c r="C1782" s="59" t="s">
        <v>4102</v>
      </c>
      <c r="D1782" s="49" t="s">
        <v>51</v>
      </c>
      <c r="E1782" s="49" t="s">
        <v>3315</v>
      </c>
      <c r="F1782" s="76" t="str">
        <f>IFERROR(IF(Tabla1[[#This Row],[CONCEPTO mx]]="","",VLOOKUP(Tabla1[[#This Row],[CONCEPTO mx]],Tabla2[#All],2,0)),"")</f>
        <v>CM40</v>
      </c>
      <c r="G1782" s="76" t="str">
        <f>IFERROR(IF(Tabla1[[#This Row],[CONCEPTO mx]]="","",VLOOKUP(Tabla1[[#This Row],[CONCEPTO mx]],Tabla2[#All],3,0)),"")</f>
        <v>SST</v>
      </c>
      <c r="H1782" s="49" t="s">
        <v>438</v>
      </c>
      <c r="I1782" s="49" t="s">
        <v>2298</v>
      </c>
      <c r="J1782" s="49" t="s">
        <v>2845</v>
      </c>
      <c r="L1782" s="59" t="s">
        <v>4131</v>
      </c>
    </row>
    <row r="1783" spans="1:12" x14ac:dyDescent="0.25">
      <c r="A1783" s="51">
        <v>43642</v>
      </c>
      <c r="B1783" s="59">
        <v>1040362448</v>
      </c>
      <c r="C1783" s="59" t="s">
        <v>4124</v>
      </c>
      <c r="D1783" s="49" t="s">
        <v>180</v>
      </c>
      <c r="E1783" s="49" t="s">
        <v>3187</v>
      </c>
      <c r="F1783" s="76" t="str">
        <f>IFERROR(IF(Tabla1[[#This Row],[CONCEPTO mx]]="","",VLOOKUP(Tabla1[[#This Row],[CONCEPTO mx]],Tabla2[#All],2,0)),"")</f>
        <v>CM8</v>
      </c>
      <c r="G1783" s="76" t="str">
        <f>IFERROR(IF(Tabla1[[#This Row],[CONCEPTO mx]]="","",VLOOKUP(Tabla1[[#This Row],[CONCEPTO mx]],Tabla2[#All],3,0)),"")</f>
        <v>Gestión Humana</v>
      </c>
      <c r="H1783" s="49" t="s">
        <v>438</v>
      </c>
      <c r="I1783" s="49" t="s">
        <v>2298</v>
      </c>
      <c r="J1783" s="49" t="s">
        <v>4123</v>
      </c>
      <c r="L1783" s="49" t="s">
        <v>4122</v>
      </c>
    </row>
    <row r="1784" spans="1:12" x14ac:dyDescent="0.25">
      <c r="A1784" s="51">
        <v>43642</v>
      </c>
      <c r="B1784" s="59">
        <v>1038806260</v>
      </c>
      <c r="C1784" s="59" t="s">
        <v>4125</v>
      </c>
      <c r="D1784" s="49" t="s">
        <v>51</v>
      </c>
      <c r="E1784" s="49" t="s">
        <v>3248</v>
      </c>
      <c r="F1784" s="76" t="str">
        <f>IFERROR(IF(Tabla1[[#This Row],[CONCEPTO mx]]="","",VLOOKUP(Tabla1[[#This Row],[CONCEPTO mx]],Tabla2[#All],2,0)),"")</f>
        <v>CM1</v>
      </c>
      <c r="G1784" s="76" t="str">
        <f>IFERROR(IF(Tabla1[[#This Row],[CONCEPTO mx]]="","",VLOOKUP(Tabla1[[#This Row],[CONCEPTO mx]],Tabla2[#All],3,0)),"")</f>
        <v>Gestión Humana</v>
      </c>
      <c r="H1784" s="49" t="s">
        <v>438</v>
      </c>
      <c r="I1784" s="49" t="s">
        <v>2298</v>
      </c>
      <c r="J1784" s="49" t="s">
        <v>2819</v>
      </c>
    </row>
    <row r="1785" spans="1:12" x14ac:dyDescent="0.25">
      <c r="A1785" s="51">
        <v>43642</v>
      </c>
      <c r="B1785" s="59">
        <v>1001669449</v>
      </c>
      <c r="C1785" s="59" t="s">
        <v>4126</v>
      </c>
      <c r="D1785" s="49" t="s">
        <v>51</v>
      </c>
      <c r="E1785" s="49" t="s">
        <v>3248</v>
      </c>
      <c r="F1785" s="76" t="str">
        <f>IFERROR(IF(Tabla1[[#This Row],[CONCEPTO mx]]="","",VLOOKUP(Tabla1[[#This Row],[CONCEPTO mx]],Tabla2[#All],2,0)),"")</f>
        <v>CM1</v>
      </c>
      <c r="G1785" s="76" t="str">
        <f>IFERROR(IF(Tabla1[[#This Row],[CONCEPTO mx]]="","",VLOOKUP(Tabla1[[#This Row],[CONCEPTO mx]],Tabla2[#All],3,0)),"")</f>
        <v>Gestión Humana</v>
      </c>
      <c r="H1785" s="49" t="s">
        <v>438</v>
      </c>
      <c r="I1785" s="49" t="s">
        <v>2298</v>
      </c>
      <c r="J1785" s="49" t="s">
        <v>4055</v>
      </c>
    </row>
    <row r="1786" spans="1:12" x14ac:dyDescent="0.25">
      <c r="A1786" s="51">
        <v>43642</v>
      </c>
      <c r="B1786" s="59">
        <v>1027961812</v>
      </c>
      <c r="C1786" s="59" t="s">
        <v>4084</v>
      </c>
      <c r="D1786" s="49" t="s">
        <v>51</v>
      </c>
      <c r="E1786" s="49" t="s">
        <v>3250</v>
      </c>
      <c r="F1786" s="76" t="str">
        <f>IFERROR(IF(Tabla1[[#This Row],[CONCEPTO mx]]="","",VLOOKUP(Tabla1[[#This Row],[CONCEPTO mx]],Tabla2[#All],2,0)),"")</f>
        <v>CM12</v>
      </c>
      <c r="G1786" s="76" t="str">
        <f>IFERROR(IF(Tabla1[[#This Row],[CONCEPTO mx]]="","",VLOOKUP(Tabla1[[#This Row],[CONCEPTO mx]],Tabla2[#All],3,0)),"")</f>
        <v>SST</v>
      </c>
      <c r="H1786" s="49" t="s">
        <v>439</v>
      </c>
      <c r="I1786" s="49" t="s">
        <v>2298</v>
      </c>
      <c r="J1786" s="49" t="s">
        <v>2297</v>
      </c>
      <c r="L1786" s="59" t="s">
        <v>2597</v>
      </c>
    </row>
    <row r="1787" spans="1:12" x14ac:dyDescent="0.25">
      <c r="A1787" s="51">
        <v>43642</v>
      </c>
      <c r="B1787" s="59">
        <v>1045490403</v>
      </c>
      <c r="C1787" s="59" t="s">
        <v>4129</v>
      </c>
      <c r="D1787" s="49" t="s">
        <v>180</v>
      </c>
      <c r="E1787" s="49" t="s">
        <v>3187</v>
      </c>
      <c r="F1787" s="76" t="str">
        <f>IFERROR(IF(Tabla1[[#This Row],[CONCEPTO mx]]="","",VLOOKUP(Tabla1[[#This Row],[CONCEPTO mx]],Tabla2[#All],2,0)),"")</f>
        <v>CM8</v>
      </c>
      <c r="G1787" s="76" t="str">
        <f>IFERROR(IF(Tabla1[[#This Row],[CONCEPTO mx]]="","",VLOOKUP(Tabla1[[#This Row],[CONCEPTO mx]],Tabla2[#All],3,0)),"")</f>
        <v>Gestión Humana</v>
      </c>
      <c r="H1787" s="49" t="s">
        <v>470</v>
      </c>
      <c r="I1787" s="49" t="s">
        <v>2298</v>
      </c>
      <c r="J1787" s="49" t="s">
        <v>2409</v>
      </c>
      <c r="L1787" s="77" t="s">
        <v>4128</v>
      </c>
    </row>
    <row r="1788" spans="1:12" x14ac:dyDescent="0.25">
      <c r="A1788" s="51">
        <v>43645</v>
      </c>
      <c r="B1788" s="59">
        <v>1001023673</v>
      </c>
      <c r="C1788" s="59" t="s">
        <v>4139</v>
      </c>
      <c r="D1788" s="49" t="s">
        <v>51</v>
      </c>
      <c r="E1788" s="49" t="s">
        <v>3315</v>
      </c>
      <c r="F1788" s="76" t="str">
        <f>IFERROR(IF(Tabla1[[#This Row],[CONCEPTO mx]]="","",VLOOKUP(Tabla1[[#This Row],[CONCEPTO mx]],Tabla2[#All],2,0)),"")</f>
        <v>CM40</v>
      </c>
      <c r="G1788" s="76" t="str">
        <f>IFERROR(IF(Tabla1[[#This Row],[CONCEPTO mx]]="","",VLOOKUP(Tabla1[[#This Row],[CONCEPTO mx]],Tabla2[#All],3,0)),"")</f>
        <v>SST</v>
      </c>
      <c r="H1788" s="49" t="s">
        <v>438</v>
      </c>
      <c r="I1788" s="49" t="s">
        <v>2298</v>
      </c>
      <c r="J1788" s="49" t="s">
        <v>2536</v>
      </c>
      <c r="L1788" s="59" t="s">
        <v>4140</v>
      </c>
    </row>
    <row r="1789" spans="1:12" x14ac:dyDescent="0.25">
      <c r="A1789" s="51">
        <v>43645</v>
      </c>
      <c r="B1789" s="59">
        <v>8111904</v>
      </c>
      <c r="C1789" s="59" t="s">
        <v>4141</v>
      </c>
      <c r="D1789" s="49" t="s">
        <v>180</v>
      </c>
      <c r="E1789" s="49" t="s">
        <v>4143</v>
      </c>
      <c r="F1789" s="76" t="str">
        <f>IFERROR(IF(Tabla1[[#This Row],[CONCEPTO mx]]="","",VLOOKUP(Tabla1[[#This Row],[CONCEPTO mx]],Tabla2[#All],2,0)),"")</f>
        <v>CM47</v>
      </c>
      <c r="G1789" s="76" t="str">
        <f>IFERROR(IF(Tabla1[[#This Row],[CONCEPTO mx]]="","",VLOOKUP(Tabla1[[#This Row],[CONCEPTO mx]],Tabla2[#All],3,0)),"")</f>
        <v>SST</v>
      </c>
      <c r="H1789" s="49" t="s">
        <v>628</v>
      </c>
      <c r="I1789" s="49" t="s">
        <v>2298</v>
      </c>
      <c r="J1789" s="49" t="s">
        <v>2422</v>
      </c>
      <c r="L1789" s="59" t="s">
        <v>4142</v>
      </c>
    </row>
    <row r="1790" spans="1:12" x14ac:dyDescent="0.25">
      <c r="A1790" s="51">
        <v>43645</v>
      </c>
      <c r="B1790" s="59">
        <v>1007675360</v>
      </c>
      <c r="C1790" s="59" t="s">
        <v>4133</v>
      </c>
      <c r="D1790" s="49" t="s">
        <v>51</v>
      </c>
      <c r="E1790" s="49" t="s">
        <v>3249</v>
      </c>
      <c r="F1790" s="76" t="str">
        <f>IFERROR(IF(Tabla1[[#This Row],[CONCEPTO mx]]="","",VLOOKUP(Tabla1[[#This Row],[CONCEPTO mx]],Tabla2[#All],2,0)),"")</f>
        <v>CM3</v>
      </c>
      <c r="G1790" s="76" t="str">
        <f>IFERROR(IF(Tabla1[[#This Row],[CONCEPTO mx]]="","",VLOOKUP(Tabla1[[#This Row],[CONCEPTO mx]],Tabla2[#All],3,0)),"")</f>
        <v>SST</v>
      </c>
      <c r="H1790" s="49" t="s">
        <v>438</v>
      </c>
      <c r="I1790" s="49" t="s">
        <v>2298</v>
      </c>
      <c r="J1790" s="49" t="s">
        <v>2819</v>
      </c>
    </row>
    <row r="1791" spans="1:12" x14ac:dyDescent="0.25">
      <c r="A1791" s="51">
        <v>43645</v>
      </c>
      <c r="B1791" s="85">
        <v>19120660</v>
      </c>
      <c r="C1791" s="59" t="s">
        <v>4137</v>
      </c>
      <c r="D1791" s="49" t="s">
        <v>180</v>
      </c>
      <c r="E1791" s="49" t="s">
        <v>3198</v>
      </c>
      <c r="F1791" s="76" t="str">
        <f>IFERROR(IF(Tabla1[[#This Row],[CONCEPTO mx]]="","",VLOOKUP(Tabla1[[#This Row],[CONCEPTO mx]],Tabla2[#All],2,0)),"")</f>
        <v>CM6</v>
      </c>
      <c r="G1791" s="76" t="str">
        <f>IFERROR(IF(Tabla1[[#This Row],[CONCEPTO mx]]="","",VLOOKUP(Tabla1[[#This Row],[CONCEPTO mx]],Tabla2[#All],3,0)),"")</f>
        <v>SST</v>
      </c>
      <c r="H1791" s="49" t="s">
        <v>542</v>
      </c>
      <c r="I1791" s="49" t="s">
        <v>2298</v>
      </c>
      <c r="J1791" s="49" t="s">
        <v>4138</v>
      </c>
      <c r="L1791" s="59" t="s">
        <v>4148</v>
      </c>
    </row>
    <row r="1792" spans="1:12" x14ac:dyDescent="0.25">
      <c r="A1792" s="51">
        <v>43645</v>
      </c>
      <c r="B1792" s="59">
        <v>39283686</v>
      </c>
      <c r="C1792" s="59" t="s">
        <v>4136</v>
      </c>
      <c r="E1792" s="49" t="s">
        <v>2355</v>
      </c>
      <c r="F1792" s="76" t="str">
        <f>IFERROR(IF(Tabla1[[#This Row],[CONCEPTO mx]]="","",VLOOKUP(Tabla1[[#This Row],[CONCEPTO mx]],Tabla2[#All],2,0)),"")</f>
        <v>CM13</v>
      </c>
      <c r="G1792" s="76" t="str">
        <f>IFERROR(IF(Tabla1[[#This Row],[CONCEPTO mx]]="","",VLOOKUP(Tabla1[[#This Row],[CONCEPTO mx]],Tabla2[#All],3,0)),"")</f>
        <v>Gestión Humana</v>
      </c>
      <c r="H1792" s="49" t="s">
        <v>438</v>
      </c>
      <c r="I1792" s="49" t="s">
        <v>2298</v>
      </c>
      <c r="J1792" s="49" t="s">
        <v>2811</v>
      </c>
    </row>
    <row r="1793" spans="1:12" x14ac:dyDescent="0.25">
      <c r="A1793" s="51">
        <v>43645</v>
      </c>
      <c r="B1793" s="59">
        <v>1045509670</v>
      </c>
      <c r="C1793" s="59" t="s">
        <v>4149</v>
      </c>
      <c r="D1793" s="49" t="s">
        <v>180</v>
      </c>
      <c r="E1793" s="49" t="s">
        <v>3247</v>
      </c>
      <c r="F1793" s="76" t="str">
        <f>IFERROR(IF(Tabla1[[#This Row],[CONCEPTO mx]]="","",VLOOKUP(Tabla1[[#This Row],[CONCEPTO mx]],Tabla2[#All],2,0)),"")</f>
        <v>CM23</v>
      </c>
      <c r="G1793" s="76" t="str">
        <f>IFERROR(IF(Tabla1[[#This Row],[CONCEPTO mx]]="","",VLOOKUP(Tabla1[[#This Row],[CONCEPTO mx]],Tabla2[#All],3,0)),"")</f>
        <v>SST</v>
      </c>
      <c r="H1793" s="49" t="s">
        <v>334</v>
      </c>
      <c r="I1793" s="49" t="s">
        <v>2298</v>
      </c>
      <c r="J1793" s="49" t="s">
        <v>4055</v>
      </c>
      <c r="L1793" s="59" t="s">
        <v>4150</v>
      </c>
    </row>
    <row r="1794" spans="1:12" x14ac:dyDescent="0.25">
      <c r="A1794" s="51">
        <v>43645</v>
      </c>
      <c r="B1794" s="50">
        <v>1040372250</v>
      </c>
      <c r="C1794" s="59" t="s">
        <v>255</v>
      </c>
      <c r="D1794" s="49" t="s">
        <v>51</v>
      </c>
      <c r="E1794" s="49" t="s">
        <v>3249</v>
      </c>
      <c r="F1794" s="76" t="str">
        <f>IFERROR(IF(Tabla1[[#This Row],[CONCEPTO mx]]="","",VLOOKUP(Tabla1[[#This Row],[CONCEPTO mx]],Tabla2[#All],2,0)),"")</f>
        <v>CM3</v>
      </c>
      <c r="G1794" s="76" t="str">
        <f>IFERROR(IF(Tabla1[[#This Row],[CONCEPTO mx]]="","",VLOOKUP(Tabla1[[#This Row],[CONCEPTO mx]],Tabla2[#All],3,0)),"")</f>
        <v>SST</v>
      </c>
      <c r="H1794" s="49" t="s">
        <v>542</v>
      </c>
      <c r="I1794" s="49" t="s">
        <v>2298</v>
      </c>
      <c r="J1794" s="49" t="s">
        <v>4132</v>
      </c>
    </row>
    <row r="1795" spans="1:12" x14ac:dyDescent="0.25">
      <c r="A1795" s="51">
        <v>43645</v>
      </c>
      <c r="B1795" s="59">
        <v>71945615</v>
      </c>
      <c r="C1795" s="59" t="s">
        <v>1574</v>
      </c>
      <c r="D1795" s="49" t="s">
        <v>51</v>
      </c>
      <c r="E1795" s="49" t="s">
        <v>3197</v>
      </c>
      <c r="F1795" s="76" t="str">
        <f>IFERROR(IF(Tabla1[[#This Row],[CONCEPTO mx]]="","",VLOOKUP(Tabla1[[#This Row],[CONCEPTO mx]],Tabla2[#All],2,0)),"")</f>
        <v>CM14</v>
      </c>
      <c r="G1795" s="76" t="str">
        <f>IFERROR(IF(Tabla1[[#This Row],[CONCEPTO mx]]="","",VLOOKUP(Tabla1[[#This Row],[CONCEPTO mx]],Tabla2[#All],3,0)),"")</f>
        <v>SST</v>
      </c>
      <c r="H1795" s="49" t="s">
        <v>628</v>
      </c>
      <c r="I1795" s="49" t="s">
        <v>2298</v>
      </c>
      <c r="J1795" s="49" t="s">
        <v>2845</v>
      </c>
    </row>
    <row r="1796" spans="1:12" x14ac:dyDescent="0.25">
      <c r="A1796" s="51">
        <v>43645</v>
      </c>
      <c r="B1796" s="59">
        <v>1001024996</v>
      </c>
      <c r="C1796" s="59" t="s">
        <v>4145</v>
      </c>
      <c r="D1796" s="49" t="s">
        <v>180</v>
      </c>
      <c r="E1796" s="49" t="s">
        <v>3187</v>
      </c>
      <c r="F1796" s="76" t="str">
        <f>IFERROR(IF(Tabla1[[#This Row],[CONCEPTO mx]]="","",VLOOKUP(Tabla1[[#This Row],[CONCEPTO mx]],Tabla2[#All],2,0)),"")</f>
        <v>CM8</v>
      </c>
      <c r="G1796" s="76" t="str">
        <f>IFERROR(IF(Tabla1[[#This Row],[CONCEPTO mx]]="","",VLOOKUP(Tabla1[[#This Row],[CONCEPTO mx]],Tabla2[#All],3,0)),"")</f>
        <v>Gestión Humana</v>
      </c>
      <c r="H1796" s="49" t="s">
        <v>438</v>
      </c>
      <c r="I1796" s="49" t="s">
        <v>2512</v>
      </c>
      <c r="J1796" s="49" t="s">
        <v>4087</v>
      </c>
      <c r="L1796" s="59" t="s">
        <v>4146</v>
      </c>
    </row>
    <row r="1797" spans="1:12" x14ac:dyDescent="0.25">
      <c r="A1797" s="51">
        <v>43645</v>
      </c>
      <c r="B1797" s="59">
        <v>71251976</v>
      </c>
      <c r="C1797" s="59" t="s">
        <v>4147</v>
      </c>
      <c r="D1797" s="49" t="s">
        <v>51</v>
      </c>
      <c r="E1797" s="49" t="s">
        <v>3249</v>
      </c>
      <c r="F1797" s="76" t="str">
        <f>IFERROR(IF(Tabla1[[#This Row],[CONCEPTO mx]]="","",VLOOKUP(Tabla1[[#This Row],[CONCEPTO mx]],Tabla2[#All],2,0)),"")</f>
        <v>CM3</v>
      </c>
      <c r="G1797" s="76" t="str">
        <f>IFERROR(IF(Tabla1[[#This Row],[CONCEPTO mx]]="","",VLOOKUP(Tabla1[[#This Row],[CONCEPTO mx]],Tabla2[#All],3,0)),"")</f>
        <v>SST</v>
      </c>
      <c r="H1797" s="49" t="s">
        <v>334</v>
      </c>
      <c r="I1797" s="49" t="s">
        <v>3392</v>
      </c>
      <c r="J1797" s="49" t="s">
        <v>2328</v>
      </c>
    </row>
    <row r="1798" spans="1:12" x14ac:dyDescent="0.25">
      <c r="A1798" s="51">
        <v>43645</v>
      </c>
      <c r="B1798" s="59">
        <v>1028029632</v>
      </c>
      <c r="C1798" s="59" t="s">
        <v>4134</v>
      </c>
      <c r="D1798" s="49" t="s">
        <v>51</v>
      </c>
      <c r="E1798" s="49" t="s">
        <v>3315</v>
      </c>
      <c r="F1798" s="76" t="str">
        <f>IFERROR(IF(Tabla1[[#This Row],[CONCEPTO mx]]="","",VLOOKUP(Tabla1[[#This Row],[CONCEPTO mx]],Tabla2[#All],2,0)),"")</f>
        <v>CM40</v>
      </c>
      <c r="G1798" s="76" t="str">
        <f>IFERROR(IF(Tabla1[[#This Row],[CONCEPTO mx]]="","",VLOOKUP(Tabla1[[#This Row],[CONCEPTO mx]],Tabla2[#All],3,0)),"")</f>
        <v>SST</v>
      </c>
      <c r="H1798" s="49" t="s">
        <v>470</v>
      </c>
      <c r="I1798" s="49" t="s">
        <v>2298</v>
      </c>
      <c r="J1798" s="49" t="s">
        <v>4047</v>
      </c>
      <c r="L1798" s="59" t="s">
        <v>4135</v>
      </c>
    </row>
    <row r="1799" spans="1:12" x14ac:dyDescent="0.25">
      <c r="A1799" s="51">
        <v>43648</v>
      </c>
      <c r="B1799" s="50">
        <v>1007726956</v>
      </c>
      <c r="C1799" s="49" t="s">
        <v>4151</v>
      </c>
      <c r="D1799" s="49" t="s">
        <v>51</v>
      </c>
      <c r="E1799" s="49" t="s">
        <v>3248</v>
      </c>
      <c r="F1799" s="76" t="str">
        <f>IFERROR(IF(Tabla1[[#This Row],[CONCEPTO mx]]="","",VLOOKUP(Tabla1[[#This Row],[CONCEPTO mx]],Tabla2[#All],2,0)),"")</f>
        <v>CM1</v>
      </c>
      <c r="G1799" s="76" t="str">
        <f>IFERROR(IF(Tabla1[[#This Row],[CONCEPTO mx]]="","",VLOOKUP(Tabla1[[#This Row],[CONCEPTO mx]],Tabla2[#All],3,0)),"")</f>
        <v>Gestión Humana</v>
      </c>
      <c r="H1799" s="49" t="s">
        <v>628</v>
      </c>
      <c r="I1799" s="49" t="s">
        <v>2298</v>
      </c>
      <c r="J1799" s="49" t="s">
        <v>2819</v>
      </c>
    </row>
    <row r="1800" spans="1:12" x14ac:dyDescent="0.25">
      <c r="A1800" s="51">
        <v>43648</v>
      </c>
      <c r="B1800" s="50">
        <v>24182038</v>
      </c>
      <c r="C1800" s="49" t="s">
        <v>4167</v>
      </c>
      <c r="D1800" s="49" t="s">
        <v>51</v>
      </c>
      <c r="E1800" s="49" t="s">
        <v>3185</v>
      </c>
      <c r="F1800" s="76" t="str">
        <f>IFERROR(IF(Tabla1[[#This Row],[CONCEPTO mx]]="","",VLOOKUP(Tabla1[[#This Row],[CONCEPTO mx]],Tabla2[#All],2,0)),"")</f>
        <v>CM5</v>
      </c>
      <c r="G1800" s="76" t="str">
        <f>IFERROR(IF(Tabla1[[#This Row],[CONCEPTO mx]]="","",VLOOKUP(Tabla1[[#This Row],[CONCEPTO mx]],Tabla2[#All],3,0)),"")</f>
        <v>SST</v>
      </c>
      <c r="H1800" s="49" t="s">
        <v>438</v>
      </c>
      <c r="I1800" s="49" t="s">
        <v>2298</v>
      </c>
      <c r="J1800" s="49" t="s">
        <v>2341</v>
      </c>
      <c r="L1800" s="49" t="s">
        <v>4168</v>
      </c>
    </row>
    <row r="1801" spans="1:12" x14ac:dyDescent="0.25">
      <c r="A1801" s="51">
        <v>43648</v>
      </c>
      <c r="B1801" s="50">
        <v>1028036076</v>
      </c>
      <c r="C1801" s="49" t="s">
        <v>4095</v>
      </c>
      <c r="D1801" s="49" t="s">
        <v>51</v>
      </c>
      <c r="E1801" s="49" t="s">
        <v>3174</v>
      </c>
      <c r="F1801" s="76" t="str">
        <f>IFERROR(IF(Tabla1[[#This Row],[CONCEPTO mx]]="","",VLOOKUP(Tabla1[[#This Row],[CONCEPTO mx]],Tabla2[#All],2,0)),"")</f>
        <v>CM2</v>
      </c>
      <c r="G1801" s="76" t="str">
        <f>IFERROR(IF(Tabla1[[#This Row],[CONCEPTO mx]]="","",VLOOKUP(Tabla1[[#This Row],[CONCEPTO mx]],Tabla2[#All],3,0)),"")</f>
        <v>SST</v>
      </c>
      <c r="H1801" s="49" t="s">
        <v>542</v>
      </c>
      <c r="I1801" s="49" t="s">
        <v>2298</v>
      </c>
      <c r="J1801" s="49" t="s">
        <v>4155</v>
      </c>
      <c r="L1801" s="49" t="s">
        <v>4156</v>
      </c>
    </row>
    <row r="1802" spans="1:12" x14ac:dyDescent="0.25">
      <c r="A1802" s="51">
        <v>43648</v>
      </c>
      <c r="B1802" s="50">
        <v>1028040028</v>
      </c>
      <c r="C1802" s="49" t="s">
        <v>4157</v>
      </c>
      <c r="D1802" s="49" t="s">
        <v>51</v>
      </c>
      <c r="E1802" s="49" t="s">
        <v>3248</v>
      </c>
      <c r="F1802" s="76" t="str">
        <f>IFERROR(IF(Tabla1[[#This Row],[CONCEPTO mx]]="","",VLOOKUP(Tabla1[[#This Row],[CONCEPTO mx]],Tabla2[#All],2,0)),"")</f>
        <v>CM1</v>
      </c>
      <c r="G1802" s="76" t="str">
        <f>IFERROR(IF(Tabla1[[#This Row],[CONCEPTO mx]]="","",VLOOKUP(Tabla1[[#This Row],[CONCEPTO mx]],Tabla2[#All],3,0)),"")</f>
        <v>Gestión Humana</v>
      </c>
      <c r="H1802" s="49" t="s">
        <v>470</v>
      </c>
      <c r="I1802" s="49" t="s">
        <v>2298</v>
      </c>
      <c r="J1802" s="49" t="s">
        <v>2845</v>
      </c>
      <c r="L1802" s="49" t="s">
        <v>4158</v>
      </c>
    </row>
    <row r="1803" spans="1:12" x14ac:dyDescent="0.25">
      <c r="A1803" s="51">
        <v>43648</v>
      </c>
      <c r="B1803" s="50">
        <v>1028035220</v>
      </c>
      <c r="C1803" s="49" t="s">
        <v>1241</v>
      </c>
      <c r="E1803" s="49" t="s">
        <v>2355</v>
      </c>
      <c r="F1803" s="76" t="str">
        <f>IFERROR(IF(Tabla1[[#This Row],[CONCEPTO mx]]="","",VLOOKUP(Tabla1[[#This Row],[CONCEPTO mx]],Tabla2[#All],2,0)),"")</f>
        <v>CM13</v>
      </c>
      <c r="G1803" s="76" t="str">
        <f>IFERROR(IF(Tabla1[[#This Row],[CONCEPTO mx]]="","",VLOOKUP(Tabla1[[#This Row],[CONCEPTO mx]],Tabla2[#All],3,0)),"")</f>
        <v>Gestión Humana</v>
      </c>
      <c r="H1803" s="49" t="s">
        <v>628</v>
      </c>
      <c r="I1803" s="49" t="s">
        <v>2298</v>
      </c>
      <c r="J1803" s="49" t="s">
        <v>4159</v>
      </c>
      <c r="L1803" s="49" t="s">
        <v>4160</v>
      </c>
    </row>
    <row r="1804" spans="1:12" x14ac:dyDescent="0.25">
      <c r="A1804" s="51">
        <v>43648</v>
      </c>
      <c r="B1804" s="50">
        <v>1028039624</v>
      </c>
      <c r="C1804" s="49" t="s">
        <v>4161</v>
      </c>
      <c r="D1804" s="49" t="s">
        <v>51</v>
      </c>
      <c r="E1804" s="49" t="s">
        <v>3249</v>
      </c>
      <c r="F1804" s="76" t="str">
        <f>IFERROR(IF(Tabla1[[#This Row],[CONCEPTO mx]]="","",VLOOKUP(Tabla1[[#This Row],[CONCEPTO mx]],Tabla2[#All],2,0)),"")</f>
        <v>CM3</v>
      </c>
      <c r="G1804" s="76" t="str">
        <f>IFERROR(IF(Tabla1[[#This Row],[CONCEPTO mx]]="","",VLOOKUP(Tabla1[[#This Row],[CONCEPTO mx]],Tabla2[#All],3,0)),"")</f>
        <v>SST</v>
      </c>
      <c r="H1804" s="49" t="s">
        <v>550</v>
      </c>
      <c r="I1804" s="49" t="s">
        <v>2512</v>
      </c>
      <c r="J1804" s="49" t="s">
        <v>4162</v>
      </c>
      <c r="L1804" s="49" t="s">
        <v>4163</v>
      </c>
    </row>
    <row r="1805" spans="1:12" x14ac:dyDescent="0.25">
      <c r="A1805" s="51">
        <v>43648</v>
      </c>
      <c r="B1805" s="50">
        <v>1038812033</v>
      </c>
      <c r="C1805" s="49" t="s">
        <v>4164</v>
      </c>
      <c r="E1805" s="49" t="s">
        <v>3198</v>
      </c>
      <c r="F1805" s="76" t="str">
        <f>IFERROR(IF(Tabla1[[#This Row],[CONCEPTO mx]]="","",VLOOKUP(Tabla1[[#This Row],[CONCEPTO mx]],Tabla2[#All],2,0)),"")</f>
        <v>CM6</v>
      </c>
      <c r="G1805" s="76" t="str">
        <f>IFERROR(IF(Tabla1[[#This Row],[CONCEPTO mx]]="","",VLOOKUP(Tabla1[[#This Row],[CONCEPTO mx]],Tabla2[#All],3,0)),"")</f>
        <v>SST</v>
      </c>
      <c r="H1805" s="49" t="s">
        <v>413</v>
      </c>
      <c r="I1805" s="49" t="s">
        <v>2512</v>
      </c>
      <c r="J1805" s="49" t="s">
        <v>4165</v>
      </c>
      <c r="L1805" s="49" t="s">
        <v>4166</v>
      </c>
    </row>
    <row r="1806" spans="1:12" x14ac:dyDescent="0.25">
      <c r="A1806" s="51">
        <v>43648</v>
      </c>
      <c r="B1806" s="84">
        <v>1040352502</v>
      </c>
      <c r="C1806" s="59" t="s">
        <v>4152</v>
      </c>
      <c r="D1806" s="49" t="s">
        <v>180</v>
      </c>
      <c r="E1806" s="49" t="s">
        <v>3188</v>
      </c>
      <c r="F1806" s="76" t="str">
        <f>IFERROR(IF(Tabla1[[#This Row],[CONCEPTO mx]]="","",VLOOKUP(Tabla1[[#This Row],[CONCEPTO mx]],Tabla2[#All],2,0)),"")</f>
        <v>CM7</v>
      </c>
      <c r="G1806" s="76" t="str">
        <f>IFERROR(IF(Tabla1[[#This Row],[CONCEPTO mx]]="","",VLOOKUP(Tabla1[[#This Row],[CONCEPTO mx]],Tabla2[#All],3,0)),"")</f>
        <v>SST</v>
      </c>
      <c r="H1806" s="49" t="s">
        <v>343</v>
      </c>
      <c r="I1806" s="49" t="s">
        <v>2298</v>
      </c>
      <c r="J1806" s="49" t="s">
        <v>4153</v>
      </c>
      <c r="L1806" s="49" t="s">
        <v>4154</v>
      </c>
    </row>
    <row r="1807" spans="1:12" x14ac:dyDescent="0.25">
      <c r="A1807" s="51">
        <v>43648</v>
      </c>
      <c r="B1807" s="50">
        <v>92535185</v>
      </c>
      <c r="C1807" s="49" t="s">
        <v>4169</v>
      </c>
      <c r="D1807" s="49" t="s">
        <v>180</v>
      </c>
      <c r="E1807" s="49" t="s">
        <v>2355</v>
      </c>
      <c r="F1807" s="76" t="str">
        <f>IFERROR(IF(Tabla1[[#This Row],[CONCEPTO mx]]="","",VLOOKUP(Tabla1[[#This Row],[CONCEPTO mx]],Tabla2[#All],2,0)),"")</f>
        <v>CM13</v>
      </c>
      <c r="G1807" s="76" t="str">
        <f>IFERROR(IF(Tabla1[[#This Row],[CONCEPTO mx]]="","",VLOOKUP(Tabla1[[#This Row],[CONCEPTO mx]],Tabla2[#All],3,0)),"")</f>
        <v>Gestión Humana</v>
      </c>
      <c r="H1807" s="49" t="s">
        <v>470</v>
      </c>
      <c r="I1807" s="49" t="s">
        <v>2298</v>
      </c>
      <c r="J1807" s="49" t="s">
        <v>4170</v>
      </c>
      <c r="L1807" s="49" t="s">
        <v>4171</v>
      </c>
    </row>
    <row r="1808" spans="1:12" x14ac:dyDescent="0.25">
      <c r="A1808" s="51">
        <v>43648</v>
      </c>
      <c r="B1808" s="50">
        <v>1028035220</v>
      </c>
      <c r="C1808" s="52" t="s">
        <v>1241</v>
      </c>
      <c r="D1808" s="49" t="s">
        <v>51</v>
      </c>
      <c r="E1808" s="54" t="s">
        <v>3315</v>
      </c>
      <c r="F1808" s="76" t="str">
        <f>IFERROR(IF(Tabla1[[#This Row],[CONCEPTO mx]]="","",VLOOKUP(Tabla1[[#This Row],[CONCEPTO mx]],Tabla2[#All],2,0)),"")</f>
        <v>CM40</v>
      </c>
      <c r="G1808" s="76" t="str">
        <f>IFERROR(IF(Tabla1[[#This Row],[CONCEPTO mx]]="","",VLOOKUP(Tabla1[[#This Row],[CONCEPTO mx]],Tabla2[#All],3,0)),"")</f>
        <v>SST</v>
      </c>
      <c r="H1808" s="49" t="s">
        <v>628</v>
      </c>
      <c r="I1808" s="49" t="s">
        <v>2298</v>
      </c>
      <c r="J1808" s="52" t="s">
        <v>2822</v>
      </c>
      <c r="K1808" s="51">
        <v>43663</v>
      </c>
      <c r="L1808" s="52" t="s">
        <v>4244</v>
      </c>
    </row>
    <row r="1809" spans="1:12" x14ac:dyDescent="0.25">
      <c r="A1809" s="51">
        <v>43649</v>
      </c>
      <c r="B1809" s="50">
        <v>1001026154</v>
      </c>
      <c r="C1809" s="49" t="s">
        <v>4172</v>
      </c>
      <c r="D1809" s="49" t="s">
        <v>51</v>
      </c>
      <c r="E1809" s="49" t="s">
        <v>3248</v>
      </c>
      <c r="F1809" s="76" t="str">
        <f>IFERROR(IF(Tabla1[[#This Row],[CONCEPTO mx]]="","",VLOOKUP(Tabla1[[#This Row],[CONCEPTO mx]],Tabla2[#All],2,0)),"")</f>
        <v>CM1</v>
      </c>
      <c r="G1809" s="76" t="str">
        <f>IFERROR(IF(Tabla1[[#This Row],[CONCEPTO mx]]="","",VLOOKUP(Tabla1[[#This Row],[CONCEPTO mx]],Tabla2[#All],3,0)),"")</f>
        <v>Gestión Humana</v>
      </c>
      <c r="H1809" s="49" t="s">
        <v>334</v>
      </c>
      <c r="I1809" s="49" t="s">
        <v>2298</v>
      </c>
      <c r="J1809" s="49" t="s">
        <v>4173</v>
      </c>
      <c r="L1809" s="49" t="s">
        <v>4158</v>
      </c>
    </row>
    <row r="1810" spans="1:12" x14ac:dyDescent="0.25">
      <c r="A1810" s="51">
        <v>43649</v>
      </c>
      <c r="B1810" s="50">
        <v>1040378081</v>
      </c>
      <c r="C1810" s="49" t="s">
        <v>4174</v>
      </c>
      <c r="D1810" s="49" t="s">
        <v>51</v>
      </c>
      <c r="E1810" s="49" t="s">
        <v>3249</v>
      </c>
      <c r="F1810" s="76" t="str">
        <f>IFERROR(IF(Tabla1[[#This Row],[CONCEPTO mx]]="","",VLOOKUP(Tabla1[[#This Row],[CONCEPTO mx]],Tabla2[#All],2,0)),"")</f>
        <v>CM3</v>
      </c>
      <c r="G1810" s="76" t="str">
        <f>IFERROR(IF(Tabla1[[#This Row],[CONCEPTO mx]]="","",VLOOKUP(Tabla1[[#This Row],[CONCEPTO mx]],Tabla2[#All],3,0)),"")</f>
        <v>SST</v>
      </c>
      <c r="H1810" s="49" t="s">
        <v>438</v>
      </c>
      <c r="I1810" s="49" t="s">
        <v>2298</v>
      </c>
      <c r="J1810" s="49" t="s">
        <v>2353</v>
      </c>
      <c r="L1810" s="49" t="s">
        <v>4175</v>
      </c>
    </row>
    <row r="1811" spans="1:12" x14ac:dyDescent="0.25">
      <c r="A1811" s="51">
        <v>43649</v>
      </c>
      <c r="B1811" s="50">
        <v>1001032780</v>
      </c>
      <c r="C1811" s="49" t="s">
        <v>4176</v>
      </c>
      <c r="E1811" s="49" t="s">
        <v>2401</v>
      </c>
      <c r="F1811" s="76" t="str">
        <f>IFERROR(IF(Tabla1[[#This Row],[CONCEPTO mx]]="","",VLOOKUP(Tabla1[[#This Row],[CONCEPTO mx]],Tabla2[#All],2,0)),"")</f>
        <v>CM28</v>
      </c>
      <c r="G1811" s="76" t="str">
        <f>IFERROR(IF(Tabla1[[#This Row],[CONCEPTO mx]]="","",VLOOKUP(Tabla1[[#This Row],[CONCEPTO mx]],Tabla2[#All],3,0)),"")</f>
        <v>SST</v>
      </c>
      <c r="H1811" s="49" t="s">
        <v>470</v>
      </c>
      <c r="I1811" s="49" t="s">
        <v>2512</v>
      </c>
      <c r="J1811" s="49" t="s">
        <v>4177</v>
      </c>
      <c r="L1811" s="49" t="s">
        <v>4178</v>
      </c>
    </row>
    <row r="1812" spans="1:12" x14ac:dyDescent="0.25">
      <c r="A1812" s="51">
        <v>43650</v>
      </c>
      <c r="B1812" s="50">
        <v>10904970</v>
      </c>
      <c r="C1812" s="49" t="s">
        <v>2648</v>
      </c>
      <c r="D1812" s="49" t="s">
        <v>51</v>
      </c>
      <c r="E1812" s="49" t="s">
        <v>3248</v>
      </c>
      <c r="F1812" s="76" t="str">
        <f>IFERROR(IF(Tabla1[[#This Row],[CONCEPTO mx]]="","",VLOOKUP(Tabla1[[#This Row],[CONCEPTO mx]],Tabla2[#All],2,0)),"")</f>
        <v>CM1</v>
      </c>
      <c r="G1812" s="76" t="str">
        <f>IFERROR(IF(Tabla1[[#This Row],[CONCEPTO mx]]="","",VLOOKUP(Tabla1[[#This Row],[CONCEPTO mx]],Tabla2[#All],3,0)),"")</f>
        <v>Gestión Humana</v>
      </c>
      <c r="H1812" s="49" t="s">
        <v>542</v>
      </c>
      <c r="I1812" s="49" t="s">
        <v>2298</v>
      </c>
      <c r="J1812" s="49" t="s">
        <v>2848</v>
      </c>
      <c r="L1812" s="49" t="s">
        <v>4179</v>
      </c>
    </row>
    <row r="1813" spans="1:12" x14ac:dyDescent="0.25">
      <c r="A1813" s="51">
        <v>43650</v>
      </c>
      <c r="B1813" s="50">
        <v>43147042</v>
      </c>
      <c r="C1813" s="49" t="s">
        <v>4180</v>
      </c>
      <c r="D1813" s="49" t="s">
        <v>51</v>
      </c>
      <c r="E1813" s="49" t="s">
        <v>3248</v>
      </c>
      <c r="F1813" s="76" t="str">
        <f>IFERROR(IF(Tabla1[[#This Row],[CONCEPTO mx]]="","",VLOOKUP(Tabla1[[#This Row],[CONCEPTO mx]],Tabla2[#All],2,0)),"")</f>
        <v>CM1</v>
      </c>
      <c r="G1813" s="76" t="str">
        <f>IFERROR(IF(Tabla1[[#This Row],[CONCEPTO mx]]="","",VLOOKUP(Tabla1[[#This Row],[CONCEPTO mx]],Tabla2[#All],3,0)),"")</f>
        <v>Gestión Humana</v>
      </c>
      <c r="H1813" s="49" t="s">
        <v>550</v>
      </c>
      <c r="I1813" s="49" t="s">
        <v>2298</v>
      </c>
      <c r="J1813" s="49" t="s">
        <v>2539</v>
      </c>
      <c r="L1813" s="49" t="s">
        <v>4158</v>
      </c>
    </row>
    <row r="1814" spans="1:12" x14ac:dyDescent="0.25">
      <c r="A1814" s="51">
        <v>43650</v>
      </c>
      <c r="B1814" s="50">
        <v>1140418449</v>
      </c>
      <c r="C1814" s="49" t="s">
        <v>4181</v>
      </c>
      <c r="E1814" s="49" t="s">
        <v>2355</v>
      </c>
      <c r="F1814" s="76" t="str">
        <f>IFERROR(IF(Tabla1[[#This Row],[CONCEPTO mx]]="","",VLOOKUP(Tabla1[[#This Row],[CONCEPTO mx]],Tabla2[#All],2,0)),"")</f>
        <v>CM13</v>
      </c>
      <c r="G1814" s="76" t="str">
        <f>IFERROR(IF(Tabla1[[#This Row],[CONCEPTO mx]]="","",VLOOKUP(Tabla1[[#This Row],[CONCEPTO mx]],Tabla2[#All],3,0)),"")</f>
        <v>Gestión Humana</v>
      </c>
      <c r="H1814" s="49" t="s">
        <v>470</v>
      </c>
      <c r="I1814" s="49" t="s">
        <v>2298</v>
      </c>
      <c r="J1814" s="49" t="s">
        <v>2409</v>
      </c>
      <c r="L1814" s="49" t="s">
        <v>4182</v>
      </c>
    </row>
    <row r="1815" spans="1:12" x14ac:dyDescent="0.25">
      <c r="A1815" s="51">
        <v>43650</v>
      </c>
      <c r="B1815" s="50">
        <v>1040804354</v>
      </c>
      <c r="C1815" s="49" t="s">
        <v>4183</v>
      </c>
      <c r="D1815" s="49" t="s">
        <v>51</v>
      </c>
      <c r="E1815" s="49" t="s">
        <v>3198</v>
      </c>
      <c r="F1815" s="76" t="str">
        <f>IFERROR(IF(Tabla1[[#This Row],[CONCEPTO mx]]="","",VLOOKUP(Tabla1[[#This Row],[CONCEPTO mx]],Tabla2[#All],2,0)),"")</f>
        <v>CM6</v>
      </c>
      <c r="G1815" s="76" t="str">
        <f>IFERROR(IF(Tabla1[[#This Row],[CONCEPTO mx]]="","",VLOOKUP(Tabla1[[#This Row],[CONCEPTO mx]],Tabla2[#All],3,0)),"")</f>
        <v>SST</v>
      </c>
      <c r="H1815" s="49" t="s">
        <v>387</v>
      </c>
      <c r="I1815" s="49" t="s">
        <v>2298</v>
      </c>
      <c r="J1815" s="49" t="s">
        <v>2319</v>
      </c>
      <c r="L1815" s="49" t="s">
        <v>4184</v>
      </c>
    </row>
    <row r="1816" spans="1:12" x14ac:dyDescent="0.25">
      <c r="A1816" s="51">
        <v>43650</v>
      </c>
      <c r="B1816" s="50">
        <v>1003072090</v>
      </c>
      <c r="C1816" s="49" t="s">
        <v>4185</v>
      </c>
      <c r="D1816" s="49" t="s">
        <v>51</v>
      </c>
      <c r="E1816" s="49" t="s">
        <v>3188</v>
      </c>
      <c r="F1816" s="76" t="str">
        <f>IFERROR(IF(Tabla1[[#This Row],[CONCEPTO mx]]="","",VLOOKUP(Tabla1[[#This Row],[CONCEPTO mx]],Tabla2[#All],2,0)),"")</f>
        <v>CM7</v>
      </c>
      <c r="G1816" s="76" t="str">
        <f>IFERROR(IF(Tabla1[[#This Row],[CONCEPTO mx]]="","",VLOOKUP(Tabla1[[#This Row],[CONCEPTO mx]],Tabla2[#All],3,0)),"")</f>
        <v>SST</v>
      </c>
      <c r="H1816" s="49" t="s">
        <v>2394</v>
      </c>
      <c r="I1816" s="49" t="s">
        <v>2512</v>
      </c>
      <c r="J1816" s="49" t="s">
        <v>4177</v>
      </c>
      <c r="L1816" s="49" t="s">
        <v>4154</v>
      </c>
    </row>
    <row r="1817" spans="1:12" x14ac:dyDescent="0.25">
      <c r="A1817" s="51">
        <v>43663</v>
      </c>
      <c r="B1817" s="50">
        <v>1041256795</v>
      </c>
      <c r="C1817" s="52" t="s">
        <v>4213</v>
      </c>
      <c r="D1817" s="49" t="s">
        <v>51</v>
      </c>
      <c r="E1817" s="49" t="s">
        <v>3315</v>
      </c>
      <c r="F1817" s="76" t="str">
        <f>IFERROR(IF(Tabla1[[#This Row],[CONCEPTO mx]]="","",VLOOKUP(Tabla1[[#This Row],[CONCEPTO mx]],Tabla2[#All],2,0)),"")</f>
        <v>CM40</v>
      </c>
      <c r="G1817" s="76" t="str">
        <f>IFERROR(IF(Tabla1[[#This Row],[CONCEPTO mx]]="","",VLOOKUP(Tabla1[[#This Row],[CONCEPTO mx]],Tabla2[#All],3,0)),"")</f>
        <v>SST</v>
      </c>
      <c r="H1817" s="49" t="s">
        <v>439</v>
      </c>
      <c r="I1817" s="49" t="s">
        <v>2298</v>
      </c>
      <c r="J1817" s="49" t="s">
        <v>4227</v>
      </c>
      <c r="L1817" s="52" t="s">
        <v>4237</v>
      </c>
    </row>
    <row r="1818" spans="1:12" x14ac:dyDescent="0.25">
      <c r="A1818" s="51">
        <v>43663</v>
      </c>
      <c r="B1818" s="50">
        <v>103810267</v>
      </c>
      <c r="C1818" s="52" t="s">
        <v>4214</v>
      </c>
      <c r="D1818" s="49" t="s">
        <v>51</v>
      </c>
      <c r="E1818" s="54" t="s">
        <v>3315</v>
      </c>
      <c r="F1818" s="76" t="str">
        <f>IFERROR(IF(Tabla1[[#This Row],[CONCEPTO mx]]="","",VLOOKUP(Tabla1[[#This Row],[CONCEPTO mx]],Tabla2[#All],2,0)),"")</f>
        <v>CM40</v>
      </c>
      <c r="G1818" s="76" t="str">
        <f>IFERROR(IF(Tabla1[[#This Row],[CONCEPTO mx]]="","",VLOOKUP(Tabla1[[#This Row],[CONCEPTO mx]],Tabla2[#All],3,0)),"")</f>
        <v>SST</v>
      </c>
      <c r="H1818" s="49" t="s">
        <v>550</v>
      </c>
      <c r="I1818" s="49" t="s">
        <v>2298</v>
      </c>
      <c r="J1818" s="49" t="s">
        <v>4228</v>
      </c>
      <c r="L1818" s="52" t="s">
        <v>4247</v>
      </c>
    </row>
    <row r="1819" spans="1:12" x14ac:dyDescent="0.25">
      <c r="A1819" s="51">
        <v>43663</v>
      </c>
      <c r="B1819" s="50">
        <v>1038545674</v>
      </c>
      <c r="C1819" s="49" t="s">
        <v>4188</v>
      </c>
      <c r="D1819" s="49" t="s">
        <v>51</v>
      </c>
      <c r="E1819" s="49" t="s">
        <v>3248</v>
      </c>
      <c r="F1819" s="76" t="str">
        <f>IFERROR(IF(Tabla1[[#This Row],[CONCEPTO mx]]="","",VLOOKUP(Tabla1[[#This Row],[CONCEPTO mx]],Tabla2[#All],2,0)),"")</f>
        <v>CM1</v>
      </c>
      <c r="G1819" s="76" t="str">
        <f>IFERROR(IF(Tabla1[[#This Row],[CONCEPTO mx]]="","",VLOOKUP(Tabla1[[#This Row],[CONCEPTO mx]],Tabla2[#All],3,0)),"")</f>
        <v>Gestión Humana</v>
      </c>
      <c r="H1819" s="49" t="s">
        <v>550</v>
      </c>
      <c r="I1819" s="49" t="s">
        <v>1030</v>
      </c>
      <c r="J1819" s="49" t="s">
        <v>4189</v>
      </c>
    </row>
    <row r="1820" spans="1:12" x14ac:dyDescent="0.25">
      <c r="A1820" s="51">
        <v>43663</v>
      </c>
      <c r="B1820" s="50">
        <v>1027954167</v>
      </c>
      <c r="C1820" s="49" t="s">
        <v>4194</v>
      </c>
      <c r="E1820" s="49" t="s">
        <v>3681</v>
      </c>
      <c r="F1820" s="76" t="str">
        <f>IFERROR(IF(Tabla1[[#This Row],[CONCEPTO mx]]="","",VLOOKUP(Tabla1[[#This Row],[CONCEPTO mx]],Tabla2[#All],2,0)),"")</f>
        <v>CM43</v>
      </c>
      <c r="G1820" s="76" t="str">
        <f>IFERROR(IF(Tabla1[[#This Row],[CONCEPTO mx]]="","",VLOOKUP(Tabla1[[#This Row],[CONCEPTO mx]],Tabla2[#All],3,0)),"")</f>
        <v>Gestión Humana</v>
      </c>
      <c r="H1820" s="49" t="s">
        <v>2576</v>
      </c>
      <c r="I1820" s="49" t="s">
        <v>1030</v>
      </c>
      <c r="J1820" s="49" t="s">
        <v>4187</v>
      </c>
      <c r="L1820" s="49" t="s">
        <v>4195</v>
      </c>
    </row>
    <row r="1821" spans="1:12" x14ac:dyDescent="0.25">
      <c r="A1821" s="51">
        <v>43663</v>
      </c>
      <c r="B1821" s="50">
        <v>1028038332</v>
      </c>
      <c r="C1821" s="52" t="s">
        <v>4215</v>
      </c>
      <c r="D1821" s="49" t="s">
        <v>51</v>
      </c>
      <c r="E1821" s="49" t="s">
        <v>3315</v>
      </c>
      <c r="F1821" s="76" t="str">
        <f>IFERROR(IF(Tabla1[[#This Row],[CONCEPTO mx]]="","",VLOOKUP(Tabla1[[#This Row],[CONCEPTO mx]],Tabla2[#All],2,0)),"")</f>
        <v>CM40</v>
      </c>
      <c r="G1821" s="76" t="str">
        <f>IFERROR(IF(Tabla1[[#This Row],[CONCEPTO mx]]="","",VLOOKUP(Tabla1[[#This Row],[CONCEPTO mx]],Tabla2[#All],3,0)),"")</f>
        <v>SST</v>
      </c>
      <c r="H1821" s="49" t="s">
        <v>413</v>
      </c>
      <c r="I1821" s="49" t="s">
        <v>2298</v>
      </c>
      <c r="J1821" s="49" t="s">
        <v>4229</v>
      </c>
      <c r="L1821" s="52" t="s">
        <v>2597</v>
      </c>
    </row>
    <row r="1822" spans="1:12" x14ac:dyDescent="0.25">
      <c r="A1822" s="51">
        <v>43663</v>
      </c>
      <c r="B1822" s="78">
        <v>39429277</v>
      </c>
      <c r="C1822" s="49" t="s">
        <v>4196</v>
      </c>
      <c r="E1822" s="49" t="s">
        <v>3694</v>
      </c>
      <c r="F1822" s="76" t="str">
        <f>IFERROR(IF(Tabla1[[#This Row],[CONCEPTO mx]]="","",VLOOKUP(Tabla1[[#This Row],[CONCEPTO mx]],Tabla2[#All],2,0)),"")</f>
        <v>CM44</v>
      </c>
      <c r="G1822" s="76" t="str">
        <f>IFERROR(IF(Tabla1[[#This Row],[CONCEPTO mx]]="","",VLOOKUP(Tabla1[[#This Row],[CONCEPTO mx]],Tabla2[#All],3,0)),"")</f>
        <v>Gestión Humana</v>
      </c>
      <c r="H1822" s="49" t="s">
        <v>486</v>
      </c>
      <c r="I1822" s="49" t="s">
        <v>1030</v>
      </c>
      <c r="J1822" s="49" t="s">
        <v>4187</v>
      </c>
      <c r="L1822" s="59" t="s">
        <v>4197</v>
      </c>
    </row>
    <row r="1823" spans="1:12" x14ac:dyDescent="0.25">
      <c r="A1823" s="51">
        <v>43663</v>
      </c>
      <c r="B1823" s="50">
        <v>1027958500</v>
      </c>
      <c r="C1823" s="49" t="s">
        <v>4198</v>
      </c>
      <c r="D1823" s="49" t="s">
        <v>51</v>
      </c>
      <c r="E1823" s="49" t="s">
        <v>3250</v>
      </c>
      <c r="F1823" s="76" t="str">
        <f>IFERROR(IF(Tabla1[[#This Row],[CONCEPTO mx]]="","",VLOOKUP(Tabla1[[#This Row],[CONCEPTO mx]],Tabla2[#All],2,0)),"")</f>
        <v>CM12</v>
      </c>
      <c r="G1823" s="76" t="str">
        <f>IFERROR(IF(Tabla1[[#This Row],[CONCEPTO mx]]="","",VLOOKUP(Tabla1[[#This Row],[CONCEPTO mx]],Tabla2[#All],3,0)),"")</f>
        <v>SST</v>
      </c>
      <c r="H1823" s="49" t="s">
        <v>484</v>
      </c>
      <c r="I1823" s="49" t="s">
        <v>1030</v>
      </c>
      <c r="J1823" s="49" t="s">
        <v>4187</v>
      </c>
    </row>
    <row r="1824" spans="1:12" x14ac:dyDescent="0.25">
      <c r="A1824" s="51">
        <v>43663</v>
      </c>
      <c r="B1824" s="50">
        <v>1007832534</v>
      </c>
      <c r="C1824" s="49" t="s">
        <v>4210</v>
      </c>
      <c r="D1824" s="49" t="s">
        <v>51</v>
      </c>
      <c r="E1824" s="49" t="s">
        <v>3185</v>
      </c>
      <c r="F1824" s="76" t="str">
        <f>IFERROR(IF(Tabla1[[#This Row],[CONCEPTO mx]]="","",VLOOKUP(Tabla1[[#This Row],[CONCEPTO mx]],Tabla2[#All],2,0)),"")</f>
        <v>CM5</v>
      </c>
      <c r="G1824" s="76" t="str">
        <f>IFERROR(IF(Tabla1[[#This Row],[CONCEPTO mx]]="","",VLOOKUP(Tabla1[[#This Row],[CONCEPTO mx]],Tabla2[#All],3,0)),"")</f>
        <v>SST</v>
      </c>
      <c r="H1824" s="49" t="s">
        <v>334</v>
      </c>
      <c r="I1824" s="49" t="s">
        <v>1030</v>
      </c>
      <c r="J1824" s="49" t="s">
        <v>4189</v>
      </c>
      <c r="L1824" s="93"/>
    </row>
    <row r="1825" spans="1:12" x14ac:dyDescent="0.25">
      <c r="A1825" s="51">
        <v>43663</v>
      </c>
      <c r="B1825" s="50">
        <v>1124033844</v>
      </c>
      <c r="C1825" s="49" t="s">
        <v>4262</v>
      </c>
      <c r="D1825" s="49" t="s">
        <v>51</v>
      </c>
      <c r="E1825" s="49" t="s">
        <v>3250</v>
      </c>
      <c r="F1825" s="76" t="str">
        <f>IFERROR(IF(Tabla1[[#This Row],[CONCEPTO mx]]="","",VLOOKUP(Tabla1[[#This Row],[CONCEPTO mx]],Tabla2[#All],2,0)),"")</f>
        <v>CM12</v>
      </c>
      <c r="G1825" s="76" t="str">
        <f>IFERROR(IF(Tabla1[[#This Row],[CONCEPTO mx]]="","",VLOOKUP(Tabla1[[#This Row],[CONCEPTO mx]],Tabla2[#All],3,0)),"")</f>
        <v>SST</v>
      </c>
      <c r="H1825" s="49" t="s">
        <v>439</v>
      </c>
      <c r="I1825" s="49" t="s">
        <v>2298</v>
      </c>
      <c r="J1825" s="49" t="s">
        <v>2848</v>
      </c>
    </row>
    <row r="1826" spans="1:12" x14ac:dyDescent="0.25">
      <c r="A1826" s="51">
        <v>43663</v>
      </c>
      <c r="B1826" s="50">
        <v>1045521716</v>
      </c>
      <c r="C1826" s="52" t="s">
        <v>4217</v>
      </c>
      <c r="D1826" s="49" t="s">
        <v>180</v>
      </c>
      <c r="E1826" s="49" t="s">
        <v>3198</v>
      </c>
      <c r="F1826" s="76" t="str">
        <f>IFERROR(IF(Tabla1[[#This Row],[CONCEPTO mx]]="","",VLOOKUP(Tabla1[[#This Row],[CONCEPTO mx]],Tabla2[#All],2,0)),"")</f>
        <v>CM6</v>
      </c>
      <c r="G1826" s="76" t="str">
        <f>IFERROR(IF(Tabla1[[#This Row],[CONCEPTO mx]]="","",VLOOKUP(Tabla1[[#This Row],[CONCEPTO mx]],Tabla2[#All],3,0)),"")</f>
        <v>SST</v>
      </c>
      <c r="H1826" s="49" t="s">
        <v>343</v>
      </c>
      <c r="I1826" s="49" t="s">
        <v>2298</v>
      </c>
      <c r="J1826" s="49" t="s">
        <v>4231</v>
      </c>
      <c r="L1826" s="52" t="s">
        <v>4238</v>
      </c>
    </row>
    <row r="1827" spans="1:12" x14ac:dyDescent="0.25">
      <c r="A1827" s="51">
        <v>43663</v>
      </c>
      <c r="B1827" s="50">
        <v>1040365069</v>
      </c>
      <c r="C1827" s="49" t="s">
        <v>2598</v>
      </c>
      <c r="D1827" s="49" t="s">
        <v>51</v>
      </c>
      <c r="E1827" s="49" t="s">
        <v>3248</v>
      </c>
      <c r="F1827" s="76" t="str">
        <f>IFERROR(IF(Tabla1[[#This Row],[CONCEPTO mx]]="","",VLOOKUP(Tabla1[[#This Row],[CONCEPTO mx]],Tabla2[#All],2,0)),"")</f>
        <v>CM1</v>
      </c>
      <c r="G1827" s="76" t="str">
        <f>IFERROR(IF(Tabla1[[#This Row],[CONCEPTO mx]]="","",VLOOKUP(Tabla1[[#This Row],[CONCEPTO mx]],Tabla2[#All],3,0)),"")</f>
        <v>Gestión Humana</v>
      </c>
      <c r="H1827" s="49" t="s">
        <v>2393</v>
      </c>
      <c r="I1827" s="49" t="s">
        <v>2298</v>
      </c>
      <c r="J1827" s="49" t="s">
        <v>4205</v>
      </c>
    </row>
    <row r="1828" spans="1:12" x14ac:dyDescent="0.25">
      <c r="A1828" s="51">
        <v>43663</v>
      </c>
      <c r="B1828" s="59">
        <v>43185034</v>
      </c>
      <c r="C1828" s="49" t="s">
        <v>4186</v>
      </c>
      <c r="D1828" s="49" t="s">
        <v>51</v>
      </c>
      <c r="E1828" s="49" t="s">
        <v>3250</v>
      </c>
      <c r="F1828" s="76" t="str">
        <f>IFERROR(IF(Tabla1[[#This Row],[CONCEPTO mx]]="","",VLOOKUP(Tabla1[[#This Row],[CONCEPTO mx]],Tabla2[#All],2,0)),"")</f>
        <v>CM12</v>
      </c>
      <c r="G1828" s="76" t="str">
        <f>IFERROR(IF(Tabla1[[#This Row],[CONCEPTO mx]]="","",VLOOKUP(Tabla1[[#This Row],[CONCEPTO mx]],Tabla2[#All],3,0)),"")</f>
        <v>SST</v>
      </c>
      <c r="H1828" s="49" t="s">
        <v>2576</v>
      </c>
      <c r="I1828" s="49" t="s">
        <v>1030</v>
      </c>
      <c r="J1828" s="49" t="s">
        <v>4187</v>
      </c>
    </row>
    <row r="1829" spans="1:12" x14ac:dyDescent="0.25">
      <c r="A1829" s="51">
        <v>43663</v>
      </c>
      <c r="B1829" s="50">
        <v>1063168334</v>
      </c>
      <c r="C1829" s="49" t="s">
        <v>4207</v>
      </c>
      <c r="D1829" s="49" t="s">
        <v>51</v>
      </c>
      <c r="E1829" s="49" t="s">
        <v>3248</v>
      </c>
      <c r="F1829" s="76" t="str">
        <f>IFERROR(IF(Tabla1[[#This Row],[CONCEPTO mx]]="","",VLOOKUP(Tabla1[[#This Row],[CONCEPTO mx]],Tabla2[#All],2,0)),"")</f>
        <v>CM1</v>
      </c>
      <c r="G1829" s="76" t="str">
        <f>IFERROR(IF(Tabla1[[#This Row],[CONCEPTO mx]]="","",VLOOKUP(Tabla1[[#This Row],[CONCEPTO mx]],Tabla2[#All],3,0)),"")</f>
        <v>Gestión Humana</v>
      </c>
      <c r="H1829" s="49" t="s">
        <v>439</v>
      </c>
      <c r="I1829" s="49" t="s">
        <v>2298</v>
      </c>
      <c r="J1829" s="49" t="s">
        <v>4205</v>
      </c>
    </row>
    <row r="1830" spans="1:12" x14ac:dyDescent="0.25">
      <c r="A1830" s="51">
        <v>43663</v>
      </c>
      <c r="B1830" s="50">
        <v>1007451889</v>
      </c>
      <c r="C1830" s="49" t="s">
        <v>4208</v>
      </c>
      <c r="E1830" s="49" t="s">
        <v>2355</v>
      </c>
      <c r="F1830" s="76" t="str">
        <f>IFERROR(IF(Tabla1[[#This Row],[CONCEPTO mx]]="","",VLOOKUP(Tabla1[[#This Row],[CONCEPTO mx]],Tabla2[#All],2,0)),"")</f>
        <v>CM13</v>
      </c>
      <c r="G1830" s="76" t="str">
        <f>IFERROR(IF(Tabla1[[#This Row],[CONCEPTO mx]]="","",VLOOKUP(Tabla1[[#This Row],[CONCEPTO mx]],Tabla2[#All],3,0)),"")</f>
        <v>Gestión Humana</v>
      </c>
      <c r="H1830" s="49" t="s">
        <v>406</v>
      </c>
      <c r="I1830" s="49" t="s">
        <v>2298</v>
      </c>
      <c r="J1830" s="49" t="s">
        <v>4209</v>
      </c>
    </row>
    <row r="1831" spans="1:12" x14ac:dyDescent="0.25">
      <c r="A1831" s="51">
        <v>43663</v>
      </c>
      <c r="B1831" s="50">
        <v>1046531934</v>
      </c>
      <c r="C1831" s="52" t="s">
        <v>4218</v>
      </c>
      <c r="D1831" s="49" t="s">
        <v>51</v>
      </c>
      <c r="E1831" s="49" t="s">
        <v>2635</v>
      </c>
      <c r="F1831" s="76" t="str">
        <f>IFERROR(IF(Tabla1[[#This Row],[CONCEPTO mx]]="","",VLOOKUP(Tabla1[[#This Row],[CONCEPTO mx]],Tabla2[#All],2,0)),"")</f>
        <v>CM21</v>
      </c>
      <c r="G1831" s="76" t="str">
        <f>IFERROR(IF(Tabla1[[#This Row],[CONCEPTO mx]]="","",VLOOKUP(Tabla1[[#This Row],[CONCEPTO mx]],Tabla2[#All],3,0)),"")</f>
        <v>SST</v>
      </c>
      <c r="H1831" s="49" t="s">
        <v>352</v>
      </c>
      <c r="I1831" s="49" t="s">
        <v>2298</v>
      </c>
      <c r="J1831" s="49" t="s">
        <v>4232</v>
      </c>
      <c r="L1831" s="52" t="s">
        <v>4239</v>
      </c>
    </row>
    <row r="1832" spans="1:12" x14ac:dyDescent="0.25">
      <c r="A1832" s="51">
        <v>43663</v>
      </c>
      <c r="B1832" s="50">
        <v>1003191720</v>
      </c>
      <c r="C1832" s="49" t="s">
        <v>4211</v>
      </c>
      <c r="D1832" s="49" t="s">
        <v>51</v>
      </c>
      <c r="E1832" s="49" t="s">
        <v>3248</v>
      </c>
      <c r="F1832" s="76" t="str">
        <f>IFERROR(IF(Tabla1[[#This Row],[CONCEPTO mx]]="","",VLOOKUP(Tabla1[[#This Row],[CONCEPTO mx]],Tabla2[#All],2,0)),"")</f>
        <v>CM1</v>
      </c>
      <c r="G1832" s="76" t="str">
        <f>IFERROR(IF(Tabla1[[#This Row],[CONCEPTO mx]]="","",VLOOKUP(Tabla1[[#This Row],[CONCEPTO mx]],Tabla2[#All],3,0)),"")</f>
        <v>Gestión Humana</v>
      </c>
      <c r="H1832" s="49" t="s">
        <v>470</v>
      </c>
    </row>
    <row r="1833" spans="1:12" x14ac:dyDescent="0.25">
      <c r="A1833" s="51">
        <v>43663</v>
      </c>
      <c r="B1833" s="50">
        <v>82331986</v>
      </c>
      <c r="C1833" s="49" t="s">
        <v>4206</v>
      </c>
      <c r="D1833" s="49" t="s">
        <v>180</v>
      </c>
      <c r="E1833" s="49" t="s">
        <v>3908</v>
      </c>
      <c r="F1833" s="76" t="str">
        <f>IFERROR(IF(Tabla1[[#This Row],[CONCEPTO mx]]="","",VLOOKUP(Tabla1[[#This Row],[CONCEPTO mx]],Tabla2[#All],2,0)),"")</f>
        <v/>
      </c>
      <c r="G1833" s="76" t="str">
        <f>IFERROR(IF(Tabla1[[#This Row],[CONCEPTO mx]]="","",VLOOKUP(Tabla1[[#This Row],[CONCEPTO mx]],Tabla2[#All],3,0)),"")</f>
        <v/>
      </c>
      <c r="H1833" s="49" t="s">
        <v>439</v>
      </c>
      <c r="I1833" s="49" t="s">
        <v>2298</v>
      </c>
      <c r="J1833" s="49" t="s">
        <v>2845</v>
      </c>
    </row>
    <row r="1834" spans="1:12" x14ac:dyDescent="0.25">
      <c r="A1834" s="51">
        <v>43663</v>
      </c>
      <c r="B1834" s="50">
        <v>71618411</v>
      </c>
      <c r="C1834" s="52" t="s">
        <v>4219</v>
      </c>
      <c r="D1834" s="49" t="s">
        <v>51</v>
      </c>
      <c r="E1834" s="49" t="s">
        <v>3250</v>
      </c>
      <c r="F1834" s="76" t="str">
        <f>IFERROR(IF(Tabla1[[#This Row],[CONCEPTO mx]]="","",VLOOKUP(Tabla1[[#This Row],[CONCEPTO mx]],Tabla2[#All],2,0)),"")</f>
        <v>CM12</v>
      </c>
      <c r="G1834" s="76" t="str">
        <f>IFERROR(IF(Tabla1[[#This Row],[CONCEPTO mx]]="","",VLOOKUP(Tabla1[[#This Row],[CONCEPTO mx]],Tabla2[#All],3,0)),"")</f>
        <v>SST</v>
      </c>
      <c r="H1834" s="49" t="s">
        <v>470</v>
      </c>
      <c r="I1834" s="49" t="s">
        <v>3392</v>
      </c>
      <c r="J1834" s="52" t="s">
        <v>2702</v>
      </c>
      <c r="L1834" s="52" t="s">
        <v>4240</v>
      </c>
    </row>
    <row r="1835" spans="1:12" x14ac:dyDescent="0.25">
      <c r="A1835" s="51">
        <v>43663</v>
      </c>
      <c r="B1835" s="50">
        <v>1001031177</v>
      </c>
      <c r="C1835" s="49" t="s">
        <v>4203</v>
      </c>
      <c r="D1835" s="49" t="s">
        <v>51</v>
      </c>
      <c r="E1835" s="49" t="s">
        <v>3249</v>
      </c>
      <c r="F1835" s="76" t="str">
        <f>IFERROR(IF(Tabla1[[#This Row],[CONCEPTO mx]]="","",VLOOKUP(Tabla1[[#This Row],[CONCEPTO mx]],Tabla2[#All],2,0)),"")</f>
        <v>CM3</v>
      </c>
      <c r="G1835" s="76" t="str">
        <f>IFERROR(IF(Tabla1[[#This Row],[CONCEPTO mx]]="","",VLOOKUP(Tabla1[[#This Row],[CONCEPTO mx]],Tabla2[#All],3,0)),"")</f>
        <v>SST</v>
      </c>
      <c r="H1835" s="49" t="s">
        <v>486</v>
      </c>
      <c r="I1835" s="49" t="s">
        <v>2298</v>
      </c>
      <c r="J1835" s="49" t="s">
        <v>4204</v>
      </c>
    </row>
    <row r="1836" spans="1:12" x14ac:dyDescent="0.25">
      <c r="A1836" s="51">
        <v>43663</v>
      </c>
      <c r="B1836" s="50">
        <v>1027952828</v>
      </c>
      <c r="C1836" s="52" t="s">
        <v>4216</v>
      </c>
      <c r="E1836" s="49" t="s">
        <v>2355</v>
      </c>
      <c r="F1836" s="76" t="str">
        <f>IFERROR(IF(Tabla1[[#This Row],[CONCEPTO mx]]="","",VLOOKUP(Tabla1[[#This Row],[CONCEPTO mx]],Tabla2[#All],2,0)),"")</f>
        <v>CM13</v>
      </c>
      <c r="G1836" s="76" t="str">
        <f>IFERROR(IF(Tabla1[[#This Row],[CONCEPTO mx]]="","",VLOOKUP(Tabla1[[#This Row],[CONCEPTO mx]],Tabla2[#All],3,0)),"")</f>
        <v>Gestión Humana</v>
      </c>
      <c r="H1836" s="49" t="s">
        <v>413</v>
      </c>
      <c r="I1836" s="49" t="s">
        <v>1542</v>
      </c>
      <c r="J1836" s="49" t="s">
        <v>4230</v>
      </c>
    </row>
    <row r="1837" spans="1:12" x14ac:dyDescent="0.25">
      <c r="A1837" s="51">
        <v>43663</v>
      </c>
      <c r="B1837" s="50">
        <v>1151434809</v>
      </c>
      <c r="C1837" s="52" t="s">
        <v>4221</v>
      </c>
      <c r="D1837" s="49" t="s">
        <v>51</v>
      </c>
      <c r="E1837" s="54" t="s">
        <v>3315</v>
      </c>
      <c r="F1837" s="76" t="str">
        <f>IFERROR(IF(Tabla1[[#This Row],[CONCEPTO mx]]="","",VLOOKUP(Tabla1[[#This Row],[CONCEPTO mx]],Tabla2[#All],2,0)),"")</f>
        <v>CM40</v>
      </c>
      <c r="G1837" s="76" t="str">
        <f>IFERROR(IF(Tabla1[[#This Row],[CONCEPTO mx]]="","",VLOOKUP(Tabla1[[#This Row],[CONCEPTO mx]],Tabla2[#All],3,0)),"")</f>
        <v>SST</v>
      </c>
      <c r="H1837" s="49" t="s">
        <v>550</v>
      </c>
      <c r="I1837" s="49" t="s">
        <v>2298</v>
      </c>
      <c r="J1837" s="49" t="s">
        <v>2353</v>
      </c>
      <c r="L1837" s="52" t="s">
        <v>4248</v>
      </c>
    </row>
    <row r="1838" spans="1:12" x14ac:dyDescent="0.25">
      <c r="A1838" s="51">
        <v>43663</v>
      </c>
      <c r="B1838" s="94" t="s">
        <v>4190</v>
      </c>
      <c r="C1838" s="49" t="s">
        <v>4191</v>
      </c>
      <c r="D1838" s="49" t="s">
        <v>51</v>
      </c>
      <c r="E1838" s="49" t="s">
        <v>3250</v>
      </c>
      <c r="F1838" s="76" t="str">
        <f>IFERROR(IF(Tabla1[[#This Row],[CONCEPTO mx]]="","",VLOOKUP(Tabla1[[#This Row],[CONCEPTO mx]],Tabla2[#All],2,0)),"")</f>
        <v>CM12</v>
      </c>
      <c r="G1838" s="76" t="str">
        <f>IFERROR(IF(Tabla1[[#This Row],[CONCEPTO mx]]="","",VLOOKUP(Tabla1[[#This Row],[CONCEPTO mx]],Tabla2[#All],3,0)),"")</f>
        <v>SST</v>
      </c>
      <c r="H1838" s="49" t="s">
        <v>2394</v>
      </c>
      <c r="I1838" s="59" t="s">
        <v>3392</v>
      </c>
      <c r="J1838" s="49" t="s">
        <v>2330</v>
      </c>
      <c r="L1838" s="49" t="s">
        <v>4193</v>
      </c>
    </row>
    <row r="1839" spans="1:12" x14ac:dyDescent="0.25">
      <c r="A1839" s="51">
        <v>43663</v>
      </c>
      <c r="B1839" s="50">
        <v>43602631</v>
      </c>
      <c r="C1839" s="52" t="s">
        <v>4075</v>
      </c>
      <c r="D1839" s="49" t="s">
        <v>51</v>
      </c>
      <c r="E1839" s="49" t="s">
        <v>3315</v>
      </c>
      <c r="F1839" s="76" t="str">
        <f>IFERROR(IF(Tabla1[[#This Row],[CONCEPTO mx]]="","",VLOOKUP(Tabla1[[#This Row],[CONCEPTO mx]],Tabla2[#All],2,0)),"")</f>
        <v>CM40</v>
      </c>
      <c r="G1839" s="76" t="str">
        <f>IFERROR(IF(Tabla1[[#This Row],[CONCEPTO mx]]="","",VLOOKUP(Tabla1[[#This Row],[CONCEPTO mx]],Tabla2[#All],3,0)),"")</f>
        <v>SST</v>
      </c>
      <c r="H1839" s="49" t="s">
        <v>438</v>
      </c>
      <c r="I1839" s="49" t="s">
        <v>3392</v>
      </c>
      <c r="J1839" s="49" t="s">
        <v>4234</v>
      </c>
      <c r="L1839" s="52" t="s">
        <v>4246</v>
      </c>
    </row>
    <row r="1840" spans="1:12" x14ac:dyDescent="0.25">
      <c r="A1840" s="51">
        <v>43663</v>
      </c>
      <c r="B1840" s="50">
        <v>106901246</v>
      </c>
      <c r="C1840" s="52" t="s">
        <v>4220</v>
      </c>
      <c r="D1840" s="49" t="s">
        <v>180</v>
      </c>
      <c r="E1840" s="49" t="s">
        <v>3187</v>
      </c>
      <c r="F1840" s="76" t="str">
        <f>IFERROR(IF(Tabla1[[#This Row],[CONCEPTO mx]]="","",VLOOKUP(Tabla1[[#This Row],[CONCEPTO mx]],Tabla2[#All],2,0)),"")</f>
        <v>CM8</v>
      </c>
      <c r="G1840" s="76" t="str">
        <f>IFERROR(IF(Tabla1[[#This Row],[CONCEPTO mx]]="","",VLOOKUP(Tabla1[[#This Row],[CONCEPTO mx]],Tabla2[#All],3,0)),"")</f>
        <v>Gestión Humana</v>
      </c>
      <c r="H1840" s="49" t="s">
        <v>413</v>
      </c>
      <c r="I1840" s="49" t="s">
        <v>2298</v>
      </c>
      <c r="J1840" s="49" t="s">
        <v>4233</v>
      </c>
      <c r="L1840" s="52" t="s">
        <v>4241</v>
      </c>
    </row>
    <row r="1841" spans="1:12" x14ac:dyDescent="0.25">
      <c r="A1841" s="51">
        <v>43663</v>
      </c>
      <c r="B1841" s="50">
        <v>1028016415</v>
      </c>
      <c r="C1841" s="52" t="s">
        <v>4223</v>
      </c>
      <c r="D1841" s="49" t="s">
        <v>180</v>
      </c>
      <c r="E1841" s="54" t="s">
        <v>3198</v>
      </c>
      <c r="F1841" s="76" t="str">
        <f>IFERROR(IF(Tabla1[[#This Row],[CONCEPTO mx]]="","",VLOOKUP(Tabla1[[#This Row],[CONCEPTO mx]],Tabla2[#All],2,0)),"")</f>
        <v>CM6</v>
      </c>
      <c r="G1841" s="76" t="str">
        <f>IFERROR(IF(Tabla1[[#This Row],[CONCEPTO mx]]="","",VLOOKUP(Tabla1[[#This Row],[CONCEPTO mx]],Tabla2[#All],3,0)),"")</f>
        <v>SST</v>
      </c>
      <c r="H1841" s="49" t="s">
        <v>413</v>
      </c>
      <c r="I1841" s="49" t="s">
        <v>2298</v>
      </c>
      <c r="J1841" s="49" t="s">
        <v>4229</v>
      </c>
      <c r="L1841" s="49" t="s">
        <v>4249</v>
      </c>
    </row>
    <row r="1842" spans="1:12" x14ac:dyDescent="0.25">
      <c r="A1842" s="51">
        <v>43663</v>
      </c>
      <c r="B1842" s="50">
        <v>1038802094</v>
      </c>
      <c r="C1842" s="52" t="s">
        <v>4222</v>
      </c>
      <c r="D1842" s="49" t="s">
        <v>51</v>
      </c>
      <c r="E1842" s="49" t="s">
        <v>3248</v>
      </c>
      <c r="F1842" s="76" t="str">
        <f>IFERROR(IF(Tabla1[[#This Row],[CONCEPTO mx]]="","",VLOOKUP(Tabla1[[#This Row],[CONCEPTO mx]],Tabla2[#All],2,0)),"")</f>
        <v>CM1</v>
      </c>
      <c r="G1842" s="76" t="str">
        <f>IFERROR(IF(Tabla1[[#This Row],[CONCEPTO mx]]="","",VLOOKUP(Tabla1[[#This Row],[CONCEPTO mx]],Tabla2[#All],3,0)),"")</f>
        <v>Gestión Humana</v>
      </c>
      <c r="H1842" s="49" t="s">
        <v>438</v>
      </c>
      <c r="I1842" s="49" t="s">
        <v>2298</v>
      </c>
      <c r="J1842" s="49" t="s">
        <v>4230</v>
      </c>
    </row>
    <row r="1843" spans="1:12" x14ac:dyDescent="0.25">
      <c r="A1843" s="51">
        <v>43663</v>
      </c>
      <c r="B1843" s="50">
        <v>1007446448</v>
      </c>
      <c r="C1843" s="49" t="s">
        <v>4201</v>
      </c>
      <c r="D1843" s="49" t="s">
        <v>51</v>
      </c>
      <c r="E1843" s="49" t="s">
        <v>3315</v>
      </c>
      <c r="F1843" s="76" t="str">
        <f>IFERROR(IF(Tabla1[[#This Row],[CONCEPTO mx]]="","",VLOOKUP(Tabla1[[#This Row],[CONCEPTO mx]],Tabla2[#All],2,0)),"")</f>
        <v>CM40</v>
      </c>
      <c r="G1843" s="76" t="str">
        <f>IFERROR(IF(Tabla1[[#This Row],[CONCEPTO mx]]="","",VLOOKUP(Tabla1[[#This Row],[CONCEPTO mx]],Tabla2[#All],3,0)),"")</f>
        <v>SST</v>
      </c>
      <c r="H1843" s="49" t="s">
        <v>2391</v>
      </c>
      <c r="I1843" s="49" t="s">
        <v>2298</v>
      </c>
      <c r="J1843" s="49" t="s">
        <v>2412</v>
      </c>
      <c r="L1843" s="95" t="s">
        <v>4212</v>
      </c>
    </row>
    <row r="1844" spans="1:12" x14ac:dyDescent="0.25">
      <c r="A1844" s="51">
        <v>43663</v>
      </c>
      <c r="B1844" s="50">
        <v>1028011886</v>
      </c>
      <c r="C1844" s="49" t="s">
        <v>4199</v>
      </c>
      <c r="D1844" s="49" t="s">
        <v>51</v>
      </c>
      <c r="E1844" s="54" t="s">
        <v>3198</v>
      </c>
      <c r="F1844" s="76" t="str">
        <f>IFERROR(IF(Tabla1[[#This Row],[CONCEPTO mx]]="","",VLOOKUP(Tabla1[[#This Row],[CONCEPTO mx]],Tabla2[#All],2,0)),"")</f>
        <v>CM6</v>
      </c>
      <c r="G1844" s="76" t="str">
        <f>IFERROR(IF(Tabla1[[#This Row],[CONCEPTO mx]]="","",VLOOKUP(Tabla1[[#This Row],[CONCEPTO mx]],Tabla2[#All],3,0)),"")</f>
        <v>SST</v>
      </c>
      <c r="H1844" s="49" t="s">
        <v>343</v>
      </c>
      <c r="I1844" s="49" t="s">
        <v>2298</v>
      </c>
      <c r="J1844" s="49" t="s">
        <v>4200</v>
      </c>
    </row>
    <row r="1845" spans="1:12" x14ac:dyDescent="0.25">
      <c r="A1845" s="51">
        <v>43663</v>
      </c>
      <c r="B1845" s="50">
        <v>8436400</v>
      </c>
      <c r="C1845" s="52" t="s">
        <v>4224</v>
      </c>
      <c r="D1845" s="49" t="s">
        <v>180</v>
      </c>
      <c r="E1845" s="49" t="s">
        <v>3187</v>
      </c>
      <c r="F1845" s="76" t="str">
        <f>IFERROR(IF(Tabla1[[#This Row],[CONCEPTO mx]]="","",VLOOKUP(Tabla1[[#This Row],[CONCEPTO mx]],Tabla2[#All],2,0)),"")</f>
        <v>CM8</v>
      </c>
      <c r="G1845" s="76" t="str">
        <f>IFERROR(IF(Tabla1[[#This Row],[CONCEPTO mx]]="","",VLOOKUP(Tabla1[[#This Row],[CONCEPTO mx]],Tabla2[#All],3,0)),"")</f>
        <v>Gestión Humana</v>
      </c>
      <c r="H1845" s="49" t="s">
        <v>413</v>
      </c>
      <c r="I1845" s="49" t="s">
        <v>2298</v>
      </c>
      <c r="J1845" s="49" t="s">
        <v>4229</v>
      </c>
      <c r="L1845" s="52" t="s">
        <v>4242</v>
      </c>
    </row>
    <row r="1846" spans="1:12" x14ac:dyDescent="0.25">
      <c r="A1846" s="51">
        <v>43663</v>
      </c>
      <c r="B1846" s="50">
        <v>1028007048</v>
      </c>
      <c r="C1846" s="52" t="s">
        <v>4225</v>
      </c>
      <c r="D1846" s="49" t="s">
        <v>180</v>
      </c>
      <c r="E1846" s="49" t="s">
        <v>3185</v>
      </c>
      <c r="F1846" s="76" t="str">
        <f>IFERROR(IF(Tabla1[[#This Row],[CONCEPTO mx]]="","",VLOOKUP(Tabla1[[#This Row],[CONCEPTO mx]],Tabla2[#All],2,0)),"")</f>
        <v>CM5</v>
      </c>
      <c r="G1846" s="76" t="str">
        <f>IFERROR(IF(Tabla1[[#This Row],[CONCEPTO mx]]="","",VLOOKUP(Tabla1[[#This Row],[CONCEPTO mx]],Tabla2[#All],3,0)),"")</f>
        <v>SST</v>
      </c>
      <c r="H1846" s="49" t="s">
        <v>439</v>
      </c>
      <c r="I1846" s="49" t="s">
        <v>2298</v>
      </c>
      <c r="J1846" s="49" t="s">
        <v>4230</v>
      </c>
      <c r="L1846" s="52" t="s">
        <v>4243</v>
      </c>
    </row>
    <row r="1847" spans="1:12" x14ac:dyDescent="0.25">
      <c r="A1847" s="51">
        <v>43663</v>
      </c>
      <c r="B1847" s="50">
        <v>71383494</v>
      </c>
      <c r="C1847" s="52" t="s">
        <v>4114</v>
      </c>
      <c r="D1847" s="49" t="s">
        <v>51</v>
      </c>
      <c r="E1847" s="54" t="s">
        <v>3315</v>
      </c>
      <c r="F1847" s="76" t="str">
        <f>IFERROR(IF(Tabla1[[#This Row],[CONCEPTO mx]]="","",VLOOKUP(Tabla1[[#This Row],[CONCEPTO mx]],Tabla2[#All],2,0)),"")</f>
        <v>CM40</v>
      </c>
      <c r="G1847" s="76" t="str">
        <f>IFERROR(IF(Tabla1[[#This Row],[CONCEPTO mx]]="","",VLOOKUP(Tabla1[[#This Row],[CONCEPTO mx]],Tabla2[#All],3,0)),"")</f>
        <v>SST</v>
      </c>
      <c r="H1847" s="49" t="s">
        <v>438</v>
      </c>
      <c r="I1847" s="49" t="s">
        <v>2298</v>
      </c>
      <c r="J1847" s="49" t="s">
        <v>4235</v>
      </c>
      <c r="L1847" s="49" t="s">
        <v>4245</v>
      </c>
    </row>
    <row r="1848" spans="1:12" x14ac:dyDescent="0.25">
      <c r="A1848" s="51">
        <v>43663</v>
      </c>
      <c r="B1848" s="50">
        <v>1028005654</v>
      </c>
      <c r="C1848" s="52" t="s">
        <v>4226</v>
      </c>
      <c r="D1848" s="49" t="s">
        <v>51</v>
      </c>
      <c r="E1848" s="49" t="s">
        <v>3250</v>
      </c>
      <c r="F1848" s="76" t="str">
        <f>IFERROR(IF(Tabla1[[#This Row],[CONCEPTO mx]]="","",VLOOKUP(Tabla1[[#This Row],[CONCEPTO mx]],Tabla2[#All],2,0)),"")</f>
        <v>CM12</v>
      </c>
      <c r="G1848" s="76" t="str">
        <f>IFERROR(IF(Tabla1[[#This Row],[CONCEPTO mx]]="","",VLOOKUP(Tabla1[[#This Row],[CONCEPTO mx]],Tabla2[#All],3,0)),"")</f>
        <v>SST</v>
      </c>
      <c r="H1848" s="49" t="s">
        <v>2391</v>
      </c>
      <c r="I1848" s="49" t="s">
        <v>2512</v>
      </c>
      <c r="J1848" s="49" t="s">
        <v>4236</v>
      </c>
      <c r="L1848" s="52" t="s">
        <v>2597</v>
      </c>
    </row>
    <row r="1849" spans="1:12" x14ac:dyDescent="0.25">
      <c r="A1849" s="51">
        <v>43665</v>
      </c>
      <c r="B1849" s="59">
        <v>71256348</v>
      </c>
      <c r="C1849" s="59" t="s">
        <v>4259</v>
      </c>
      <c r="D1849" s="49" t="s">
        <v>51</v>
      </c>
      <c r="E1849" s="49" t="s">
        <v>3315</v>
      </c>
      <c r="F1849" s="76" t="str">
        <f>IFERROR(IF(Tabla1[[#This Row],[CONCEPTO mx]]="","",VLOOKUP(Tabla1[[#This Row],[CONCEPTO mx]],Tabla2[#All],2,0)),"")</f>
        <v>CM40</v>
      </c>
      <c r="G1849" s="76" t="str">
        <f>IFERROR(IF(Tabla1[[#This Row],[CONCEPTO mx]]="","",VLOOKUP(Tabla1[[#This Row],[CONCEPTO mx]],Tabla2[#All],3,0)),"")</f>
        <v>SST</v>
      </c>
      <c r="H1849" s="49" t="s">
        <v>470</v>
      </c>
      <c r="I1849" s="49" t="s">
        <v>2298</v>
      </c>
      <c r="J1849" s="49" t="s">
        <v>2794</v>
      </c>
      <c r="L1849" s="59" t="s">
        <v>3699</v>
      </c>
    </row>
    <row r="1850" spans="1:12" x14ac:dyDescent="0.25">
      <c r="A1850" s="51">
        <v>43665</v>
      </c>
      <c r="B1850" s="59">
        <v>1028011744</v>
      </c>
      <c r="C1850" s="59" t="s">
        <v>4257</v>
      </c>
      <c r="D1850" s="49" t="s">
        <v>51</v>
      </c>
      <c r="E1850" s="49" t="s">
        <v>3315</v>
      </c>
      <c r="F1850" s="76" t="str">
        <f>IFERROR(IF(Tabla1[[#This Row],[CONCEPTO mx]]="","",VLOOKUP(Tabla1[[#This Row],[CONCEPTO mx]],Tabla2[#All],2,0)),"")</f>
        <v>CM40</v>
      </c>
      <c r="G1850" s="76" t="str">
        <f>IFERROR(IF(Tabla1[[#This Row],[CONCEPTO mx]]="","",VLOOKUP(Tabla1[[#This Row],[CONCEPTO mx]],Tabla2[#All],3,0)),"")</f>
        <v>SST</v>
      </c>
      <c r="H1850" s="49" t="s">
        <v>528</v>
      </c>
      <c r="I1850" s="49" t="s">
        <v>2298</v>
      </c>
      <c r="J1850" s="49" t="s">
        <v>2539</v>
      </c>
      <c r="L1850" s="59" t="s">
        <v>4258</v>
      </c>
    </row>
    <row r="1851" spans="1:12" x14ac:dyDescent="0.25">
      <c r="A1851" s="51">
        <v>43665</v>
      </c>
      <c r="B1851" s="59">
        <v>1040379547</v>
      </c>
      <c r="C1851" s="59" t="s">
        <v>4255</v>
      </c>
      <c r="D1851" s="49" t="s">
        <v>51</v>
      </c>
      <c r="E1851" s="49" t="s">
        <v>3248</v>
      </c>
      <c r="F1851" s="76" t="str">
        <f>IFERROR(IF(Tabla1[[#This Row],[CONCEPTO mx]]="","",VLOOKUP(Tabla1[[#This Row],[CONCEPTO mx]],Tabla2[#All],2,0)),"")</f>
        <v>CM1</v>
      </c>
      <c r="G1851" s="76" t="str">
        <f>IFERROR(IF(Tabla1[[#This Row],[CONCEPTO mx]]="","",VLOOKUP(Tabla1[[#This Row],[CONCEPTO mx]],Tabla2[#All],3,0)),"")</f>
        <v>Gestión Humana</v>
      </c>
      <c r="H1851" s="49" t="s">
        <v>388</v>
      </c>
      <c r="I1851" s="49" t="s">
        <v>2298</v>
      </c>
      <c r="J1851" s="49" t="s">
        <v>4231</v>
      </c>
    </row>
    <row r="1852" spans="1:12" x14ac:dyDescent="0.25">
      <c r="A1852" s="51">
        <v>43665</v>
      </c>
      <c r="B1852" s="59">
        <v>1027950100</v>
      </c>
      <c r="C1852" s="59" t="s">
        <v>4256</v>
      </c>
      <c r="D1852" s="49" t="s">
        <v>51</v>
      </c>
      <c r="E1852" s="49" t="s">
        <v>3248</v>
      </c>
      <c r="F1852" s="76" t="str">
        <f>IFERROR(IF(Tabla1[[#This Row],[CONCEPTO mx]]="","",VLOOKUP(Tabla1[[#This Row],[CONCEPTO mx]],Tabla2[#All],2,0)),"")</f>
        <v>CM1</v>
      </c>
      <c r="G1852" s="76" t="str">
        <f>IFERROR(IF(Tabla1[[#This Row],[CONCEPTO mx]]="","",VLOOKUP(Tabla1[[#This Row],[CONCEPTO mx]],Tabla2[#All],3,0)),"")</f>
        <v>Gestión Humana</v>
      </c>
      <c r="H1852" s="49" t="s">
        <v>352</v>
      </c>
      <c r="I1852" s="49" t="s">
        <v>2298</v>
      </c>
      <c r="J1852" s="49" t="s">
        <v>4230</v>
      </c>
    </row>
    <row r="1853" spans="1:12" x14ac:dyDescent="0.25">
      <c r="A1853" s="51">
        <v>43665</v>
      </c>
      <c r="B1853" s="59">
        <v>1028026495</v>
      </c>
      <c r="C1853" s="59" t="s">
        <v>4253</v>
      </c>
      <c r="D1853" s="49" t="s">
        <v>180</v>
      </c>
      <c r="E1853" s="49" t="s">
        <v>3185</v>
      </c>
      <c r="F1853" s="76" t="str">
        <f>IFERROR(IF(Tabla1[[#This Row],[CONCEPTO mx]]="","",VLOOKUP(Tabla1[[#This Row],[CONCEPTO mx]],Tabla2[#All],2,0)),"")</f>
        <v>CM5</v>
      </c>
      <c r="G1853" s="76" t="str">
        <f>IFERROR(IF(Tabla1[[#This Row],[CONCEPTO mx]]="","",VLOOKUP(Tabla1[[#This Row],[CONCEPTO mx]],Tabla2[#All],3,0)),"")</f>
        <v>SST</v>
      </c>
      <c r="H1853" s="49" t="s">
        <v>406</v>
      </c>
      <c r="I1853" s="49" t="s">
        <v>2298</v>
      </c>
      <c r="J1853" s="49" t="s">
        <v>2353</v>
      </c>
      <c r="L1853" s="59" t="s">
        <v>4254</v>
      </c>
    </row>
    <row r="1854" spans="1:12" x14ac:dyDescent="0.25">
      <c r="A1854" s="51">
        <v>43665</v>
      </c>
      <c r="B1854" s="59">
        <v>98686711</v>
      </c>
      <c r="C1854" s="59" t="s">
        <v>4250</v>
      </c>
      <c r="D1854" s="49" t="s">
        <v>51</v>
      </c>
      <c r="E1854" s="49" t="s">
        <v>3197</v>
      </c>
      <c r="F1854" s="76" t="str">
        <f>IFERROR(IF(Tabla1[[#This Row],[CONCEPTO mx]]="","",VLOOKUP(Tabla1[[#This Row],[CONCEPTO mx]],Tabla2[#All],2,0)),"")</f>
        <v>CM14</v>
      </c>
      <c r="G1854" s="76" t="str">
        <f>IFERROR(IF(Tabla1[[#This Row],[CONCEPTO mx]]="","",VLOOKUP(Tabla1[[#This Row],[CONCEPTO mx]],Tabla2[#All],3,0)),"")</f>
        <v>SST</v>
      </c>
      <c r="H1854" s="49" t="s">
        <v>438</v>
      </c>
      <c r="I1854" s="49" t="s">
        <v>2298</v>
      </c>
      <c r="J1854" s="49" t="s">
        <v>4251</v>
      </c>
      <c r="L1854" s="59" t="s">
        <v>4252</v>
      </c>
    </row>
    <row r="1855" spans="1:12" x14ac:dyDescent="0.25">
      <c r="A1855" s="51">
        <v>43668</v>
      </c>
      <c r="B1855" s="59">
        <v>1027952828</v>
      </c>
      <c r="C1855" s="59" t="s">
        <v>4216</v>
      </c>
      <c r="D1855" s="49" t="s">
        <v>51</v>
      </c>
      <c r="E1855" s="49" t="s">
        <v>3249</v>
      </c>
      <c r="F1855" s="76" t="str">
        <f>IFERROR(IF(Tabla1[[#This Row],[CONCEPTO mx]]="","",VLOOKUP(Tabla1[[#This Row],[CONCEPTO mx]],Tabla2[#All],2,0)),"")</f>
        <v>CM3</v>
      </c>
      <c r="G1855" s="76" t="str">
        <f>IFERROR(IF(Tabla1[[#This Row],[CONCEPTO mx]]="","",VLOOKUP(Tabla1[[#This Row],[CONCEPTO mx]],Tabla2[#All],3,0)),"")</f>
        <v>SST</v>
      </c>
      <c r="H1855" s="49" t="s">
        <v>413</v>
      </c>
      <c r="I1855" s="49" t="s">
        <v>2298</v>
      </c>
      <c r="J1855" s="49" t="s">
        <v>4230</v>
      </c>
    </row>
    <row r="1856" spans="1:12" x14ac:dyDescent="0.25">
      <c r="A1856" s="51">
        <v>43668</v>
      </c>
      <c r="B1856" s="50">
        <v>1001031179</v>
      </c>
      <c r="C1856" s="49" t="s">
        <v>4202</v>
      </c>
      <c r="D1856" s="49" t="s">
        <v>51</v>
      </c>
      <c r="E1856" s="49" t="s">
        <v>3249</v>
      </c>
      <c r="F1856" s="76" t="str">
        <f>IFERROR(IF(Tabla1[[#This Row],[CONCEPTO mx]]="","",VLOOKUP(Tabla1[[#This Row],[CONCEPTO mx]],Tabla2[#All],2,0)),"")</f>
        <v>CM3</v>
      </c>
      <c r="G1856" s="76" t="str">
        <f>IFERROR(IF(Tabla1[[#This Row],[CONCEPTO mx]]="","",VLOOKUP(Tabla1[[#This Row],[CONCEPTO mx]],Tabla2[#All],3,0)),"")</f>
        <v>SST</v>
      </c>
      <c r="H1856" s="49" t="s">
        <v>438</v>
      </c>
      <c r="I1856" s="49" t="s">
        <v>2298</v>
      </c>
      <c r="J1856" s="49" t="s">
        <v>2302</v>
      </c>
      <c r="K1856" s="51">
        <v>43663</v>
      </c>
    </row>
    <row r="1857" spans="1:12" x14ac:dyDescent="0.25">
      <c r="A1857" s="51">
        <v>43668</v>
      </c>
      <c r="B1857" s="59">
        <v>1038816021</v>
      </c>
      <c r="C1857" s="59" t="s">
        <v>4260</v>
      </c>
      <c r="E1857" s="49" t="s">
        <v>2355</v>
      </c>
      <c r="F1857" s="76" t="str">
        <f>IFERROR(IF(Tabla1[[#This Row],[CONCEPTO mx]]="","",VLOOKUP(Tabla1[[#This Row],[CONCEPTO mx]],Tabla2[#All],2,0)),"")</f>
        <v>CM13</v>
      </c>
      <c r="G1857" s="76" t="str">
        <f>IFERROR(IF(Tabla1[[#This Row],[CONCEPTO mx]]="","",VLOOKUP(Tabla1[[#This Row],[CONCEPTO mx]],Tabla2[#All],3,0)),"")</f>
        <v>Gestión Humana</v>
      </c>
      <c r="H1857" s="49" t="s">
        <v>406</v>
      </c>
      <c r="I1857" s="49" t="s">
        <v>2512</v>
      </c>
      <c r="J1857" s="49" t="s">
        <v>4261</v>
      </c>
    </row>
    <row r="1858" spans="1:12" x14ac:dyDescent="0.25">
      <c r="A1858" s="51">
        <v>43668</v>
      </c>
      <c r="B1858" s="59">
        <v>1040365069</v>
      </c>
      <c r="C1858" s="59" t="s">
        <v>4264</v>
      </c>
      <c r="D1858" s="49" t="s">
        <v>51</v>
      </c>
      <c r="E1858" s="49" t="s">
        <v>3248</v>
      </c>
      <c r="F1858" s="76" t="str">
        <f>IFERROR(IF(Tabla1[[#This Row],[CONCEPTO mx]]="","",VLOOKUP(Tabla1[[#This Row],[CONCEPTO mx]],Tabla2[#All],2,0)),"")</f>
        <v>CM1</v>
      </c>
      <c r="G1858" s="76" t="str">
        <f>IFERROR(IF(Tabla1[[#This Row],[CONCEPTO mx]]="","",VLOOKUP(Tabla1[[#This Row],[CONCEPTO mx]],Tabla2[#All],3,0)),"")</f>
        <v>Gestión Humana</v>
      </c>
      <c r="H1858" s="49" t="s">
        <v>3731</v>
      </c>
      <c r="I1858" s="49" t="s">
        <v>2298</v>
      </c>
      <c r="J1858" s="49" t="s">
        <v>3396</v>
      </c>
    </row>
    <row r="1859" spans="1:12" x14ac:dyDescent="0.25">
      <c r="A1859" s="51">
        <v>43668</v>
      </c>
      <c r="B1859" s="59">
        <v>1038802094</v>
      </c>
      <c r="C1859" s="59" t="s">
        <v>4265</v>
      </c>
      <c r="D1859" s="49" t="s">
        <v>51</v>
      </c>
      <c r="E1859" s="49" t="s">
        <v>3248</v>
      </c>
      <c r="F1859" s="76" t="str">
        <f>IFERROR(IF(Tabla1[[#This Row],[CONCEPTO mx]]="","",VLOOKUP(Tabla1[[#This Row],[CONCEPTO mx]],Tabla2[#All],2,0)),"")</f>
        <v>CM1</v>
      </c>
      <c r="G1859" s="76" t="str">
        <f>IFERROR(IF(Tabla1[[#This Row],[CONCEPTO mx]]="","",VLOOKUP(Tabla1[[#This Row],[CONCEPTO mx]],Tabla2[#All],3,0)),"")</f>
        <v>Gestión Humana</v>
      </c>
      <c r="H1859" s="49" t="s">
        <v>438</v>
      </c>
      <c r="I1859" s="49" t="s">
        <v>2298</v>
      </c>
      <c r="J1859" s="49" t="s">
        <v>2302</v>
      </c>
    </row>
    <row r="1860" spans="1:12" x14ac:dyDescent="0.25">
      <c r="A1860" s="51">
        <v>43668</v>
      </c>
      <c r="B1860" s="59">
        <v>1063168334</v>
      </c>
      <c r="C1860" s="59" t="s">
        <v>4266</v>
      </c>
      <c r="D1860" s="49" t="s">
        <v>51</v>
      </c>
      <c r="E1860" s="49" t="s">
        <v>3248</v>
      </c>
      <c r="F1860" s="76" t="str">
        <f>IFERROR(IF(Tabla1[[#This Row],[CONCEPTO mx]]="","",VLOOKUP(Tabla1[[#This Row],[CONCEPTO mx]],Tabla2[#All],2,0)),"")</f>
        <v>CM1</v>
      </c>
      <c r="G1860" s="76" t="str">
        <f>IFERROR(IF(Tabla1[[#This Row],[CONCEPTO mx]]="","",VLOOKUP(Tabla1[[#This Row],[CONCEPTO mx]],Tabla2[#All],3,0)),"")</f>
        <v>Gestión Humana</v>
      </c>
      <c r="H1860" s="49" t="s">
        <v>439</v>
      </c>
      <c r="I1860" s="49" t="s">
        <v>2298</v>
      </c>
      <c r="J1860" s="49" t="s">
        <v>3396</v>
      </c>
    </row>
    <row r="1861" spans="1:12" x14ac:dyDescent="0.25">
      <c r="A1861" s="51">
        <v>43669</v>
      </c>
      <c r="B1861" s="59">
        <v>1039100343</v>
      </c>
      <c r="C1861" s="59" t="s">
        <v>4267</v>
      </c>
      <c r="D1861" s="49" t="s">
        <v>51</v>
      </c>
      <c r="E1861" s="49" t="s">
        <v>3248</v>
      </c>
      <c r="F1861" s="76" t="str">
        <f>IFERROR(IF(Tabla1[[#This Row],[CONCEPTO mx]]="","",VLOOKUP(Tabla1[[#This Row],[CONCEPTO mx]],Tabla2[#All],2,0)),"")</f>
        <v>CM1</v>
      </c>
      <c r="G1861" s="76" t="str">
        <f>IFERROR(IF(Tabla1[[#This Row],[CONCEPTO mx]]="","",VLOOKUP(Tabla1[[#This Row],[CONCEPTO mx]],Tabla2[#All],3,0)),"")</f>
        <v>Gestión Humana</v>
      </c>
      <c r="H1861" s="49" t="s">
        <v>628</v>
      </c>
      <c r="I1861" s="49" t="s">
        <v>2298</v>
      </c>
      <c r="J1861" s="49" t="s">
        <v>4228</v>
      </c>
    </row>
    <row r="1862" spans="1:12" x14ac:dyDescent="0.25">
      <c r="A1862" s="51">
        <v>43669</v>
      </c>
      <c r="B1862" s="59">
        <v>1216727710</v>
      </c>
      <c r="C1862" s="59" t="s">
        <v>4268</v>
      </c>
      <c r="D1862" s="49" t="s">
        <v>51</v>
      </c>
      <c r="E1862" s="49" t="s">
        <v>3248</v>
      </c>
      <c r="F1862" s="76" t="str">
        <f>IFERROR(IF(Tabla1[[#This Row],[CONCEPTO mx]]="","",VLOOKUP(Tabla1[[#This Row],[CONCEPTO mx]],Tabla2[#All],2,0)),"")</f>
        <v>CM1</v>
      </c>
      <c r="G1862" s="76" t="str">
        <f>IFERROR(IF(Tabla1[[#This Row],[CONCEPTO mx]]="","",VLOOKUP(Tabla1[[#This Row],[CONCEPTO mx]],Tabla2[#All],3,0)),"")</f>
        <v>Gestión Humana</v>
      </c>
      <c r="H1862" s="49" t="s">
        <v>441</v>
      </c>
      <c r="I1862" s="49" t="s">
        <v>2298</v>
      </c>
      <c r="J1862" s="49" t="s">
        <v>4269</v>
      </c>
    </row>
    <row r="1863" spans="1:12" x14ac:dyDescent="0.25">
      <c r="A1863" s="51">
        <v>43669</v>
      </c>
      <c r="B1863" s="59">
        <v>1193539416</v>
      </c>
      <c r="C1863" s="59" t="s">
        <v>4270</v>
      </c>
      <c r="D1863" s="49" t="s">
        <v>180</v>
      </c>
      <c r="E1863" s="49" t="s">
        <v>3187</v>
      </c>
      <c r="F1863" s="76" t="str">
        <f>IFERROR(IF(Tabla1[[#This Row],[CONCEPTO mx]]="","",VLOOKUP(Tabla1[[#This Row],[CONCEPTO mx]],Tabla2[#All],2,0)),"")</f>
        <v>CM8</v>
      </c>
      <c r="G1863" s="76" t="str">
        <f>IFERROR(IF(Tabla1[[#This Row],[CONCEPTO mx]]="","",VLOOKUP(Tabla1[[#This Row],[CONCEPTO mx]],Tabla2[#All],3,0)),"")</f>
        <v>Gestión Humana</v>
      </c>
      <c r="H1863" s="49" t="s">
        <v>439</v>
      </c>
      <c r="I1863" s="49" t="s">
        <v>2298</v>
      </c>
      <c r="J1863" s="49" t="s">
        <v>3411</v>
      </c>
      <c r="L1863" s="59" t="s">
        <v>4271</v>
      </c>
    </row>
    <row r="1864" spans="1:12" x14ac:dyDescent="0.25">
      <c r="A1864" s="51">
        <v>43669</v>
      </c>
      <c r="B1864" s="59">
        <v>1003079025</v>
      </c>
      <c r="C1864" s="59" t="s">
        <v>4272</v>
      </c>
      <c r="D1864" s="49" t="s">
        <v>180</v>
      </c>
      <c r="E1864" s="49" t="s">
        <v>4274</v>
      </c>
      <c r="F1864" s="76" t="str">
        <f>IFERROR(IF(Tabla1[[#This Row],[CONCEPTO mx]]="","",VLOOKUP(Tabla1[[#This Row],[CONCEPTO mx]],Tabla2[#All],2,0)),"")</f>
        <v>CM17</v>
      </c>
      <c r="G1864" s="76" t="str">
        <f>IFERROR(IF(Tabla1[[#This Row],[CONCEPTO mx]]="","",VLOOKUP(Tabla1[[#This Row],[CONCEPTO mx]],Tabla2[#All],3,0)),"")</f>
        <v>SST</v>
      </c>
      <c r="H1864" s="49" t="s">
        <v>550</v>
      </c>
      <c r="I1864" s="49" t="s">
        <v>2298</v>
      </c>
      <c r="J1864" s="49" t="s">
        <v>2409</v>
      </c>
      <c r="L1864" s="59" t="s">
        <v>4273</v>
      </c>
    </row>
    <row r="1865" spans="1:12" x14ac:dyDescent="0.25">
      <c r="A1865" s="51">
        <v>43669</v>
      </c>
      <c r="B1865" s="59">
        <v>1003733491</v>
      </c>
      <c r="C1865" s="59" t="s">
        <v>4275</v>
      </c>
      <c r="D1865" s="49" t="s">
        <v>51</v>
      </c>
      <c r="E1865" s="49" t="s">
        <v>3249</v>
      </c>
      <c r="F1865" s="76" t="str">
        <f>IFERROR(IF(Tabla1[[#This Row],[CONCEPTO mx]]="","",VLOOKUP(Tabla1[[#This Row],[CONCEPTO mx]],Tabla2[#All],2,0)),"")</f>
        <v>CM3</v>
      </c>
      <c r="G1865" s="76" t="str">
        <f>IFERROR(IF(Tabla1[[#This Row],[CONCEPTO mx]]="","",VLOOKUP(Tabla1[[#This Row],[CONCEPTO mx]],Tabla2[#All],3,0)),"")</f>
        <v>SST</v>
      </c>
      <c r="H1865" s="49" t="s">
        <v>438</v>
      </c>
      <c r="I1865" s="49" t="s">
        <v>2298</v>
      </c>
      <c r="J1865" s="49" t="s">
        <v>2353</v>
      </c>
    </row>
    <row r="1866" spans="1:12" x14ac:dyDescent="0.25">
      <c r="A1866" s="51">
        <v>43669</v>
      </c>
      <c r="B1866" s="59">
        <v>1028005259</v>
      </c>
      <c r="C1866" s="59" t="s">
        <v>4276</v>
      </c>
      <c r="D1866" s="49" t="s">
        <v>51</v>
      </c>
      <c r="E1866" s="54" t="s">
        <v>3315</v>
      </c>
      <c r="F1866" s="76" t="str">
        <f>IFERROR(IF(Tabla1[[#This Row],[CONCEPTO mx]]="","",VLOOKUP(Tabla1[[#This Row],[CONCEPTO mx]],Tabla2[#All],2,0)),"")</f>
        <v>CM40</v>
      </c>
      <c r="G1866" s="76" t="str">
        <f>IFERROR(IF(Tabla1[[#This Row],[CONCEPTO mx]]="","",VLOOKUP(Tabla1[[#This Row],[CONCEPTO mx]],Tabla2[#All],3,0)),"")</f>
        <v>SST</v>
      </c>
      <c r="H1866" s="49" t="s">
        <v>486</v>
      </c>
      <c r="I1866" s="49" t="s">
        <v>2298</v>
      </c>
      <c r="J1866" s="49" t="s">
        <v>2307</v>
      </c>
      <c r="L1866" s="59" t="s">
        <v>4311</v>
      </c>
    </row>
    <row r="1867" spans="1:12" x14ac:dyDescent="0.25">
      <c r="A1867" s="51">
        <v>43669</v>
      </c>
      <c r="B1867" s="59">
        <v>1193115565</v>
      </c>
      <c r="C1867" s="59" t="s">
        <v>1796</v>
      </c>
      <c r="D1867" s="49" t="s">
        <v>51</v>
      </c>
      <c r="E1867" s="49" t="s">
        <v>3197</v>
      </c>
      <c r="F1867" s="76" t="str">
        <f>IFERROR(IF(Tabla1[[#This Row],[CONCEPTO mx]]="","",VLOOKUP(Tabla1[[#This Row],[CONCEPTO mx]],Tabla2[#All],2,0)),"")</f>
        <v>CM14</v>
      </c>
      <c r="G1867" s="76" t="str">
        <f>IFERROR(IF(Tabla1[[#This Row],[CONCEPTO mx]]="","",VLOOKUP(Tabla1[[#This Row],[CONCEPTO mx]],Tabla2[#All],3,0)),"")</f>
        <v>SST</v>
      </c>
      <c r="H1867" s="49" t="s">
        <v>550</v>
      </c>
      <c r="I1867" s="49" t="s">
        <v>2298</v>
      </c>
      <c r="J1867" s="49" t="s">
        <v>4228</v>
      </c>
    </row>
    <row r="1868" spans="1:12" x14ac:dyDescent="0.25">
      <c r="A1868" s="51">
        <v>43669</v>
      </c>
      <c r="B1868" s="59">
        <v>1003083082</v>
      </c>
      <c r="C1868" s="59" t="s">
        <v>4277</v>
      </c>
      <c r="D1868" s="49" t="s">
        <v>51</v>
      </c>
      <c r="E1868" s="49" t="s">
        <v>3248</v>
      </c>
      <c r="F1868" s="76" t="str">
        <f>IFERROR(IF(Tabla1[[#This Row],[CONCEPTO mx]]="","",VLOOKUP(Tabla1[[#This Row],[CONCEPTO mx]],Tabla2[#All],2,0)),"")</f>
        <v>CM1</v>
      </c>
      <c r="G1868" s="76" t="str">
        <f>IFERROR(IF(Tabla1[[#This Row],[CONCEPTO mx]]="","",VLOOKUP(Tabla1[[#This Row],[CONCEPTO mx]],Tabla2[#All],3,0)),"")</f>
        <v>Gestión Humana</v>
      </c>
      <c r="H1868" s="49" t="s">
        <v>388</v>
      </c>
      <c r="I1868" s="49" t="s">
        <v>2298</v>
      </c>
      <c r="J1868" s="49" t="s">
        <v>4278</v>
      </c>
    </row>
    <row r="1869" spans="1:12" x14ac:dyDescent="0.25">
      <c r="A1869" s="51">
        <v>43669</v>
      </c>
      <c r="B1869" s="59">
        <v>1028039070</v>
      </c>
      <c r="C1869" s="59" t="s">
        <v>4279</v>
      </c>
      <c r="D1869" s="49" t="s">
        <v>180</v>
      </c>
      <c r="E1869" s="49" t="s">
        <v>3185</v>
      </c>
      <c r="F1869" s="76" t="str">
        <f>IFERROR(IF(Tabla1[[#This Row],[CONCEPTO mx]]="","",VLOOKUP(Tabla1[[#This Row],[CONCEPTO mx]],Tabla2[#All],2,0)),"")</f>
        <v>CM5</v>
      </c>
      <c r="G1869" s="76" t="str">
        <f>IFERROR(IF(Tabla1[[#This Row],[CONCEPTO mx]]="","",VLOOKUP(Tabla1[[#This Row],[CONCEPTO mx]],Tabla2[#All],3,0)),"")</f>
        <v>SST</v>
      </c>
      <c r="H1869" s="49" t="s">
        <v>343</v>
      </c>
      <c r="I1869" s="49" t="s">
        <v>2298</v>
      </c>
      <c r="J1869" s="49" t="s">
        <v>4233</v>
      </c>
    </row>
    <row r="1870" spans="1:12" x14ac:dyDescent="0.25">
      <c r="A1870" s="51">
        <v>43669</v>
      </c>
      <c r="B1870" s="59">
        <v>1028022041</v>
      </c>
      <c r="C1870" s="59" t="s">
        <v>4281</v>
      </c>
      <c r="D1870" s="49" t="s">
        <v>51</v>
      </c>
      <c r="E1870" s="49" t="s">
        <v>3315</v>
      </c>
      <c r="F1870" s="76" t="str">
        <f>IFERROR(IF(Tabla1[[#This Row],[CONCEPTO mx]]="","",VLOOKUP(Tabla1[[#This Row],[CONCEPTO mx]],Tabla2[#All],2,0)),"")</f>
        <v>CM40</v>
      </c>
      <c r="G1870" s="76" t="str">
        <f>IFERROR(IF(Tabla1[[#This Row],[CONCEPTO mx]]="","",VLOOKUP(Tabla1[[#This Row],[CONCEPTO mx]],Tabla2[#All],3,0)),"")</f>
        <v>SST</v>
      </c>
      <c r="H1870" s="49" t="s">
        <v>439</v>
      </c>
      <c r="I1870" s="49" t="s">
        <v>2298</v>
      </c>
      <c r="J1870" s="49" t="s">
        <v>2302</v>
      </c>
      <c r="L1870" s="59" t="s">
        <v>4280</v>
      </c>
    </row>
    <row r="1871" spans="1:12" x14ac:dyDescent="0.25">
      <c r="A1871" s="51">
        <v>43669</v>
      </c>
      <c r="B1871" s="59">
        <v>1026161555</v>
      </c>
      <c r="C1871" s="59" t="s">
        <v>4282</v>
      </c>
      <c r="D1871" s="49" t="s">
        <v>180</v>
      </c>
      <c r="E1871" s="49" t="s">
        <v>3198</v>
      </c>
      <c r="F1871" s="76" t="str">
        <f>IFERROR(IF(Tabla1[[#This Row],[CONCEPTO mx]]="","",VLOOKUP(Tabla1[[#This Row],[CONCEPTO mx]],Tabla2[#All],2,0)),"")</f>
        <v>CM6</v>
      </c>
      <c r="G1871" s="76" t="str">
        <f>IFERROR(IF(Tabla1[[#This Row],[CONCEPTO mx]]="","",VLOOKUP(Tabla1[[#This Row],[CONCEPTO mx]],Tabla2[#All],3,0)),"")</f>
        <v>SST</v>
      </c>
      <c r="H1871" s="49" t="s">
        <v>406</v>
      </c>
      <c r="I1871" s="49" t="s">
        <v>2298</v>
      </c>
      <c r="J1871" s="49" t="s">
        <v>4284</v>
      </c>
      <c r="L1871" s="59" t="s">
        <v>4283</v>
      </c>
    </row>
    <row r="1872" spans="1:12" x14ac:dyDescent="0.25">
      <c r="A1872" s="51">
        <v>43669</v>
      </c>
      <c r="B1872" s="59">
        <v>1003450260</v>
      </c>
      <c r="C1872" s="59" t="s">
        <v>4285</v>
      </c>
      <c r="D1872" s="49" t="s">
        <v>51</v>
      </c>
      <c r="E1872" s="49" t="s">
        <v>3248</v>
      </c>
      <c r="F1872" s="76" t="str">
        <f>IFERROR(IF(Tabla1[[#This Row],[CONCEPTO mx]]="","",VLOOKUP(Tabla1[[#This Row],[CONCEPTO mx]],Tabla2[#All],2,0)),"")</f>
        <v>CM1</v>
      </c>
      <c r="G1872" s="76" t="str">
        <f>IFERROR(IF(Tabla1[[#This Row],[CONCEPTO mx]]="","",VLOOKUP(Tabla1[[#This Row],[CONCEPTO mx]],Tabla2[#All],3,0)),"")</f>
        <v>Gestión Humana</v>
      </c>
      <c r="H1872" s="49" t="s">
        <v>550</v>
      </c>
      <c r="I1872" s="49" t="s">
        <v>2298</v>
      </c>
      <c r="J1872" s="49" t="s">
        <v>2819</v>
      </c>
    </row>
    <row r="1873" spans="1:12" x14ac:dyDescent="0.25">
      <c r="A1873" s="51">
        <v>43669</v>
      </c>
      <c r="B1873" s="59">
        <v>8168456</v>
      </c>
      <c r="C1873" s="59" t="s">
        <v>4287</v>
      </c>
      <c r="D1873" s="49" t="s">
        <v>180</v>
      </c>
      <c r="E1873" s="49" t="s">
        <v>3185</v>
      </c>
      <c r="F1873" s="76" t="str">
        <f>IFERROR(IF(Tabla1[[#This Row],[CONCEPTO mx]]="","",VLOOKUP(Tabla1[[#This Row],[CONCEPTO mx]],Tabla2[#All],2,0)),"")</f>
        <v>CM5</v>
      </c>
      <c r="G1873" s="76" t="str">
        <f>IFERROR(IF(Tabla1[[#This Row],[CONCEPTO mx]]="","",VLOOKUP(Tabla1[[#This Row],[CONCEPTO mx]],Tabla2[#All],3,0)),"")</f>
        <v>SST</v>
      </c>
      <c r="H1873" s="49" t="s">
        <v>628</v>
      </c>
      <c r="I1873" s="49" t="s">
        <v>2298</v>
      </c>
      <c r="J1873" s="49" t="s">
        <v>4251</v>
      </c>
      <c r="L1873" s="77" t="s">
        <v>4286</v>
      </c>
    </row>
    <row r="1874" spans="1:12" x14ac:dyDescent="0.25">
      <c r="A1874" s="51">
        <v>43669</v>
      </c>
      <c r="B1874" s="59">
        <v>1103118051</v>
      </c>
      <c r="C1874" s="59" t="s">
        <v>4288</v>
      </c>
      <c r="D1874" s="49" t="s">
        <v>51</v>
      </c>
      <c r="E1874" s="49" t="s">
        <v>2401</v>
      </c>
      <c r="F1874" s="76" t="str">
        <f>IFERROR(IF(Tabla1[[#This Row],[CONCEPTO mx]]="","",VLOOKUP(Tabla1[[#This Row],[CONCEPTO mx]],Tabla2[#All],2,0)),"")</f>
        <v>CM28</v>
      </c>
      <c r="G1874" s="76" t="str">
        <f>IFERROR(IF(Tabla1[[#This Row],[CONCEPTO mx]]="","",VLOOKUP(Tabla1[[#This Row],[CONCEPTO mx]],Tabla2[#All],3,0)),"")</f>
        <v>SST</v>
      </c>
      <c r="H1874" s="49" t="s">
        <v>352</v>
      </c>
      <c r="I1874" s="49" t="s">
        <v>2298</v>
      </c>
      <c r="J1874" s="49" t="s">
        <v>2302</v>
      </c>
      <c r="L1874" s="59" t="s">
        <v>4289</v>
      </c>
    </row>
    <row r="1875" spans="1:12" x14ac:dyDescent="0.25">
      <c r="A1875" s="51">
        <v>43669</v>
      </c>
      <c r="B1875" s="59">
        <v>1233340716</v>
      </c>
      <c r="C1875" s="59" t="s">
        <v>4290</v>
      </c>
      <c r="D1875" s="49" t="s">
        <v>51</v>
      </c>
      <c r="E1875" s="49" t="s">
        <v>2401</v>
      </c>
      <c r="F1875" s="76" t="str">
        <f>IFERROR(IF(Tabla1[[#This Row],[CONCEPTO mx]]="","",VLOOKUP(Tabla1[[#This Row],[CONCEPTO mx]],Tabla2[#All],2,0)),"")</f>
        <v>CM28</v>
      </c>
      <c r="G1875" s="76" t="str">
        <f>IFERROR(IF(Tabla1[[#This Row],[CONCEPTO mx]]="","",VLOOKUP(Tabla1[[#This Row],[CONCEPTO mx]],Tabla2[#All],3,0)),"")</f>
        <v>SST</v>
      </c>
      <c r="H1875" s="49" t="s">
        <v>343</v>
      </c>
      <c r="I1875" s="49" t="s">
        <v>2298</v>
      </c>
      <c r="J1875" s="49" t="s">
        <v>4233</v>
      </c>
    </row>
    <row r="1876" spans="1:12" x14ac:dyDescent="0.25">
      <c r="A1876" s="51">
        <v>43669</v>
      </c>
      <c r="B1876" s="59">
        <v>1022392758</v>
      </c>
      <c r="C1876" s="59" t="s">
        <v>4291</v>
      </c>
      <c r="D1876" s="49" t="s">
        <v>180</v>
      </c>
      <c r="E1876" s="49" t="s">
        <v>3185</v>
      </c>
      <c r="F1876" s="76" t="str">
        <f>IFERROR(IF(Tabla1[[#This Row],[CONCEPTO mx]]="","",VLOOKUP(Tabla1[[#This Row],[CONCEPTO mx]],Tabla2[#All],2,0)),"")</f>
        <v>CM5</v>
      </c>
      <c r="G1876" s="76" t="str">
        <f>IFERROR(IF(Tabla1[[#This Row],[CONCEPTO mx]]="","",VLOOKUP(Tabla1[[#This Row],[CONCEPTO mx]],Tabla2[#All],3,0)),"")</f>
        <v>SST</v>
      </c>
      <c r="H1876" s="49" t="s">
        <v>628</v>
      </c>
      <c r="I1876" s="49" t="s">
        <v>2298</v>
      </c>
      <c r="J1876" s="49" t="s">
        <v>4292</v>
      </c>
    </row>
    <row r="1877" spans="1:12" x14ac:dyDescent="0.25">
      <c r="A1877" s="51">
        <v>43669</v>
      </c>
      <c r="B1877" s="59">
        <v>1007451889</v>
      </c>
      <c r="C1877" s="59" t="s">
        <v>4208</v>
      </c>
      <c r="D1877" s="49" t="s">
        <v>51</v>
      </c>
      <c r="E1877" s="49" t="s">
        <v>3315</v>
      </c>
      <c r="F1877" s="76" t="str">
        <f>IFERROR(IF(Tabla1[[#This Row],[CONCEPTO mx]]="","",VLOOKUP(Tabla1[[#This Row],[CONCEPTO mx]],Tabla2[#All],2,0)),"")</f>
        <v>CM40</v>
      </c>
      <c r="G1877" s="76" t="str">
        <f>IFERROR(IF(Tabla1[[#This Row],[CONCEPTO mx]]="","",VLOOKUP(Tabla1[[#This Row],[CONCEPTO mx]],Tabla2[#All],3,0)),"")</f>
        <v>SST</v>
      </c>
      <c r="H1877" s="49" t="s">
        <v>406</v>
      </c>
      <c r="I1877" s="49" t="s">
        <v>2298</v>
      </c>
      <c r="J1877" s="49" t="s">
        <v>4293</v>
      </c>
      <c r="L1877" s="59" t="s">
        <v>4294</v>
      </c>
    </row>
    <row r="1878" spans="1:12" x14ac:dyDescent="0.25">
      <c r="A1878" s="51">
        <v>43669</v>
      </c>
      <c r="B1878" s="59">
        <v>71353319</v>
      </c>
      <c r="C1878" s="59" t="s">
        <v>4295</v>
      </c>
      <c r="D1878" s="49" t="s">
        <v>180</v>
      </c>
      <c r="E1878" s="49" t="s">
        <v>3185</v>
      </c>
      <c r="F1878" s="76" t="str">
        <f>IFERROR(IF(Tabla1[[#This Row],[CONCEPTO mx]]="","",VLOOKUP(Tabla1[[#This Row],[CONCEPTO mx]],Tabla2[#All],2,0)),"")</f>
        <v>CM5</v>
      </c>
      <c r="G1878" s="76" t="str">
        <f>IFERROR(IF(Tabla1[[#This Row],[CONCEPTO mx]]="","",VLOOKUP(Tabla1[[#This Row],[CONCEPTO mx]],Tabla2[#All],3,0)),"")</f>
        <v>SST</v>
      </c>
      <c r="H1878" s="49" t="s">
        <v>343</v>
      </c>
      <c r="I1878" s="49" t="s">
        <v>2298</v>
      </c>
      <c r="J1878" s="49" t="s">
        <v>4228</v>
      </c>
    </row>
    <row r="1879" spans="1:12" x14ac:dyDescent="0.25">
      <c r="A1879" s="51">
        <v>43669</v>
      </c>
      <c r="B1879" s="59">
        <v>1065823780</v>
      </c>
      <c r="C1879" s="59" t="s">
        <v>1526</v>
      </c>
      <c r="D1879" s="49" t="s">
        <v>51</v>
      </c>
      <c r="E1879" s="49" t="s">
        <v>3248</v>
      </c>
      <c r="F1879" s="76" t="str">
        <f>IFERROR(IF(Tabla1[[#This Row],[CONCEPTO mx]]="","",VLOOKUP(Tabla1[[#This Row],[CONCEPTO mx]],Tabla2[#All],2,0)),"")</f>
        <v>CM1</v>
      </c>
      <c r="G1879" s="76" t="str">
        <f>IFERROR(IF(Tabla1[[#This Row],[CONCEPTO mx]]="","",VLOOKUP(Tabla1[[#This Row],[CONCEPTO mx]],Tabla2[#All],3,0)),"")</f>
        <v>Gestión Humana</v>
      </c>
      <c r="H1879" s="49" t="s">
        <v>388</v>
      </c>
      <c r="I1879" s="49" t="s">
        <v>2298</v>
      </c>
      <c r="J1879" s="49" t="s">
        <v>4296</v>
      </c>
    </row>
    <row r="1880" spans="1:12" x14ac:dyDescent="0.25">
      <c r="A1880" s="51">
        <v>43669</v>
      </c>
      <c r="B1880" s="59">
        <v>1028039507</v>
      </c>
      <c r="C1880" s="59" t="s">
        <v>4297</v>
      </c>
      <c r="D1880" s="49" t="s">
        <v>51</v>
      </c>
      <c r="E1880" s="49" t="s">
        <v>3248</v>
      </c>
      <c r="F1880" s="76" t="str">
        <f>IFERROR(IF(Tabla1[[#This Row],[CONCEPTO mx]]="","",VLOOKUP(Tabla1[[#This Row],[CONCEPTO mx]],Tabla2[#All],2,0)),"")</f>
        <v>CM1</v>
      </c>
      <c r="G1880" s="76" t="str">
        <f>IFERROR(IF(Tabla1[[#This Row],[CONCEPTO mx]]="","",VLOOKUP(Tabla1[[#This Row],[CONCEPTO mx]],Tabla2[#All],3,0)),"")</f>
        <v>Gestión Humana</v>
      </c>
      <c r="H1880" s="49" t="s">
        <v>528</v>
      </c>
      <c r="I1880" s="49" t="s">
        <v>2298</v>
      </c>
      <c r="J1880" s="49" t="s">
        <v>4027</v>
      </c>
    </row>
    <row r="1881" spans="1:12" x14ac:dyDescent="0.25">
      <c r="A1881" s="51">
        <v>43669</v>
      </c>
      <c r="B1881" s="59">
        <v>1148699949</v>
      </c>
      <c r="C1881" s="59" t="s">
        <v>4298</v>
      </c>
      <c r="D1881" s="49" t="s">
        <v>51</v>
      </c>
      <c r="E1881" s="49" t="s">
        <v>3248</v>
      </c>
      <c r="F1881" s="76" t="str">
        <f>IFERROR(IF(Tabla1[[#This Row],[CONCEPTO mx]]="","",VLOOKUP(Tabla1[[#This Row],[CONCEPTO mx]],Tabla2[#All],2,0)),"")</f>
        <v>CM1</v>
      </c>
      <c r="G1881" s="76" t="str">
        <f>IFERROR(IF(Tabla1[[#This Row],[CONCEPTO mx]]="","",VLOOKUP(Tabla1[[#This Row],[CONCEPTO mx]],Tabla2[#All],3,0)),"")</f>
        <v>Gestión Humana</v>
      </c>
      <c r="H1881" s="49" t="s">
        <v>406</v>
      </c>
      <c r="I1881" s="49" t="s">
        <v>2298</v>
      </c>
      <c r="J1881" s="49" t="s">
        <v>4292</v>
      </c>
    </row>
    <row r="1882" spans="1:12" x14ac:dyDescent="0.25">
      <c r="A1882" s="51">
        <v>43669</v>
      </c>
      <c r="B1882" s="59">
        <v>1038808857</v>
      </c>
      <c r="C1882" s="59" t="s">
        <v>4299</v>
      </c>
      <c r="D1882" s="49" t="s">
        <v>51</v>
      </c>
      <c r="E1882" s="54" t="s">
        <v>3315</v>
      </c>
      <c r="F1882" s="76" t="str">
        <f>IFERROR(IF(Tabla1[[#This Row],[CONCEPTO mx]]="","",VLOOKUP(Tabla1[[#This Row],[CONCEPTO mx]],Tabla2[#All],2,0)),"")</f>
        <v>CM40</v>
      </c>
      <c r="G1882" s="76" t="str">
        <f>IFERROR(IF(Tabla1[[#This Row],[CONCEPTO mx]]="","",VLOOKUP(Tabla1[[#This Row],[CONCEPTO mx]],Tabla2[#All],3,0)),"")</f>
        <v>SST</v>
      </c>
      <c r="H1882" s="49" t="s">
        <v>628</v>
      </c>
      <c r="I1882" s="49" t="s">
        <v>2298</v>
      </c>
      <c r="J1882" s="49" t="s">
        <v>4300</v>
      </c>
      <c r="L1882" s="59" t="s">
        <v>4312</v>
      </c>
    </row>
    <row r="1883" spans="1:12" x14ac:dyDescent="0.25">
      <c r="A1883" s="51">
        <v>43669</v>
      </c>
      <c r="B1883" s="59">
        <v>1028006902</v>
      </c>
      <c r="C1883" s="59" t="s">
        <v>4305</v>
      </c>
      <c r="D1883" s="49" t="s">
        <v>180</v>
      </c>
      <c r="E1883" s="49" t="s">
        <v>3187</v>
      </c>
      <c r="F1883" s="76" t="str">
        <f>IFERROR(IF(Tabla1[[#This Row],[CONCEPTO mx]]="","",VLOOKUP(Tabla1[[#This Row],[CONCEPTO mx]],Tabla2[#All],2,0)),"")</f>
        <v>CM8</v>
      </c>
      <c r="G1883" s="76" t="str">
        <f>IFERROR(IF(Tabla1[[#This Row],[CONCEPTO mx]]="","",VLOOKUP(Tabla1[[#This Row],[CONCEPTO mx]],Tabla2[#All],3,0)),"")</f>
        <v>Gestión Humana</v>
      </c>
      <c r="H1883" s="49" t="s">
        <v>413</v>
      </c>
      <c r="I1883" s="49" t="s">
        <v>2298</v>
      </c>
      <c r="J1883" s="49" t="s">
        <v>4304</v>
      </c>
      <c r="L1883" s="59" t="s">
        <v>4303</v>
      </c>
    </row>
    <row r="1884" spans="1:12" x14ac:dyDescent="0.25">
      <c r="A1884" s="51">
        <v>43669</v>
      </c>
      <c r="B1884" s="59">
        <v>71944299</v>
      </c>
      <c r="C1884" s="59" t="s">
        <v>4307</v>
      </c>
      <c r="D1884" s="49" t="s">
        <v>180</v>
      </c>
      <c r="E1884" s="49" t="s">
        <v>3185</v>
      </c>
      <c r="F1884" s="76" t="str">
        <f>IFERROR(IF(Tabla1[[#This Row],[CONCEPTO mx]]="","",VLOOKUP(Tabla1[[#This Row],[CONCEPTO mx]],Tabla2[#All],2,0)),"")</f>
        <v>CM5</v>
      </c>
      <c r="G1884" s="76" t="str">
        <f>IFERROR(IF(Tabla1[[#This Row],[CONCEPTO mx]]="","",VLOOKUP(Tabla1[[#This Row],[CONCEPTO mx]],Tabla2[#All],3,0)),"")</f>
        <v>SST</v>
      </c>
      <c r="H1884" s="49" t="s">
        <v>550</v>
      </c>
      <c r="I1884" s="49" t="s">
        <v>2298</v>
      </c>
      <c r="J1884" s="49" t="s">
        <v>2353</v>
      </c>
      <c r="L1884" s="49" t="s">
        <v>4306</v>
      </c>
    </row>
    <row r="1885" spans="1:12" x14ac:dyDescent="0.25">
      <c r="A1885" s="51">
        <v>43669</v>
      </c>
      <c r="B1885" s="59">
        <v>71947773</v>
      </c>
      <c r="C1885" s="59" t="s">
        <v>4308</v>
      </c>
      <c r="D1885" s="49" t="s">
        <v>180</v>
      </c>
      <c r="E1885" s="49" t="s">
        <v>3187</v>
      </c>
      <c r="F1885" s="76" t="str">
        <f>IFERROR(IF(Tabla1[[#This Row],[CONCEPTO mx]]="","",VLOOKUP(Tabla1[[#This Row],[CONCEPTO mx]],Tabla2[#All],2,0)),"")</f>
        <v>CM8</v>
      </c>
      <c r="G1885" s="76" t="str">
        <f>IFERROR(IF(Tabla1[[#This Row],[CONCEPTO mx]]="","",VLOOKUP(Tabla1[[#This Row],[CONCEPTO mx]],Tabla2[#All],3,0)),"")</f>
        <v>Gestión Humana</v>
      </c>
      <c r="H1885" s="49" t="s">
        <v>413</v>
      </c>
      <c r="I1885" s="49" t="s">
        <v>2298</v>
      </c>
      <c r="J1885" s="49" t="s">
        <v>4309</v>
      </c>
    </row>
    <row r="1886" spans="1:12" x14ac:dyDescent="0.25">
      <c r="A1886" s="51">
        <v>43669</v>
      </c>
      <c r="B1886" s="59">
        <v>1028025864</v>
      </c>
      <c r="C1886" s="59" t="s">
        <v>4310</v>
      </c>
      <c r="D1886" s="49" t="s">
        <v>51</v>
      </c>
      <c r="E1886" s="49" t="s">
        <v>3248</v>
      </c>
      <c r="F1886" s="76" t="str">
        <f>IFERROR(IF(Tabla1[[#This Row],[CONCEPTO mx]]="","",VLOOKUP(Tabla1[[#This Row],[CONCEPTO mx]],Tabla2[#All],2,0)),"")</f>
        <v>CM1</v>
      </c>
      <c r="G1886" s="76" t="str">
        <f>IFERROR(IF(Tabla1[[#This Row],[CONCEPTO mx]]="","",VLOOKUP(Tabla1[[#This Row],[CONCEPTO mx]],Tabla2[#All],3,0)),"")</f>
        <v>Gestión Humana</v>
      </c>
      <c r="H1886" s="49" t="s">
        <v>406</v>
      </c>
      <c r="I1886" s="49" t="s">
        <v>2298</v>
      </c>
      <c r="J1886" s="49" t="s">
        <v>2302</v>
      </c>
    </row>
    <row r="1887" spans="1:12" x14ac:dyDescent="0.25">
      <c r="A1887" s="51">
        <v>43669</v>
      </c>
      <c r="B1887" s="59">
        <v>1022392758</v>
      </c>
      <c r="C1887" s="59" t="s">
        <v>4291</v>
      </c>
      <c r="D1887" s="49" t="s">
        <v>180</v>
      </c>
      <c r="E1887" s="49" t="s">
        <v>3185</v>
      </c>
      <c r="F1887" s="76" t="str">
        <f>IFERROR(IF(Tabla1[[#This Row],[CONCEPTO mx]]="","",VLOOKUP(Tabla1[[#This Row],[CONCEPTO mx]],Tabla2[#All],2,0)),"")</f>
        <v>CM5</v>
      </c>
      <c r="G1887" s="76" t="str">
        <f>IFERROR(IF(Tabla1[[#This Row],[CONCEPTO mx]]="","",VLOOKUP(Tabla1[[#This Row],[CONCEPTO mx]],Tabla2[#All],3,0)),"")</f>
        <v>SST</v>
      </c>
      <c r="H1887" s="49" t="s">
        <v>628</v>
      </c>
      <c r="I1887" s="49" t="s">
        <v>2298</v>
      </c>
      <c r="J1887" s="49" t="s">
        <v>4292</v>
      </c>
      <c r="L1887" s="59" t="s">
        <v>2386</v>
      </c>
    </row>
    <row r="1888" spans="1:12" x14ac:dyDescent="0.25">
      <c r="A1888" s="51">
        <v>43669</v>
      </c>
      <c r="B1888" s="59">
        <v>1040379547</v>
      </c>
      <c r="C1888" s="59" t="s">
        <v>4313</v>
      </c>
      <c r="D1888" s="49" t="s">
        <v>51</v>
      </c>
      <c r="E1888" s="49" t="s">
        <v>3248</v>
      </c>
      <c r="F1888" s="76" t="str">
        <f>IFERROR(IF(Tabla1[[#This Row],[CONCEPTO mx]]="","",VLOOKUP(Tabla1[[#This Row],[CONCEPTO mx]],Tabla2[#All],2,0)),"")</f>
        <v>CM1</v>
      </c>
      <c r="G1888" s="76" t="str">
        <f>IFERROR(IF(Tabla1[[#This Row],[CONCEPTO mx]]="","",VLOOKUP(Tabla1[[#This Row],[CONCEPTO mx]],Tabla2[#All],3,0)),"")</f>
        <v>Gestión Humana</v>
      </c>
      <c r="H1888" s="49" t="s">
        <v>388</v>
      </c>
      <c r="I1888" s="49" t="s">
        <v>2298</v>
      </c>
      <c r="J1888" s="49" t="s">
        <v>4292</v>
      </c>
    </row>
    <row r="1889" spans="1:12" x14ac:dyDescent="0.25">
      <c r="A1889" s="51">
        <v>43669</v>
      </c>
      <c r="B1889" s="59">
        <v>1027950100</v>
      </c>
      <c r="C1889" s="59" t="s">
        <v>4314</v>
      </c>
      <c r="D1889" s="49" t="s">
        <v>51</v>
      </c>
      <c r="E1889" s="49" t="s">
        <v>3248</v>
      </c>
      <c r="F1889" s="76" t="str">
        <f>IFERROR(IF(Tabla1[[#This Row],[CONCEPTO mx]]="","",VLOOKUP(Tabla1[[#This Row],[CONCEPTO mx]],Tabla2[#All],2,0)),"")</f>
        <v>CM1</v>
      </c>
      <c r="G1889" s="76" t="str">
        <f>IFERROR(IF(Tabla1[[#This Row],[CONCEPTO mx]]="","",VLOOKUP(Tabla1[[#This Row],[CONCEPTO mx]],Tabla2[#All],3,0)),"")</f>
        <v>Gestión Humana</v>
      </c>
      <c r="H1889" s="49" t="s">
        <v>352</v>
      </c>
      <c r="I1889" s="49" t="s">
        <v>2298</v>
      </c>
      <c r="J1889" s="49" t="s">
        <v>2302</v>
      </c>
    </row>
    <row r="1890" spans="1:12" x14ac:dyDescent="0.25">
      <c r="A1890" s="51">
        <v>43669</v>
      </c>
      <c r="B1890" s="59">
        <v>1003191720</v>
      </c>
      <c r="C1890" s="59" t="s">
        <v>4315</v>
      </c>
      <c r="D1890" s="49" t="s">
        <v>51</v>
      </c>
      <c r="E1890" s="49" t="s">
        <v>3248</v>
      </c>
      <c r="F1890" s="76" t="str">
        <f>IFERROR(IF(Tabla1[[#This Row],[CONCEPTO mx]]="","",VLOOKUP(Tabla1[[#This Row],[CONCEPTO mx]],Tabla2[#All],2,0)),"")</f>
        <v>CM1</v>
      </c>
      <c r="G1890" s="76" t="str">
        <f>IFERROR(IF(Tabla1[[#This Row],[CONCEPTO mx]]="","",VLOOKUP(Tabla1[[#This Row],[CONCEPTO mx]],Tabla2[#All],3,0)),"")</f>
        <v>Gestión Humana</v>
      </c>
      <c r="H1890" s="49" t="s">
        <v>470</v>
      </c>
      <c r="I1890" s="49" t="s">
        <v>2512</v>
      </c>
      <c r="J1890" s="49" t="s">
        <v>4177</v>
      </c>
    </row>
    <row r="1891" spans="1:12" x14ac:dyDescent="0.25">
      <c r="A1891" s="51">
        <v>43671</v>
      </c>
      <c r="B1891" s="96">
        <v>1010133876</v>
      </c>
      <c r="C1891" s="49" t="s">
        <v>4337</v>
      </c>
      <c r="D1891" s="49" t="s">
        <v>51</v>
      </c>
      <c r="E1891" s="49" t="s">
        <v>3248</v>
      </c>
      <c r="F1891" s="76" t="str">
        <f>IFERROR(IF(Tabla1[[#This Row],[CONCEPTO mx]]="","",VLOOKUP(Tabla1[[#This Row],[CONCEPTO mx]],Tabla2[#All],2,0)),"")</f>
        <v>CM1</v>
      </c>
      <c r="G1891" s="76" t="str">
        <f>IFERROR(IF(Tabla1[[#This Row],[CONCEPTO mx]]="","",VLOOKUP(Tabla1[[#This Row],[CONCEPTO mx]],Tabla2[#All],3,0)),"")</f>
        <v>Gestión Humana</v>
      </c>
      <c r="H1891" s="49" t="s">
        <v>438</v>
      </c>
      <c r="I1891" s="49" t="s">
        <v>2298</v>
      </c>
      <c r="J1891" s="49" t="s">
        <v>4336</v>
      </c>
    </row>
    <row r="1892" spans="1:12" x14ac:dyDescent="0.25">
      <c r="A1892" s="51">
        <v>43671</v>
      </c>
      <c r="B1892" s="59">
        <v>1028022872</v>
      </c>
      <c r="C1892" s="59" t="s">
        <v>4316</v>
      </c>
      <c r="D1892" s="49" t="s">
        <v>180</v>
      </c>
      <c r="E1892" s="49" t="s">
        <v>3187</v>
      </c>
      <c r="F1892" s="76" t="str">
        <f>IFERROR(IF(Tabla1[[#This Row],[CONCEPTO mx]]="","",VLOOKUP(Tabla1[[#This Row],[CONCEPTO mx]],Tabla2[#All],2,0)),"")</f>
        <v>CM8</v>
      </c>
      <c r="G1892" s="76" t="str">
        <f>IFERROR(IF(Tabla1[[#This Row],[CONCEPTO mx]]="","",VLOOKUP(Tabla1[[#This Row],[CONCEPTO mx]],Tabla2[#All],3,0)),"")</f>
        <v>Gestión Humana</v>
      </c>
      <c r="H1892" s="49" t="s">
        <v>628</v>
      </c>
      <c r="I1892" s="49" t="s">
        <v>2298</v>
      </c>
      <c r="J1892" s="49" t="s">
        <v>4292</v>
      </c>
      <c r="L1892" s="59" t="s">
        <v>4317</v>
      </c>
    </row>
    <row r="1893" spans="1:12" x14ac:dyDescent="0.25">
      <c r="A1893" s="51">
        <v>43673</v>
      </c>
      <c r="B1893" s="59">
        <v>1040377943</v>
      </c>
      <c r="C1893" s="59" t="s">
        <v>4318</v>
      </c>
      <c r="D1893" s="49" t="s">
        <v>51</v>
      </c>
      <c r="E1893" s="49" t="s">
        <v>3248</v>
      </c>
      <c r="F1893" s="76" t="str">
        <f>IFERROR(IF(Tabla1[[#This Row],[CONCEPTO mx]]="","",VLOOKUP(Tabla1[[#This Row],[CONCEPTO mx]],Tabla2[#All],2,0)),"")</f>
        <v>CM1</v>
      </c>
      <c r="G1893" s="76" t="str">
        <f>IFERROR(IF(Tabla1[[#This Row],[CONCEPTO mx]]="","",VLOOKUP(Tabla1[[#This Row],[CONCEPTO mx]],Tabla2[#All],3,0)),"")</f>
        <v>Gestión Humana</v>
      </c>
      <c r="H1893" s="49" t="s">
        <v>484</v>
      </c>
      <c r="I1893" s="49" t="s">
        <v>2512</v>
      </c>
      <c r="J1893" s="49" t="s">
        <v>4302</v>
      </c>
    </row>
    <row r="1894" spans="1:12" x14ac:dyDescent="0.25">
      <c r="A1894" s="51">
        <v>43673</v>
      </c>
      <c r="B1894" s="59">
        <v>1007523686</v>
      </c>
      <c r="C1894" s="59" t="s">
        <v>4319</v>
      </c>
      <c r="D1894" s="49" t="s">
        <v>51</v>
      </c>
      <c r="E1894" s="49" t="s">
        <v>3249</v>
      </c>
      <c r="F1894" s="76" t="str">
        <f>IFERROR(IF(Tabla1[[#This Row],[CONCEPTO mx]]="","",VLOOKUP(Tabla1[[#This Row],[CONCEPTO mx]],Tabla2[#All],2,0)),"")</f>
        <v>CM3</v>
      </c>
      <c r="G1894" s="76" t="str">
        <f>IFERROR(IF(Tabla1[[#This Row],[CONCEPTO mx]]="","",VLOOKUP(Tabla1[[#This Row],[CONCEPTO mx]],Tabla2[#All],3,0)),"")</f>
        <v>SST</v>
      </c>
      <c r="H1894" s="49" t="s">
        <v>352</v>
      </c>
      <c r="I1894" s="49" t="s">
        <v>2298</v>
      </c>
      <c r="J1894" s="49" t="s">
        <v>2302</v>
      </c>
    </row>
    <row r="1895" spans="1:12" x14ac:dyDescent="0.25">
      <c r="A1895" s="51">
        <v>43673</v>
      </c>
      <c r="B1895" s="59">
        <v>8322684</v>
      </c>
      <c r="C1895" s="59" t="s">
        <v>4321</v>
      </c>
      <c r="D1895" s="49" t="s">
        <v>180</v>
      </c>
      <c r="E1895" s="54" t="s">
        <v>4274</v>
      </c>
      <c r="F1895" s="76" t="str">
        <f>IFERROR(IF(Tabla1[[#This Row],[CONCEPTO mx]]="","",VLOOKUP(Tabla1[[#This Row],[CONCEPTO mx]],Tabla2[#All],2,0)),"")</f>
        <v>CM17</v>
      </c>
      <c r="G1895" s="76" t="str">
        <f>IFERROR(IF(Tabla1[[#This Row],[CONCEPTO mx]]="","",VLOOKUP(Tabla1[[#This Row],[CONCEPTO mx]],Tabla2[#All],3,0)),"")</f>
        <v>SST</v>
      </c>
      <c r="H1895" s="49" t="s">
        <v>334</v>
      </c>
      <c r="I1895" s="49" t="s">
        <v>2298</v>
      </c>
      <c r="J1895" s="49" t="s">
        <v>4323</v>
      </c>
      <c r="L1895" s="59" t="s">
        <v>4322</v>
      </c>
    </row>
    <row r="1896" spans="1:12" x14ac:dyDescent="0.25">
      <c r="A1896" s="51">
        <v>43673</v>
      </c>
      <c r="B1896" s="59">
        <v>1028037935</v>
      </c>
      <c r="C1896" s="59" t="s">
        <v>4324</v>
      </c>
      <c r="D1896" s="49" t="s">
        <v>51</v>
      </c>
      <c r="E1896" s="49" t="s">
        <v>3248</v>
      </c>
      <c r="F1896" s="76" t="str">
        <f>IFERROR(IF(Tabla1[[#This Row],[CONCEPTO mx]]="","",VLOOKUP(Tabla1[[#This Row],[CONCEPTO mx]],Tabla2[#All],2,0)),"")</f>
        <v>CM1</v>
      </c>
      <c r="G1896" s="76" t="str">
        <f>IFERROR(IF(Tabla1[[#This Row],[CONCEPTO mx]]="","",VLOOKUP(Tabla1[[#This Row],[CONCEPTO mx]],Tabla2[#All],3,0)),"")</f>
        <v>Gestión Humana</v>
      </c>
      <c r="H1896" s="49" t="s">
        <v>334</v>
      </c>
      <c r="I1896" s="49" t="s">
        <v>2298</v>
      </c>
      <c r="J1896" s="49" t="s">
        <v>2302</v>
      </c>
    </row>
    <row r="1897" spans="1:12" x14ac:dyDescent="0.25">
      <c r="A1897" s="51">
        <v>43673</v>
      </c>
      <c r="B1897" s="59">
        <v>8324436</v>
      </c>
      <c r="C1897" s="59" t="s">
        <v>4326</v>
      </c>
      <c r="D1897" s="49" t="s">
        <v>180</v>
      </c>
      <c r="E1897" s="49" t="s">
        <v>4274</v>
      </c>
      <c r="F1897" s="76" t="str">
        <f>IFERROR(IF(Tabla1[[#This Row],[CONCEPTO mx]]="","",VLOOKUP(Tabla1[[#This Row],[CONCEPTO mx]],Tabla2[#All],2,0)),"")</f>
        <v>CM17</v>
      </c>
      <c r="G1897" s="76" t="str">
        <f>IFERROR(IF(Tabla1[[#This Row],[CONCEPTO mx]]="","",VLOOKUP(Tabla1[[#This Row],[CONCEPTO mx]],Tabla2[#All],3,0)),"")</f>
        <v>SST</v>
      </c>
      <c r="H1897" s="49" t="s">
        <v>352</v>
      </c>
      <c r="I1897" s="49" t="s">
        <v>2298</v>
      </c>
      <c r="J1897" s="49" t="s">
        <v>2353</v>
      </c>
      <c r="L1897" s="49" t="s">
        <v>4325</v>
      </c>
    </row>
    <row r="1898" spans="1:12" x14ac:dyDescent="0.25">
      <c r="A1898" s="51">
        <v>43673</v>
      </c>
      <c r="B1898" s="59">
        <v>71984510</v>
      </c>
      <c r="C1898" s="59" t="s">
        <v>4327</v>
      </c>
      <c r="D1898" s="49" t="s">
        <v>180</v>
      </c>
      <c r="E1898" s="54" t="s">
        <v>4274</v>
      </c>
      <c r="F1898" s="76" t="str">
        <f>IFERROR(IF(Tabla1[[#This Row],[CONCEPTO mx]]="","",VLOOKUP(Tabla1[[#This Row],[CONCEPTO mx]],Tabla2[#All],2,0)),"")</f>
        <v>CM17</v>
      </c>
      <c r="G1898" s="76" t="str">
        <f>IFERROR(IF(Tabla1[[#This Row],[CONCEPTO mx]]="","",VLOOKUP(Tabla1[[#This Row],[CONCEPTO mx]],Tabla2[#All],3,0)),"")</f>
        <v>SST</v>
      </c>
      <c r="H1898" s="49" t="s">
        <v>352</v>
      </c>
      <c r="I1898" s="49" t="s">
        <v>2298</v>
      </c>
      <c r="J1898" s="49" t="s">
        <v>2819</v>
      </c>
      <c r="L1898" s="49" t="s">
        <v>4328</v>
      </c>
    </row>
    <row r="1899" spans="1:12" x14ac:dyDescent="0.25">
      <c r="A1899" s="51">
        <v>43673</v>
      </c>
      <c r="B1899" s="59">
        <v>1039088348</v>
      </c>
      <c r="C1899" s="59" t="s">
        <v>4331</v>
      </c>
      <c r="D1899" s="49" t="s">
        <v>51</v>
      </c>
      <c r="E1899" s="49" t="s">
        <v>3249</v>
      </c>
      <c r="F1899" s="76" t="str">
        <f>IFERROR(IF(Tabla1[[#This Row],[CONCEPTO mx]]="","",VLOOKUP(Tabla1[[#This Row],[CONCEPTO mx]],Tabla2[#All],2,0)),"")</f>
        <v>CM3</v>
      </c>
      <c r="G1899" s="76" t="str">
        <f>IFERROR(IF(Tabla1[[#This Row],[CONCEPTO mx]]="","",VLOOKUP(Tabla1[[#This Row],[CONCEPTO mx]],Tabla2[#All],3,0)),"")</f>
        <v>SST</v>
      </c>
      <c r="H1899" s="49" t="s">
        <v>528</v>
      </c>
      <c r="I1899" s="49" t="s">
        <v>2298</v>
      </c>
      <c r="J1899" s="49" t="s">
        <v>4332</v>
      </c>
    </row>
    <row r="1900" spans="1:12" x14ac:dyDescent="0.25">
      <c r="A1900" s="51">
        <v>43673</v>
      </c>
      <c r="B1900" s="50">
        <v>1027961181</v>
      </c>
      <c r="C1900" s="59" t="s">
        <v>4333</v>
      </c>
      <c r="D1900" s="49" t="s">
        <v>180</v>
      </c>
      <c r="E1900" s="49" t="s">
        <v>3187</v>
      </c>
      <c r="F1900" s="76" t="str">
        <f>IFERROR(IF(Tabla1[[#This Row],[CONCEPTO mx]]="","",VLOOKUP(Tabla1[[#This Row],[CONCEPTO mx]],Tabla2[#All],2,0)),"")</f>
        <v>CM8</v>
      </c>
      <c r="G1900" s="76" t="str">
        <f>IFERROR(IF(Tabla1[[#This Row],[CONCEPTO mx]]="","",VLOOKUP(Tabla1[[#This Row],[CONCEPTO mx]],Tabla2[#All],3,0)),"")</f>
        <v>Gestión Humana</v>
      </c>
      <c r="H1900" s="49" t="s">
        <v>387</v>
      </c>
      <c r="I1900" s="49" t="s">
        <v>2298</v>
      </c>
      <c r="J1900" s="49" t="s">
        <v>4334</v>
      </c>
      <c r="L1900" s="59" t="s">
        <v>4335</v>
      </c>
    </row>
    <row r="1901" spans="1:12" x14ac:dyDescent="0.25">
      <c r="A1901" s="51">
        <v>43673</v>
      </c>
      <c r="B1901" s="50">
        <v>1028040991</v>
      </c>
      <c r="C1901" s="49" t="s">
        <v>4338</v>
      </c>
      <c r="D1901" s="49" t="s">
        <v>51</v>
      </c>
      <c r="E1901" s="49" t="s">
        <v>3248</v>
      </c>
      <c r="F1901" s="76" t="str">
        <f>IFERROR(IF(Tabla1[[#This Row],[CONCEPTO mx]]="","",VLOOKUP(Tabla1[[#This Row],[CONCEPTO mx]],Tabla2[#All],2,0)),"")</f>
        <v>CM1</v>
      </c>
      <c r="G1901" s="76" t="str">
        <f>IFERROR(IF(Tabla1[[#This Row],[CONCEPTO mx]]="","",VLOOKUP(Tabla1[[#This Row],[CONCEPTO mx]],Tabla2[#All],3,0)),"")</f>
        <v>Gestión Humana</v>
      </c>
      <c r="H1901" s="49" t="s">
        <v>439</v>
      </c>
      <c r="I1901" s="49" t="s">
        <v>2512</v>
      </c>
      <c r="J1901" s="49" t="s">
        <v>4177</v>
      </c>
    </row>
    <row r="1902" spans="1:12" x14ac:dyDescent="0.25">
      <c r="A1902" s="51">
        <v>43673</v>
      </c>
      <c r="B1902" s="50">
        <v>1028009264</v>
      </c>
      <c r="C1902" s="49" t="s">
        <v>4339</v>
      </c>
      <c r="E1902" s="49" t="s">
        <v>3694</v>
      </c>
      <c r="F1902" s="76" t="str">
        <f>IFERROR(IF(Tabla1[[#This Row],[CONCEPTO mx]]="","",VLOOKUP(Tabla1[[#This Row],[CONCEPTO mx]],Tabla2[#All],2,0)),"")</f>
        <v>CM44</v>
      </c>
      <c r="G1902" s="76" t="str">
        <f>IFERROR(IF(Tabla1[[#This Row],[CONCEPTO mx]]="","",VLOOKUP(Tabla1[[#This Row],[CONCEPTO mx]],Tabla2[#All],3,0)),"")</f>
        <v>Gestión Humana</v>
      </c>
      <c r="H1902" s="49" t="s">
        <v>2576</v>
      </c>
      <c r="I1902" s="49" t="s">
        <v>2512</v>
      </c>
      <c r="J1902" s="49" t="s">
        <v>4177</v>
      </c>
    </row>
    <row r="1903" spans="1:12" x14ac:dyDescent="0.25">
      <c r="A1903" s="51">
        <v>43673</v>
      </c>
      <c r="B1903" s="50">
        <v>1001595945</v>
      </c>
      <c r="C1903" s="49" t="s">
        <v>4340</v>
      </c>
      <c r="D1903" s="49" t="s">
        <v>51</v>
      </c>
      <c r="E1903" s="49" t="s">
        <v>3249</v>
      </c>
      <c r="F1903" s="76" t="str">
        <f>IFERROR(IF(Tabla1[[#This Row],[CONCEPTO mx]]="","",VLOOKUP(Tabla1[[#This Row],[CONCEPTO mx]],Tabla2[#All],2,0)),"")</f>
        <v>CM3</v>
      </c>
      <c r="G1903" s="76" t="str">
        <f>IFERROR(IF(Tabla1[[#This Row],[CONCEPTO mx]]="","",VLOOKUP(Tabla1[[#This Row],[CONCEPTO mx]],Tabla2[#All],3,0)),"")</f>
        <v>SST</v>
      </c>
      <c r="H1903" s="49" t="s">
        <v>438</v>
      </c>
      <c r="I1903" s="49" t="s">
        <v>2512</v>
      </c>
      <c r="J1903" s="49" t="s">
        <v>4066</v>
      </c>
    </row>
    <row r="1904" spans="1:12" x14ac:dyDescent="0.25">
      <c r="A1904" s="51">
        <v>43678</v>
      </c>
      <c r="B1904" s="59">
        <v>1028014892</v>
      </c>
      <c r="C1904" s="59" t="s">
        <v>4329</v>
      </c>
      <c r="D1904" s="49" t="s">
        <v>51</v>
      </c>
      <c r="E1904" s="49" t="s">
        <v>3315</v>
      </c>
      <c r="F1904" s="76" t="str">
        <f>IFERROR(IF(Tabla1[[#This Row],[CONCEPTO mx]]="","",VLOOKUP(Tabla1[[#This Row],[CONCEPTO mx]],Tabla2[#All],2,0)),"")</f>
        <v>CM40</v>
      </c>
      <c r="G1904" s="76" t="str">
        <f>IFERROR(IF(Tabla1[[#This Row],[CONCEPTO mx]]="","",VLOOKUP(Tabla1[[#This Row],[CONCEPTO mx]],Tabla2[#All],3,0)),"")</f>
        <v>SST</v>
      </c>
      <c r="H1904" s="49" t="s">
        <v>388</v>
      </c>
      <c r="I1904" s="49" t="s">
        <v>2298</v>
      </c>
      <c r="J1904" s="49" t="s">
        <v>4330</v>
      </c>
      <c r="K1904" s="51">
        <v>43673</v>
      </c>
      <c r="L1904" s="59" t="s">
        <v>4361</v>
      </c>
    </row>
    <row r="1905" spans="1:12" x14ac:dyDescent="0.25">
      <c r="A1905" s="51">
        <v>43678</v>
      </c>
      <c r="B1905" s="50">
        <v>71946080</v>
      </c>
      <c r="C1905" s="59" t="s">
        <v>4341</v>
      </c>
      <c r="D1905" s="49" t="s">
        <v>180</v>
      </c>
      <c r="E1905" s="49" t="s">
        <v>3185</v>
      </c>
      <c r="F1905" s="76" t="str">
        <f>IFERROR(IF(Tabla1[[#This Row],[CONCEPTO mx]]="","",VLOOKUP(Tabla1[[#This Row],[CONCEPTO mx]],Tabla2[#All],2,0)),"")</f>
        <v>CM5</v>
      </c>
      <c r="G1905" s="76" t="str">
        <f>IFERROR(IF(Tabla1[[#This Row],[CONCEPTO mx]]="","",VLOOKUP(Tabla1[[#This Row],[CONCEPTO mx]],Tabla2[#All],3,0)),"")</f>
        <v>SST</v>
      </c>
      <c r="H1905" s="49" t="s">
        <v>486</v>
      </c>
      <c r="I1905" s="49" t="s">
        <v>2298</v>
      </c>
      <c r="J1905" s="49" t="s">
        <v>2819</v>
      </c>
      <c r="L1905" s="59" t="s">
        <v>2386</v>
      </c>
    </row>
    <row r="1906" spans="1:12" x14ac:dyDescent="0.25">
      <c r="A1906" s="51">
        <v>43678</v>
      </c>
      <c r="B1906" s="59">
        <v>1028005104</v>
      </c>
      <c r="C1906" s="59" t="s">
        <v>4342</v>
      </c>
      <c r="E1906" s="49" t="s">
        <v>2355</v>
      </c>
      <c r="F1906" s="76" t="str">
        <f>IFERROR(IF(Tabla1[[#This Row],[CONCEPTO mx]]="","",VLOOKUP(Tabla1[[#This Row],[CONCEPTO mx]],Tabla2[#All],2,0)),"")</f>
        <v>CM13</v>
      </c>
      <c r="G1906" s="76" t="str">
        <f>IFERROR(IF(Tabla1[[#This Row],[CONCEPTO mx]]="","",VLOOKUP(Tabla1[[#This Row],[CONCEPTO mx]],Tabla2[#All],3,0)),"")</f>
        <v>Gestión Humana</v>
      </c>
      <c r="J1906" s="49" t="s">
        <v>4343</v>
      </c>
    </row>
    <row r="1907" spans="1:12" x14ac:dyDescent="0.25">
      <c r="A1907" s="51">
        <v>43678</v>
      </c>
      <c r="B1907" s="59">
        <v>1002086461</v>
      </c>
      <c r="C1907" s="59" t="s">
        <v>4345</v>
      </c>
      <c r="D1907" s="49" t="s">
        <v>180</v>
      </c>
      <c r="E1907" s="49" t="s">
        <v>3198</v>
      </c>
      <c r="F1907" s="76" t="str">
        <f>IFERROR(IF(Tabla1[[#This Row],[CONCEPTO mx]]="","",VLOOKUP(Tabla1[[#This Row],[CONCEPTO mx]],Tabla2[#All],2,0)),"")</f>
        <v>CM6</v>
      </c>
      <c r="G1907" s="76" t="str">
        <f>IFERROR(IF(Tabla1[[#This Row],[CONCEPTO mx]]="","",VLOOKUP(Tabla1[[#This Row],[CONCEPTO mx]],Tabla2[#All],3,0)),"")</f>
        <v>SST</v>
      </c>
      <c r="H1907" s="49" t="s">
        <v>528</v>
      </c>
      <c r="I1907" s="49" t="s">
        <v>2298</v>
      </c>
      <c r="J1907" s="49" t="s">
        <v>4344</v>
      </c>
      <c r="L1907" s="59" t="s">
        <v>4346</v>
      </c>
    </row>
    <row r="1908" spans="1:12" x14ac:dyDescent="0.25">
      <c r="A1908" s="51">
        <v>43678</v>
      </c>
      <c r="B1908" s="59">
        <v>1001667867</v>
      </c>
      <c r="C1908" s="59" t="s">
        <v>4347</v>
      </c>
      <c r="D1908" s="49" t="s">
        <v>51</v>
      </c>
      <c r="E1908" s="49" t="s">
        <v>3249</v>
      </c>
      <c r="F1908" s="76" t="str">
        <f>IFERROR(IF(Tabla1[[#This Row],[CONCEPTO mx]]="","",VLOOKUP(Tabla1[[#This Row],[CONCEPTO mx]],Tabla2[#All],2,0)),"")</f>
        <v>CM3</v>
      </c>
      <c r="G1908" s="76" t="str">
        <f>IFERROR(IF(Tabla1[[#This Row],[CONCEPTO mx]]="","",VLOOKUP(Tabla1[[#This Row],[CONCEPTO mx]],Tabla2[#All],3,0)),"")</f>
        <v>SST</v>
      </c>
      <c r="H1908" s="49" t="s">
        <v>406</v>
      </c>
      <c r="I1908" s="49" t="s">
        <v>2512</v>
      </c>
      <c r="J1908" s="49" t="s">
        <v>4348</v>
      </c>
    </row>
    <row r="1909" spans="1:12" x14ac:dyDescent="0.25">
      <c r="A1909" s="51">
        <v>43678</v>
      </c>
      <c r="B1909" s="59">
        <v>1063280335</v>
      </c>
      <c r="C1909" s="59" t="s">
        <v>4349</v>
      </c>
      <c r="D1909" s="49" t="s">
        <v>51</v>
      </c>
      <c r="E1909" s="49" t="s">
        <v>3248</v>
      </c>
      <c r="F1909" s="76" t="str">
        <f>IFERROR(IF(Tabla1[[#This Row],[CONCEPTO mx]]="","",VLOOKUP(Tabla1[[#This Row],[CONCEPTO mx]],Tabla2[#All],2,0)),"")</f>
        <v>CM1</v>
      </c>
      <c r="G1909" s="76" t="str">
        <f>IFERROR(IF(Tabla1[[#This Row],[CONCEPTO mx]]="","",VLOOKUP(Tabla1[[#This Row],[CONCEPTO mx]],Tabla2[#All],3,0)),"")</f>
        <v>Gestión Humana</v>
      </c>
      <c r="H1909" s="49" t="s">
        <v>628</v>
      </c>
      <c r="I1909" s="49" t="s">
        <v>2298</v>
      </c>
      <c r="J1909" s="49" t="s">
        <v>4350</v>
      </c>
    </row>
    <row r="1910" spans="1:12" x14ac:dyDescent="0.25">
      <c r="A1910" s="51">
        <v>43678</v>
      </c>
      <c r="B1910" s="59">
        <v>1028014089</v>
      </c>
      <c r="C1910" s="59" t="s">
        <v>4351</v>
      </c>
      <c r="D1910" s="49" t="s">
        <v>51</v>
      </c>
      <c r="E1910" s="54" t="s">
        <v>2401</v>
      </c>
      <c r="F1910" s="76" t="str">
        <f>IFERROR(IF(Tabla1[[#This Row],[CONCEPTO mx]]="","",VLOOKUP(Tabla1[[#This Row],[CONCEPTO mx]],Tabla2[#All],2,0)),"")</f>
        <v>CM28</v>
      </c>
      <c r="G1910" s="76" t="str">
        <f>IFERROR(IF(Tabla1[[#This Row],[CONCEPTO mx]]="","",VLOOKUP(Tabla1[[#This Row],[CONCEPTO mx]],Tabla2[#All],3,0)),"")</f>
        <v>SST</v>
      </c>
      <c r="H1910" s="49" t="s">
        <v>387</v>
      </c>
      <c r="I1910" s="49" t="s">
        <v>2298</v>
      </c>
      <c r="J1910" s="54" t="s">
        <v>4352</v>
      </c>
      <c r="L1910" s="59" t="s">
        <v>4363</v>
      </c>
    </row>
    <row r="1911" spans="1:12" x14ac:dyDescent="0.25">
      <c r="A1911" s="51">
        <v>43678</v>
      </c>
      <c r="B1911" s="59">
        <v>1028016557</v>
      </c>
      <c r="C1911" s="59" t="s">
        <v>4355</v>
      </c>
      <c r="D1911" s="49" t="s">
        <v>51</v>
      </c>
      <c r="E1911" s="54" t="s">
        <v>3192</v>
      </c>
      <c r="F1911" s="76" t="str">
        <f>IFERROR(IF(Tabla1[[#This Row],[CONCEPTO mx]]="","",VLOOKUP(Tabla1[[#This Row],[CONCEPTO mx]],Tabla2[#All],2,0)),"")</f>
        <v>CM29</v>
      </c>
      <c r="G1911" s="76" t="str">
        <f>IFERROR(IF(Tabla1[[#This Row],[CONCEPTO mx]]="","",VLOOKUP(Tabla1[[#This Row],[CONCEPTO mx]],Tabla2[#All],3,0)),"")</f>
        <v>SST</v>
      </c>
      <c r="H1911" s="49" t="s">
        <v>2393</v>
      </c>
      <c r="I1911" s="49" t="s">
        <v>2419</v>
      </c>
      <c r="J1911" s="49" t="s">
        <v>3988</v>
      </c>
      <c r="L1911" s="49" t="s">
        <v>4356</v>
      </c>
    </row>
    <row r="1912" spans="1:12" x14ac:dyDescent="0.25">
      <c r="A1912" s="51">
        <v>43678</v>
      </c>
      <c r="B1912" s="59">
        <v>1002088548</v>
      </c>
      <c r="C1912" s="59" t="s">
        <v>4357</v>
      </c>
      <c r="D1912" s="49" t="s">
        <v>51</v>
      </c>
      <c r="E1912" s="49" t="s">
        <v>3249</v>
      </c>
      <c r="F1912" s="76" t="str">
        <f>IFERROR(IF(Tabla1[[#This Row],[CONCEPTO mx]]="","",VLOOKUP(Tabla1[[#This Row],[CONCEPTO mx]],Tabla2[#All],2,0)),"")</f>
        <v>CM3</v>
      </c>
      <c r="G1912" s="76" t="str">
        <f>IFERROR(IF(Tabla1[[#This Row],[CONCEPTO mx]]="","",VLOOKUP(Tabla1[[#This Row],[CONCEPTO mx]],Tabla2[#All],3,0)),"")</f>
        <v>SST</v>
      </c>
      <c r="H1912" s="49" t="s">
        <v>343</v>
      </c>
      <c r="I1912" s="49" t="s">
        <v>2298</v>
      </c>
      <c r="J1912" s="49" t="s">
        <v>4358</v>
      </c>
    </row>
    <row r="1913" spans="1:12" s="54" customFormat="1" x14ac:dyDescent="0.25">
      <c r="A1913" s="80">
        <v>43678</v>
      </c>
      <c r="B1913" s="85">
        <v>1192718584</v>
      </c>
      <c r="C1913" s="85" t="s">
        <v>4353</v>
      </c>
      <c r="D1913" s="54" t="s">
        <v>51</v>
      </c>
      <c r="E1913" s="54" t="s">
        <v>3315</v>
      </c>
      <c r="F1913" s="97" t="str">
        <f>IFERROR(IF(Tabla1[[#This Row],[CONCEPTO mx]]="","",VLOOKUP(Tabla1[[#This Row],[CONCEPTO mx]],Tabla2[#All],2,0)),"")</f>
        <v>CM40</v>
      </c>
      <c r="G1913" s="97" t="str">
        <f>IFERROR(IF(Tabla1[[#This Row],[CONCEPTO mx]]="","",VLOOKUP(Tabla1[[#This Row],[CONCEPTO mx]],Tabla2[#All],3,0)),"")</f>
        <v>SST</v>
      </c>
      <c r="H1913" s="54" t="s">
        <v>2394</v>
      </c>
      <c r="I1913" s="54" t="s">
        <v>2298</v>
      </c>
      <c r="J1913" s="54" t="s">
        <v>4350</v>
      </c>
      <c r="L1913" s="85" t="s">
        <v>4427</v>
      </c>
    </row>
    <row r="1914" spans="1:12" x14ac:dyDescent="0.25">
      <c r="A1914" s="51">
        <v>43678</v>
      </c>
      <c r="B1914" s="59">
        <v>1192718584</v>
      </c>
      <c r="C1914" s="59" t="s">
        <v>4359</v>
      </c>
      <c r="D1914" s="49" t="s">
        <v>180</v>
      </c>
      <c r="E1914" s="54" t="s">
        <v>3198</v>
      </c>
      <c r="F1914" s="76" t="str">
        <f>IFERROR(IF(Tabla1[[#This Row],[CONCEPTO mx]]="","",VLOOKUP(Tabla1[[#This Row],[CONCEPTO mx]],Tabla2[#All],2,0)),"")</f>
        <v>CM6</v>
      </c>
      <c r="G1914" s="76" t="str">
        <f>IFERROR(IF(Tabla1[[#This Row],[CONCEPTO mx]]="","",VLOOKUP(Tabla1[[#This Row],[CONCEPTO mx]],Tabla2[#All],3,0)),"")</f>
        <v>SST</v>
      </c>
      <c r="H1914" s="49" t="s">
        <v>387</v>
      </c>
      <c r="I1914" s="49" t="s">
        <v>2298</v>
      </c>
      <c r="J1914" s="49" t="s">
        <v>4354</v>
      </c>
      <c r="L1914" s="59" t="s">
        <v>4364</v>
      </c>
    </row>
    <row r="1915" spans="1:12" x14ac:dyDescent="0.25">
      <c r="A1915" s="51">
        <v>43678</v>
      </c>
      <c r="B1915" s="59">
        <v>1010031859</v>
      </c>
      <c r="C1915" s="59" t="s">
        <v>4360</v>
      </c>
      <c r="D1915" s="49" t="s">
        <v>180</v>
      </c>
      <c r="E1915" s="49" t="s">
        <v>3188</v>
      </c>
      <c r="F1915" s="76" t="str">
        <f>IFERROR(IF(Tabla1[[#This Row],[CONCEPTO mx]]="","",VLOOKUP(Tabla1[[#This Row],[CONCEPTO mx]],Tabla2[#All],2,0)),"")</f>
        <v>CM7</v>
      </c>
      <c r="G1915" s="76" t="str">
        <f>IFERROR(IF(Tabla1[[#This Row],[CONCEPTO mx]]="","",VLOOKUP(Tabla1[[#This Row],[CONCEPTO mx]],Tabla2[#All],3,0)),"")</f>
        <v>SST</v>
      </c>
      <c r="H1915" s="49" t="s">
        <v>628</v>
      </c>
      <c r="I1915" s="49" t="s">
        <v>2298</v>
      </c>
      <c r="J1915" s="49" t="s">
        <v>2422</v>
      </c>
      <c r="L1915" s="49" t="s">
        <v>4365</v>
      </c>
    </row>
    <row r="1916" spans="1:12" x14ac:dyDescent="0.25">
      <c r="A1916" s="51">
        <v>43678</v>
      </c>
      <c r="B1916" s="59">
        <v>1028039805</v>
      </c>
      <c r="C1916" s="59" t="s">
        <v>4362</v>
      </c>
      <c r="D1916" s="49" t="s">
        <v>51</v>
      </c>
      <c r="E1916" s="49" t="s">
        <v>3315</v>
      </c>
      <c r="F1916" s="76" t="str">
        <f>IFERROR(IF(Tabla1[[#This Row],[CONCEPTO mx]]="","",VLOOKUP(Tabla1[[#This Row],[CONCEPTO mx]],Tabla2[#All],2,0)),"")</f>
        <v>CM40</v>
      </c>
      <c r="G1916" s="76" t="str">
        <f>IFERROR(IF(Tabla1[[#This Row],[CONCEPTO mx]]="","",VLOOKUP(Tabla1[[#This Row],[CONCEPTO mx]],Tabla2[#All],3,0)),"")</f>
        <v>SST</v>
      </c>
      <c r="H1916" s="49" t="s">
        <v>387</v>
      </c>
      <c r="I1916" s="49" t="s">
        <v>2298</v>
      </c>
      <c r="J1916" s="54" t="s">
        <v>3645</v>
      </c>
    </row>
    <row r="1917" spans="1:12" x14ac:dyDescent="0.25">
      <c r="A1917" s="51">
        <v>43678</v>
      </c>
      <c r="B1917" s="78">
        <v>1028041217</v>
      </c>
      <c r="C1917" s="59" t="s">
        <v>4419</v>
      </c>
      <c r="D1917" s="49" t="s">
        <v>51</v>
      </c>
      <c r="E1917" s="49" t="s">
        <v>3198</v>
      </c>
      <c r="F1917" s="76" t="str">
        <f>IFERROR(IF(Tabla1[[#This Row],[CONCEPTO mx]]="","",VLOOKUP(Tabla1[[#This Row],[CONCEPTO mx]],Tabla2[#All],2,0)),"")</f>
        <v>CM6</v>
      </c>
      <c r="G1917" s="76" t="str">
        <f>IFERROR(IF(Tabla1[[#This Row],[CONCEPTO mx]]="","",VLOOKUP(Tabla1[[#This Row],[CONCEPTO mx]],Tabla2[#All],3,0)),"")</f>
        <v>SST</v>
      </c>
      <c r="H1917" s="49" t="s">
        <v>387</v>
      </c>
      <c r="I1917" s="49" t="s">
        <v>2298</v>
      </c>
      <c r="J1917" s="54" t="s">
        <v>3558</v>
      </c>
      <c r="L1917" s="49" t="s">
        <v>4166</v>
      </c>
    </row>
    <row r="1918" spans="1:12" x14ac:dyDescent="0.25">
      <c r="A1918" s="51">
        <v>43678</v>
      </c>
      <c r="B1918" s="78">
        <v>1007337313</v>
      </c>
      <c r="C1918" s="59" t="s">
        <v>4420</v>
      </c>
      <c r="D1918" s="49" t="s">
        <v>51</v>
      </c>
      <c r="E1918" s="49" t="s">
        <v>3315</v>
      </c>
      <c r="F1918" s="76" t="str">
        <f>IFERROR(IF(Tabla1[[#This Row],[CONCEPTO mx]]="","",VLOOKUP(Tabla1[[#This Row],[CONCEPTO mx]],Tabla2[#All],2,0)),"")</f>
        <v>CM40</v>
      </c>
      <c r="G1918" s="76" t="str">
        <f>IFERROR(IF(Tabla1[[#This Row],[CONCEPTO mx]]="","",VLOOKUP(Tabla1[[#This Row],[CONCEPTO mx]],Tabla2[#All],3,0)),"")</f>
        <v>SST</v>
      </c>
      <c r="H1918" s="49" t="s">
        <v>2576</v>
      </c>
      <c r="I1918" s="49" t="s">
        <v>2298</v>
      </c>
      <c r="J1918" s="54" t="s">
        <v>2409</v>
      </c>
      <c r="L1918" s="49" t="s">
        <v>4421</v>
      </c>
    </row>
    <row r="1919" spans="1:12" x14ac:dyDescent="0.25">
      <c r="A1919" s="51">
        <v>43678</v>
      </c>
      <c r="B1919" s="78">
        <v>1038823940</v>
      </c>
      <c r="C1919" s="59" t="s">
        <v>4422</v>
      </c>
      <c r="D1919" s="49" t="s">
        <v>51</v>
      </c>
      <c r="E1919" s="49" t="s">
        <v>3248</v>
      </c>
      <c r="F1919" s="76" t="str">
        <f>IFERROR(IF(Tabla1[[#This Row],[CONCEPTO mx]]="","",VLOOKUP(Tabla1[[#This Row],[CONCEPTO mx]],Tabla2[#All],2,0)),"")</f>
        <v>CM1</v>
      </c>
      <c r="G1919" s="76" t="str">
        <f>IFERROR(IF(Tabla1[[#This Row],[CONCEPTO mx]]="","",VLOOKUP(Tabla1[[#This Row],[CONCEPTO mx]],Tabla2[#All],3,0)),"")</f>
        <v>Gestión Humana</v>
      </c>
      <c r="H1919" s="49" t="s">
        <v>438</v>
      </c>
      <c r="I1919" s="49" t="s">
        <v>2298</v>
      </c>
      <c r="J1919" s="54" t="s">
        <v>4005</v>
      </c>
    </row>
    <row r="1920" spans="1:12" x14ac:dyDescent="0.25">
      <c r="A1920" s="51">
        <v>43678</v>
      </c>
      <c r="B1920" s="78">
        <v>1038818052</v>
      </c>
      <c r="C1920" s="59" t="s">
        <v>4423</v>
      </c>
      <c r="D1920" s="49" t="s">
        <v>51</v>
      </c>
      <c r="E1920" s="49" t="s">
        <v>3198</v>
      </c>
      <c r="F1920" s="76" t="str">
        <f>IFERROR(IF(Tabla1[[#This Row],[CONCEPTO mx]]="","",VLOOKUP(Tabla1[[#This Row],[CONCEPTO mx]],Tabla2[#All],2,0)),"")</f>
        <v>CM6</v>
      </c>
      <c r="G1920" s="76" t="str">
        <f>IFERROR(IF(Tabla1[[#This Row],[CONCEPTO mx]]="","",VLOOKUP(Tabla1[[#This Row],[CONCEPTO mx]],Tabla2[#All],3,0)),"")</f>
        <v>SST</v>
      </c>
      <c r="H1920" s="49" t="s">
        <v>438</v>
      </c>
      <c r="I1920" s="49" t="s">
        <v>2298</v>
      </c>
      <c r="J1920" s="54" t="s">
        <v>4424</v>
      </c>
      <c r="L1920" s="49" t="s">
        <v>4425</v>
      </c>
    </row>
    <row r="1921" spans="1:12" x14ac:dyDescent="0.25">
      <c r="A1921" s="51">
        <v>43682</v>
      </c>
      <c r="B1921" s="59">
        <v>8322310</v>
      </c>
      <c r="C1921" s="59" t="s">
        <v>4320</v>
      </c>
      <c r="E1921" s="49" t="s">
        <v>2355</v>
      </c>
      <c r="F1921" s="76" t="str">
        <f>IFERROR(IF(Tabla1[[#This Row],[CONCEPTO mx]]="","",VLOOKUP(Tabla1[[#This Row],[CONCEPTO mx]],Tabla2[#All],2,0)),"")</f>
        <v>CM13</v>
      </c>
      <c r="G1921" s="76" t="str">
        <f>IFERROR(IF(Tabla1[[#This Row],[CONCEPTO mx]]="","",VLOOKUP(Tabla1[[#This Row],[CONCEPTO mx]],Tabla2[#All],3,0)),"")</f>
        <v>Gestión Humana</v>
      </c>
      <c r="H1921" s="49" t="s">
        <v>486</v>
      </c>
      <c r="I1921" s="49" t="s">
        <v>2298</v>
      </c>
      <c r="J1921" s="49" t="s">
        <v>2819</v>
      </c>
      <c r="K1921" s="51">
        <v>43673</v>
      </c>
      <c r="L1921" s="59" t="s">
        <v>3370</v>
      </c>
    </row>
    <row r="1922" spans="1:12" x14ac:dyDescent="0.25">
      <c r="A1922" s="51">
        <v>43682</v>
      </c>
      <c r="B1922" s="59">
        <v>1001670063</v>
      </c>
      <c r="C1922" s="59" t="s">
        <v>4301</v>
      </c>
      <c r="D1922" s="49" t="s">
        <v>51</v>
      </c>
      <c r="E1922" s="49" t="s">
        <v>2355</v>
      </c>
      <c r="F1922" s="76" t="str">
        <f>IFERROR(IF(Tabla1[[#This Row],[CONCEPTO mx]]="","",VLOOKUP(Tabla1[[#This Row],[CONCEPTO mx]],Tabla2[#All],2,0)),"")</f>
        <v>CM13</v>
      </c>
      <c r="G1922" s="76" t="str">
        <f>IFERROR(IF(Tabla1[[#This Row],[CONCEPTO mx]]="","",VLOOKUP(Tabla1[[#This Row],[CONCEPTO mx]],Tabla2[#All],3,0)),"")</f>
        <v>Gestión Humana</v>
      </c>
      <c r="H1922" s="49" t="s">
        <v>441</v>
      </c>
      <c r="I1922" s="49" t="s">
        <v>2512</v>
      </c>
      <c r="J1922" s="49" t="s">
        <v>4302</v>
      </c>
      <c r="K1922" s="51">
        <v>43669</v>
      </c>
      <c r="L1922" s="49" t="s">
        <v>4426</v>
      </c>
    </row>
    <row r="1923" spans="1:12" x14ac:dyDescent="0.25">
      <c r="A1923" s="51">
        <v>43682</v>
      </c>
      <c r="B1923" s="59">
        <v>1007727066</v>
      </c>
      <c r="C1923" s="59" t="s">
        <v>4367</v>
      </c>
      <c r="D1923" s="49" t="s">
        <v>51</v>
      </c>
      <c r="E1923" s="49" t="s">
        <v>3315</v>
      </c>
      <c r="F1923" s="76" t="str">
        <f>IFERROR(IF(Tabla1[[#This Row],[CONCEPTO mx]]="","",VLOOKUP(Tabla1[[#This Row],[CONCEPTO mx]],Tabla2[#All],2,0)),"")</f>
        <v>CM40</v>
      </c>
      <c r="G1923" s="76" t="str">
        <f>IFERROR(IF(Tabla1[[#This Row],[CONCEPTO mx]]="","",VLOOKUP(Tabla1[[#This Row],[CONCEPTO mx]],Tabla2[#All],3,0)),"")</f>
        <v>SST</v>
      </c>
      <c r="H1923" s="49" t="s">
        <v>387</v>
      </c>
      <c r="I1923" s="49" t="s">
        <v>2298</v>
      </c>
      <c r="J1923" s="49" t="s">
        <v>3969</v>
      </c>
      <c r="L1923" s="59" t="s">
        <v>4368</v>
      </c>
    </row>
    <row r="1924" spans="1:12" x14ac:dyDescent="0.25">
      <c r="A1924" s="51">
        <v>43682</v>
      </c>
      <c r="B1924" s="59">
        <v>1038816021</v>
      </c>
      <c r="C1924" s="59" t="s">
        <v>4260</v>
      </c>
      <c r="D1924" s="49" t="s">
        <v>180</v>
      </c>
      <c r="E1924" s="49" t="s">
        <v>3174</v>
      </c>
      <c r="F1924" s="76" t="str">
        <f>IFERROR(IF(Tabla1[[#This Row],[CONCEPTO mx]]="","",VLOOKUP(Tabla1[[#This Row],[CONCEPTO mx]],Tabla2[#All],2,0)),"")</f>
        <v>CM2</v>
      </c>
      <c r="G1924" s="76" t="str">
        <f>IFERROR(IF(Tabla1[[#This Row],[CONCEPTO mx]]="","",VLOOKUP(Tabla1[[#This Row],[CONCEPTO mx]],Tabla2[#All],3,0)),"")</f>
        <v>SST</v>
      </c>
      <c r="H1924" s="49" t="s">
        <v>406</v>
      </c>
      <c r="I1924" s="49" t="s">
        <v>2512</v>
      </c>
      <c r="J1924" s="49" t="s">
        <v>4369</v>
      </c>
      <c r="K1924" s="51">
        <v>43665</v>
      </c>
      <c r="L1924" s="59" t="s">
        <v>3718</v>
      </c>
    </row>
    <row r="1925" spans="1:12" x14ac:dyDescent="0.25">
      <c r="A1925" s="51">
        <v>43682</v>
      </c>
      <c r="B1925" s="59">
        <v>39429277</v>
      </c>
      <c r="C1925" s="59" t="s">
        <v>4196</v>
      </c>
      <c r="D1925" s="49" t="s">
        <v>180</v>
      </c>
      <c r="E1925" s="49" t="s">
        <v>3174</v>
      </c>
      <c r="F1925" s="76" t="str">
        <f>IFERROR(IF(Tabla1[[#This Row],[CONCEPTO mx]]="","",VLOOKUP(Tabla1[[#This Row],[CONCEPTO mx]],Tabla2[#All],2,0)),"")</f>
        <v>CM2</v>
      </c>
      <c r="G1925" s="76" t="str">
        <f>IFERROR(IF(Tabla1[[#This Row],[CONCEPTO mx]]="","",VLOOKUP(Tabla1[[#This Row],[CONCEPTO mx]],Tabla2[#All],3,0)),"")</f>
        <v>SST</v>
      </c>
      <c r="H1925" s="49" t="s">
        <v>486</v>
      </c>
      <c r="I1925" s="49" t="s">
        <v>2512</v>
      </c>
      <c r="J1925" s="49" t="s">
        <v>4370</v>
      </c>
      <c r="K1925" s="51">
        <v>43665</v>
      </c>
      <c r="L1925" s="59" t="s">
        <v>4371</v>
      </c>
    </row>
    <row r="1926" spans="1:12" x14ac:dyDescent="0.25">
      <c r="A1926" s="51">
        <v>43682</v>
      </c>
      <c r="B1926" s="59">
        <v>1140418449</v>
      </c>
      <c r="C1926" s="59" t="s">
        <v>4181</v>
      </c>
      <c r="D1926" s="49" t="s">
        <v>180</v>
      </c>
      <c r="E1926" s="49" t="s">
        <v>3174</v>
      </c>
      <c r="F1926" s="76" t="str">
        <f>IFERROR(IF(Tabla1[[#This Row],[CONCEPTO mx]]="","",VLOOKUP(Tabla1[[#This Row],[CONCEPTO mx]],Tabla2[#All],2,0)),"")</f>
        <v>CM2</v>
      </c>
      <c r="G1926" s="76" t="str">
        <f>IFERROR(IF(Tabla1[[#This Row],[CONCEPTO mx]]="","",VLOOKUP(Tabla1[[#This Row],[CONCEPTO mx]],Tabla2[#All],3,0)),"")</f>
        <v>SST</v>
      </c>
      <c r="H1926" s="49" t="s">
        <v>470</v>
      </c>
      <c r="I1926" s="49" t="s">
        <v>2298</v>
      </c>
      <c r="J1926" s="49" t="s">
        <v>2409</v>
      </c>
      <c r="K1926" s="51">
        <v>43650</v>
      </c>
      <c r="L1926" s="59" t="s">
        <v>3718</v>
      </c>
    </row>
    <row r="1927" spans="1:12" x14ac:dyDescent="0.25">
      <c r="A1927" s="51">
        <v>43682</v>
      </c>
      <c r="B1927" s="50">
        <v>1063724749</v>
      </c>
      <c r="C1927" s="49" t="s">
        <v>4372</v>
      </c>
      <c r="D1927" s="49" t="s">
        <v>51</v>
      </c>
      <c r="E1927" s="49" t="s">
        <v>3249</v>
      </c>
      <c r="F1927" s="76" t="str">
        <f>IFERROR(IF(Tabla1[[#This Row],[CONCEPTO mx]]="","",VLOOKUP(Tabla1[[#This Row],[CONCEPTO mx]],Tabla2[#All],2,0)),"")</f>
        <v>CM3</v>
      </c>
      <c r="G1927" s="76" t="str">
        <f>IFERROR(IF(Tabla1[[#This Row],[CONCEPTO mx]]="","",VLOOKUP(Tabla1[[#This Row],[CONCEPTO mx]],Tabla2[#All],3,0)),"")</f>
        <v>SST</v>
      </c>
      <c r="H1927" s="49" t="s">
        <v>406</v>
      </c>
      <c r="I1927" s="49" t="s">
        <v>2298</v>
      </c>
      <c r="J1927" s="49" t="s">
        <v>4373</v>
      </c>
      <c r="L1927" s="49" t="s">
        <v>4175</v>
      </c>
    </row>
    <row r="1928" spans="1:12" x14ac:dyDescent="0.25">
      <c r="A1928" s="51">
        <v>43682</v>
      </c>
      <c r="B1928" s="50">
        <v>8322115</v>
      </c>
      <c r="C1928" s="49" t="s">
        <v>4374</v>
      </c>
      <c r="D1928" s="49" t="s">
        <v>51</v>
      </c>
      <c r="E1928" s="49" t="s">
        <v>3248</v>
      </c>
      <c r="F1928" s="76" t="str">
        <f>IFERROR(IF(Tabla1[[#This Row],[CONCEPTO mx]]="","",VLOOKUP(Tabla1[[#This Row],[CONCEPTO mx]],Tabla2[#All],2,0)),"")</f>
        <v>CM1</v>
      </c>
      <c r="G1928" s="76" t="str">
        <f>IFERROR(IF(Tabla1[[#This Row],[CONCEPTO mx]]="","",VLOOKUP(Tabla1[[#This Row],[CONCEPTO mx]],Tabla2[#All],3,0)),"")</f>
        <v>Gestión Humana</v>
      </c>
      <c r="H1928" s="49" t="s">
        <v>528</v>
      </c>
      <c r="I1928" s="49" t="s">
        <v>2298</v>
      </c>
      <c r="J1928" s="49" t="s">
        <v>2819</v>
      </c>
    </row>
    <row r="1929" spans="1:12" x14ac:dyDescent="0.25">
      <c r="A1929" s="51">
        <v>43682</v>
      </c>
      <c r="B1929" s="50">
        <v>1027943410</v>
      </c>
      <c r="C1929" s="49" t="s">
        <v>4375</v>
      </c>
      <c r="D1929" s="49" t="s">
        <v>51</v>
      </c>
      <c r="E1929" s="49" t="s">
        <v>3249</v>
      </c>
      <c r="F1929" s="76" t="str">
        <f>IFERROR(IF(Tabla1[[#This Row],[CONCEPTO mx]]="","",VLOOKUP(Tabla1[[#This Row],[CONCEPTO mx]],Tabla2[#All],2,0)),"")</f>
        <v>CM3</v>
      </c>
      <c r="G1929" s="76" t="str">
        <f>IFERROR(IF(Tabla1[[#This Row],[CONCEPTO mx]]="","",VLOOKUP(Tabla1[[#This Row],[CONCEPTO mx]],Tabla2[#All],3,0)),"")</f>
        <v>SST</v>
      </c>
      <c r="H1929" s="49" t="s">
        <v>2394</v>
      </c>
      <c r="I1929" s="49" t="s">
        <v>2298</v>
      </c>
      <c r="J1929" s="49" t="s">
        <v>4376</v>
      </c>
      <c r="L1929" s="49" t="s">
        <v>4377</v>
      </c>
    </row>
    <row r="1930" spans="1:12" x14ac:dyDescent="0.25">
      <c r="A1930" s="51">
        <v>43682</v>
      </c>
      <c r="B1930" s="50">
        <v>1045500599</v>
      </c>
      <c r="C1930" s="49" t="s">
        <v>4378</v>
      </c>
      <c r="D1930" s="49" t="s">
        <v>51</v>
      </c>
      <c r="E1930" s="49" t="s">
        <v>3248</v>
      </c>
      <c r="F1930" s="76" t="str">
        <f>IFERROR(IF(Tabla1[[#This Row],[CONCEPTO mx]]="","",VLOOKUP(Tabla1[[#This Row],[CONCEPTO mx]],Tabla2[#All],2,0)),"")</f>
        <v>CM1</v>
      </c>
      <c r="G1930" s="76" t="str">
        <f>IFERROR(IF(Tabla1[[#This Row],[CONCEPTO mx]]="","",VLOOKUP(Tabla1[[#This Row],[CONCEPTO mx]],Tabla2[#All],3,0)),"")</f>
        <v>Gestión Humana</v>
      </c>
      <c r="H1930" s="49" t="s">
        <v>528</v>
      </c>
      <c r="I1930" s="49" t="s">
        <v>2298</v>
      </c>
      <c r="J1930" s="49" t="s">
        <v>4379</v>
      </c>
    </row>
    <row r="1931" spans="1:12" x14ac:dyDescent="0.25">
      <c r="A1931" s="51">
        <v>43682</v>
      </c>
      <c r="B1931" s="50">
        <v>1039081558</v>
      </c>
      <c r="C1931" s="49" t="s">
        <v>4380</v>
      </c>
      <c r="D1931" s="49" t="s">
        <v>51</v>
      </c>
      <c r="E1931" s="49" t="s">
        <v>3249</v>
      </c>
      <c r="F1931" s="76" t="str">
        <f>IFERROR(IF(Tabla1[[#This Row],[CONCEPTO mx]]="","",VLOOKUP(Tabla1[[#This Row],[CONCEPTO mx]],Tabla2[#All],2,0)),"")</f>
        <v>CM3</v>
      </c>
      <c r="G1931" s="76" t="str">
        <f>IFERROR(IF(Tabla1[[#This Row],[CONCEPTO mx]]="","",VLOOKUP(Tabla1[[#This Row],[CONCEPTO mx]],Tabla2[#All],3,0)),"")</f>
        <v>SST</v>
      </c>
      <c r="H1931" s="49" t="s">
        <v>528</v>
      </c>
      <c r="I1931" s="49" t="s">
        <v>2298</v>
      </c>
      <c r="J1931" s="49" t="s">
        <v>2819</v>
      </c>
      <c r="L1931" s="49" t="s">
        <v>4381</v>
      </c>
    </row>
    <row r="1932" spans="1:12" x14ac:dyDescent="0.25">
      <c r="A1932" s="51">
        <v>43682</v>
      </c>
      <c r="B1932" s="50">
        <v>71216477</v>
      </c>
      <c r="C1932" s="49" t="s">
        <v>4382</v>
      </c>
      <c r="D1932" s="49" t="s">
        <v>51</v>
      </c>
      <c r="E1932" s="49" t="s">
        <v>3188</v>
      </c>
      <c r="F1932" s="76" t="str">
        <f>IFERROR(IF(Tabla1[[#This Row],[CONCEPTO mx]]="","",VLOOKUP(Tabla1[[#This Row],[CONCEPTO mx]],Tabla2[#All],2,0)),"")</f>
        <v>CM7</v>
      </c>
      <c r="G1932" s="76" t="str">
        <f>IFERROR(IF(Tabla1[[#This Row],[CONCEPTO mx]]="","",VLOOKUP(Tabla1[[#This Row],[CONCEPTO mx]],Tabla2[#All],3,0)),"")</f>
        <v>SST</v>
      </c>
      <c r="H1932" s="49" t="s">
        <v>470</v>
      </c>
      <c r="I1932" s="49" t="s">
        <v>2419</v>
      </c>
      <c r="J1932" s="49" t="s">
        <v>4383</v>
      </c>
    </row>
    <row r="1933" spans="1:12" x14ac:dyDescent="0.25">
      <c r="A1933" s="51">
        <v>43682</v>
      </c>
      <c r="B1933" s="50">
        <v>1028031568</v>
      </c>
      <c r="C1933" s="49" t="s">
        <v>4384</v>
      </c>
      <c r="D1933" s="49" t="s">
        <v>180</v>
      </c>
      <c r="E1933" s="49" t="s">
        <v>3193</v>
      </c>
      <c r="F1933" s="76" t="str">
        <f>IFERROR(IF(Tabla1[[#This Row],[CONCEPTO mx]]="","",VLOOKUP(Tabla1[[#This Row],[CONCEPTO mx]],Tabla2[#All],2,0)),"")</f>
        <v>CM30</v>
      </c>
      <c r="G1933" s="76" t="str">
        <f>IFERROR(IF(Tabla1[[#This Row],[CONCEPTO mx]]="","",VLOOKUP(Tabla1[[#This Row],[CONCEPTO mx]],Tabla2[#All],3,0)),"")</f>
        <v>SST</v>
      </c>
      <c r="H1933" s="49" t="s">
        <v>406</v>
      </c>
      <c r="I1933" s="49" t="s">
        <v>2298</v>
      </c>
      <c r="J1933" s="49" t="s">
        <v>2819</v>
      </c>
      <c r="L1933" s="49" t="s">
        <v>4385</v>
      </c>
    </row>
    <row r="1934" spans="1:12" x14ac:dyDescent="0.25">
      <c r="A1934" s="51">
        <v>43682</v>
      </c>
      <c r="B1934" s="50">
        <v>10455101897</v>
      </c>
      <c r="C1934" s="49" t="s">
        <v>4386</v>
      </c>
      <c r="D1934" s="49" t="s">
        <v>51</v>
      </c>
      <c r="E1934" s="49" t="s">
        <v>3188</v>
      </c>
      <c r="F1934" s="76" t="str">
        <f>IFERROR(IF(Tabla1[[#This Row],[CONCEPTO mx]]="","",VLOOKUP(Tabla1[[#This Row],[CONCEPTO mx]],Tabla2[#All],2,0)),"")</f>
        <v>CM7</v>
      </c>
      <c r="G1934" s="76" t="str">
        <f>IFERROR(IF(Tabla1[[#This Row],[CONCEPTO mx]]="","",VLOOKUP(Tabla1[[#This Row],[CONCEPTO mx]],Tabla2[#All],3,0)),"")</f>
        <v>SST</v>
      </c>
      <c r="H1934" s="49" t="s">
        <v>334</v>
      </c>
      <c r="I1934" s="49" t="s">
        <v>2512</v>
      </c>
      <c r="J1934" s="49" t="s">
        <v>4387</v>
      </c>
      <c r="L1934" s="49" t="s">
        <v>4388</v>
      </c>
    </row>
    <row r="1935" spans="1:12" x14ac:dyDescent="0.25">
      <c r="A1935" s="51">
        <v>43682</v>
      </c>
      <c r="B1935" s="50">
        <v>1028039342</v>
      </c>
      <c r="C1935" s="49" t="s">
        <v>4391</v>
      </c>
      <c r="D1935" s="49" t="s">
        <v>51</v>
      </c>
      <c r="E1935" s="49" t="s">
        <v>3248</v>
      </c>
      <c r="F1935" s="76" t="str">
        <f>IFERROR(IF(Tabla1[[#This Row],[CONCEPTO mx]]="","",VLOOKUP(Tabla1[[#This Row],[CONCEPTO mx]],Tabla2[#All],2,0)),"")</f>
        <v>CM1</v>
      </c>
      <c r="G1935" s="76" t="str">
        <f>IFERROR(IF(Tabla1[[#This Row],[CONCEPTO mx]]="","",VLOOKUP(Tabla1[[#This Row],[CONCEPTO mx]],Tabla2[#All],3,0)),"")</f>
        <v>Gestión Humana</v>
      </c>
      <c r="H1935" s="49" t="s">
        <v>388</v>
      </c>
      <c r="I1935" s="49" t="s">
        <v>2298</v>
      </c>
      <c r="J1935" s="49" t="s">
        <v>4389</v>
      </c>
    </row>
    <row r="1936" spans="1:12" x14ac:dyDescent="0.25">
      <c r="A1936" s="51">
        <v>43682</v>
      </c>
      <c r="B1936" s="50">
        <v>1027961378</v>
      </c>
      <c r="C1936" s="49" t="s">
        <v>4390</v>
      </c>
      <c r="D1936" s="49" t="s">
        <v>180</v>
      </c>
      <c r="E1936" s="49" t="s">
        <v>3193</v>
      </c>
      <c r="F1936" s="76" t="str">
        <f>IFERROR(IF(Tabla1[[#This Row],[CONCEPTO mx]]="","",VLOOKUP(Tabla1[[#This Row],[CONCEPTO mx]],Tabla2[#All],2,0)),"")</f>
        <v>CM30</v>
      </c>
      <c r="G1936" s="76" t="str">
        <f>IFERROR(IF(Tabla1[[#This Row],[CONCEPTO mx]]="","",VLOOKUP(Tabla1[[#This Row],[CONCEPTO mx]],Tabla2[#All],3,0)),"")</f>
        <v>SST</v>
      </c>
      <c r="H1936" s="49" t="s">
        <v>413</v>
      </c>
      <c r="I1936" s="49" t="s">
        <v>2298</v>
      </c>
      <c r="J1936" s="49" t="s">
        <v>4392</v>
      </c>
      <c r="L1936" s="49" t="s">
        <v>4393</v>
      </c>
    </row>
    <row r="1937" spans="1:12" x14ac:dyDescent="0.25">
      <c r="A1937" s="51">
        <v>43682</v>
      </c>
      <c r="B1937" s="50">
        <v>1001032137</v>
      </c>
      <c r="C1937" s="49" t="s">
        <v>4394</v>
      </c>
      <c r="D1937" s="49" t="s">
        <v>51</v>
      </c>
      <c r="E1937" s="49" t="s">
        <v>3249</v>
      </c>
      <c r="F1937" s="76" t="str">
        <f>IFERROR(IF(Tabla1[[#This Row],[CONCEPTO mx]]="","",VLOOKUP(Tabla1[[#This Row],[CONCEPTO mx]],Tabla2[#All],2,0)),"")</f>
        <v>CM3</v>
      </c>
      <c r="G1937" s="76" t="str">
        <f>IFERROR(IF(Tabla1[[#This Row],[CONCEPTO mx]]="","",VLOOKUP(Tabla1[[#This Row],[CONCEPTO mx]],Tabla2[#All],3,0)),"")</f>
        <v>SST</v>
      </c>
      <c r="H1937" s="49" t="s">
        <v>406</v>
      </c>
      <c r="I1937" s="49" t="s">
        <v>2298</v>
      </c>
      <c r="J1937" s="49" t="s">
        <v>4395</v>
      </c>
    </row>
    <row r="1938" spans="1:12" x14ac:dyDescent="0.25">
      <c r="A1938" s="51">
        <v>43682</v>
      </c>
      <c r="B1938" s="50">
        <v>88131464</v>
      </c>
      <c r="C1938" s="49" t="s">
        <v>4396</v>
      </c>
      <c r="D1938" s="49" t="s">
        <v>51</v>
      </c>
      <c r="E1938" s="49" t="s">
        <v>3248</v>
      </c>
      <c r="F1938" s="76" t="str">
        <f>IFERROR(IF(Tabla1[[#This Row],[CONCEPTO mx]]="","",VLOOKUP(Tabla1[[#This Row],[CONCEPTO mx]],Tabla2[#All],2,0)),"")</f>
        <v>CM1</v>
      </c>
      <c r="G1938" s="76" t="str">
        <f>IFERROR(IF(Tabla1[[#This Row],[CONCEPTO mx]]="","",VLOOKUP(Tabla1[[#This Row],[CONCEPTO mx]],Tabla2[#All],3,0)),"")</f>
        <v>Gestión Humana</v>
      </c>
      <c r="H1938" s="49" t="s">
        <v>388</v>
      </c>
      <c r="I1938" s="49" t="s">
        <v>2298</v>
      </c>
      <c r="J1938" s="49" t="s">
        <v>2409</v>
      </c>
    </row>
    <row r="1939" spans="1:12" x14ac:dyDescent="0.25">
      <c r="A1939" s="51">
        <v>43682</v>
      </c>
      <c r="B1939" s="50">
        <v>98602302</v>
      </c>
      <c r="C1939" s="49" t="s">
        <v>4397</v>
      </c>
      <c r="D1939" s="49" t="s">
        <v>180</v>
      </c>
      <c r="E1939" s="49" t="s">
        <v>3188</v>
      </c>
      <c r="F1939" s="76" t="str">
        <f>IFERROR(IF(Tabla1[[#This Row],[CONCEPTO mx]]="","",VLOOKUP(Tabla1[[#This Row],[CONCEPTO mx]],Tabla2[#All],2,0)),"")</f>
        <v>CM7</v>
      </c>
      <c r="G1939" s="76" t="str">
        <f>IFERROR(IF(Tabla1[[#This Row],[CONCEPTO mx]]="","",VLOOKUP(Tabla1[[#This Row],[CONCEPTO mx]],Tabla2[#All],3,0)),"")</f>
        <v>SST</v>
      </c>
      <c r="H1939" s="49" t="s">
        <v>628</v>
      </c>
      <c r="I1939" s="49" t="s">
        <v>2298</v>
      </c>
      <c r="J1939" s="49" t="s">
        <v>2409</v>
      </c>
    </row>
    <row r="1940" spans="1:12" x14ac:dyDescent="0.25">
      <c r="A1940" s="51">
        <v>43682</v>
      </c>
      <c r="B1940" s="50">
        <v>32358483</v>
      </c>
      <c r="C1940" s="49" t="s">
        <v>4398</v>
      </c>
      <c r="E1940" s="49" t="s">
        <v>3694</v>
      </c>
      <c r="F1940" s="76" t="str">
        <f>IFERROR(IF(Tabla1[[#This Row],[CONCEPTO mx]]="","",VLOOKUP(Tabla1[[#This Row],[CONCEPTO mx]],Tabla2[#All],2,0)),"")</f>
        <v>CM44</v>
      </c>
      <c r="G1940" s="76" t="str">
        <f>IFERROR(IF(Tabla1[[#This Row],[CONCEPTO mx]]="","",VLOOKUP(Tabla1[[#This Row],[CONCEPTO mx]],Tabla2[#All],3,0)),"")</f>
        <v>Gestión Humana</v>
      </c>
      <c r="H1940" s="49" t="s">
        <v>2391</v>
      </c>
      <c r="I1940" s="49" t="s">
        <v>1542</v>
      </c>
      <c r="J1940" s="49" t="s">
        <v>3558</v>
      </c>
      <c r="L1940" s="49" t="s">
        <v>4399</v>
      </c>
    </row>
    <row r="1941" spans="1:12" x14ac:dyDescent="0.25">
      <c r="A1941" s="51">
        <v>43682</v>
      </c>
      <c r="B1941" s="50">
        <v>8438417</v>
      </c>
      <c r="C1941" s="49" t="s">
        <v>4400</v>
      </c>
      <c r="D1941" s="49" t="s">
        <v>180</v>
      </c>
      <c r="E1941" s="49" t="s">
        <v>3196</v>
      </c>
      <c r="F1941" s="76" t="str">
        <f>IFERROR(IF(Tabla1[[#This Row],[CONCEPTO mx]]="","",VLOOKUP(Tabla1[[#This Row],[CONCEPTO mx]],Tabla2[#All],2,0)),"")</f>
        <v>CM20</v>
      </c>
      <c r="G1941" s="76" t="str">
        <f>IFERROR(IF(Tabla1[[#This Row],[CONCEPTO mx]]="","",VLOOKUP(Tabla1[[#This Row],[CONCEPTO mx]],Tabla2[#All],3,0)),"")</f>
        <v>SST</v>
      </c>
      <c r="H1941" s="49" t="s">
        <v>628</v>
      </c>
      <c r="I1941" s="49" t="s">
        <v>2298</v>
      </c>
      <c r="J1941" s="49" t="s">
        <v>4402</v>
      </c>
      <c r="L1941" s="49" t="s">
        <v>4401</v>
      </c>
    </row>
    <row r="1942" spans="1:12" x14ac:dyDescent="0.25">
      <c r="A1942" s="51">
        <v>43682</v>
      </c>
      <c r="B1942" s="50">
        <v>1038801490</v>
      </c>
      <c r="C1942" s="49" t="s">
        <v>4403</v>
      </c>
      <c r="D1942" s="49" t="s">
        <v>51</v>
      </c>
      <c r="E1942" s="49" t="s">
        <v>3248</v>
      </c>
      <c r="F1942" s="76" t="str">
        <f>IFERROR(IF(Tabla1[[#This Row],[CONCEPTO mx]]="","",VLOOKUP(Tabla1[[#This Row],[CONCEPTO mx]],Tabla2[#All],2,0)),"")</f>
        <v>CM1</v>
      </c>
      <c r="G1942" s="76" t="str">
        <f>IFERROR(IF(Tabla1[[#This Row],[CONCEPTO mx]]="","",VLOOKUP(Tabla1[[#This Row],[CONCEPTO mx]],Tabla2[#All],3,0)),"")</f>
        <v>Gestión Humana</v>
      </c>
      <c r="H1942" s="49" t="s">
        <v>438</v>
      </c>
      <c r="I1942" s="49" t="s">
        <v>2298</v>
      </c>
      <c r="J1942" s="49" t="s">
        <v>4404</v>
      </c>
    </row>
    <row r="1943" spans="1:12" x14ac:dyDescent="0.25">
      <c r="A1943" s="51">
        <v>43682</v>
      </c>
      <c r="B1943" s="50">
        <v>1028024045</v>
      </c>
      <c r="C1943" s="49" t="s">
        <v>4405</v>
      </c>
      <c r="D1943" s="49" t="s">
        <v>51</v>
      </c>
      <c r="E1943" s="49" t="s">
        <v>3249</v>
      </c>
      <c r="F1943" s="76" t="str">
        <f>IFERROR(IF(Tabla1[[#This Row],[CONCEPTO mx]]="","",VLOOKUP(Tabla1[[#This Row],[CONCEPTO mx]],Tabla2[#All],2,0)),"")</f>
        <v>CM3</v>
      </c>
      <c r="G1943" s="76" t="str">
        <f>IFERROR(IF(Tabla1[[#This Row],[CONCEPTO mx]]="","",VLOOKUP(Tabla1[[#This Row],[CONCEPTO mx]],Tabla2[#All],3,0)),"")</f>
        <v>SST</v>
      </c>
      <c r="H1943" s="49" t="s">
        <v>406</v>
      </c>
      <c r="I1943" s="49" t="s">
        <v>2298</v>
      </c>
      <c r="J1943" s="49" t="s">
        <v>4395</v>
      </c>
    </row>
    <row r="1944" spans="1:12" x14ac:dyDescent="0.25">
      <c r="A1944" s="51">
        <v>43682</v>
      </c>
      <c r="B1944" s="50">
        <v>1067886553</v>
      </c>
      <c r="C1944" s="49" t="s">
        <v>4406</v>
      </c>
      <c r="E1944" s="49" t="s">
        <v>3694</v>
      </c>
      <c r="F1944" s="76" t="str">
        <f>IFERROR(IF(Tabla1[[#This Row],[CONCEPTO mx]]="","",VLOOKUP(Tabla1[[#This Row],[CONCEPTO mx]],Tabla2[#All],2,0)),"")</f>
        <v>CM44</v>
      </c>
      <c r="G1944" s="76" t="str">
        <f>IFERROR(IF(Tabla1[[#This Row],[CONCEPTO mx]]="","",VLOOKUP(Tabla1[[#This Row],[CONCEPTO mx]],Tabla2[#All],3,0)),"")</f>
        <v>Gestión Humana</v>
      </c>
      <c r="H1944" s="49" t="s">
        <v>4407</v>
      </c>
      <c r="I1944" s="49" t="s">
        <v>2298</v>
      </c>
      <c r="J1944" s="49" t="s">
        <v>2833</v>
      </c>
      <c r="L1944" s="49" t="s">
        <v>4408</v>
      </c>
    </row>
    <row r="1945" spans="1:12" x14ac:dyDescent="0.25">
      <c r="A1945" s="51">
        <v>43682</v>
      </c>
      <c r="B1945" s="50">
        <v>1003034086</v>
      </c>
      <c r="C1945" s="49" t="s">
        <v>4409</v>
      </c>
      <c r="E1945" s="49" t="s">
        <v>2355</v>
      </c>
      <c r="F1945" s="76" t="str">
        <f>IFERROR(IF(Tabla1[[#This Row],[CONCEPTO mx]]="","",VLOOKUP(Tabla1[[#This Row],[CONCEPTO mx]],Tabla2[#All],2,0)),"")</f>
        <v>CM13</v>
      </c>
      <c r="G1945" s="76" t="str">
        <f>IFERROR(IF(Tabla1[[#This Row],[CONCEPTO mx]]="","",VLOOKUP(Tabla1[[#This Row],[CONCEPTO mx]],Tabla2[#All],3,0)),"")</f>
        <v>Gestión Humana</v>
      </c>
      <c r="H1945" s="49" t="s">
        <v>438</v>
      </c>
      <c r="I1945" s="49" t="s">
        <v>2298</v>
      </c>
      <c r="J1945" s="49" t="s">
        <v>2409</v>
      </c>
      <c r="L1945" s="49" t="s">
        <v>4182</v>
      </c>
    </row>
    <row r="1946" spans="1:12" x14ac:dyDescent="0.25">
      <c r="A1946" s="51">
        <v>43682</v>
      </c>
      <c r="B1946" s="50">
        <v>1028019893</v>
      </c>
      <c r="C1946" s="49" t="s">
        <v>4410</v>
      </c>
      <c r="D1946" s="49" t="s">
        <v>51</v>
      </c>
      <c r="E1946" s="49" t="s">
        <v>3248</v>
      </c>
      <c r="F1946" s="76" t="str">
        <f>IFERROR(IF(Tabla1[[#This Row],[CONCEPTO mx]]="","",VLOOKUP(Tabla1[[#This Row],[CONCEPTO mx]],Tabla2[#All],2,0)),"")</f>
        <v>CM1</v>
      </c>
      <c r="G1946" s="76" t="str">
        <f>IFERROR(IF(Tabla1[[#This Row],[CONCEPTO mx]]="","",VLOOKUP(Tabla1[[#This Row],[CONCEPTO mx]],Tabla2[#All],3,0)),"")</f>
        <v>Gestión Humana</v>
      </c>
      <c r="H1946" s="49" t="s">
        <v>528</v>
      </c>
      <c r="I1946" s="49" t="s">
        <v>2298</v>
      </c>
      <c r="J1946" s="49" t="s">
        <v>4379</v>
      </c>
    </row>
    <row r="1947" spans="1:12" x14ac:dyDescent="0.25">
      <c r="A1947" s="51">
        <v>43682</v>
      </c>
      <c r="B1947" s="50">
        <v>1233338602</v>
      </c>
      <c r="C1947" s="49" t="s">
        <v>4411</v>
      </c>
      <c r="D1947" s="49" t="s">
        <v>51</v>
      </c>
      <c r="E1947" s="49" t="s">
        <v>3248</v>
      </c>
      <c r="F1947" s="76" t="str">
        <f>IFERROR(IF(Tabla1[[#This Row],[CONCEPTO mx]]="","",VLOOKUP(Tabla1[[#This Row],[CONCEPTO mx]],Tabla2[#All],2,0)),"")</f>
        <v>CM1</v>
      </c>
      <c r="G1947" s="76" t="str">
        <f>IFERROR(IF(Tabla1[[#This Row],[CONCEPTO mx]]="","",VLOOKUP(Tabla1[[#This Row],[CONCEPTO mx]],Tabla2[#All],3,0)),"")</f>
        <v>Gestión Humana</v>
      </c>
      <c r="H1947" s="49" t="s">
        <v>406</v>
      </c>
      <c r="I1947" s="49" t="s">
        <v>2298</v>
      </c>
      <c r="J1947" s="49" t="s">
        <v>4395</v>
      </c>
    </row>
    <row r="1948" spans="1:12" x14ac:dyDescent="0.25">
      <c r="A1948" s="51">
        <v>43682</v>
      </c>
      <c r="B1948" s="50">
        <v>1147692207</v>
      </c>
      <c r="C1948" s="49" t="s">
        <v>4412</v>
      </c>
      <c r="D1948" s="49" t="s">
        <v>180</v>
      </c>
      <c r="E1948" s="49" t="s">
        <v>4274</v>
      </c>
      <c r="F1948" s="76" t="str">
        <f>IFERROR(IF(Tabla1[[#This Row],[CONCEPTO mx]]="","",VLOOKUP(Tabla1[[#This Row],[CONCEPTO mx]],Tabla2[#All],2,0)),"")</f>
        <v>CM17</v>
      </c>
      <c r="G1948" s="76" t="str">
        <f>IFERROR(IF(Tabla1[[#This Row],[CONCEPTO mx]]="","",VLOOKUP(Tabla1[[#This Row],[CONCEPTO mx]],Tabla2[#All],3,0)),"")</f>
        <v>SST</v>
      </c>
      <c r="H1948" s="49" t="s">
        <v>3731</v>
      </c>
      <c r="I1948" s="49" t="s">
        <v>2298</v>
      </c>
      <c r="J1948" s="49" t="s">
        <v>4413</v>
      </c>
      <c r="L1948" s="49" t="s">
        <v>4414</v>
      </c>
    </row>
    <row r="1949" spans="1:12" x14ac:dyDescent="0.25">
      <c r="A1949" s="51">
        <v>43682</v>
      </c>
      <c r="B1949" s="50">
        <v>71242777</v>
      </c>
      <c r="C1949" s="49" t="s">
        <v>4415</v>
      </c>
      <c r="D1949" s="49" t="s">
        <v>180</v>
      </c>
      <c r="E1949" s="49" t="s">
        <v>3198</v>
      </c>
      <c r="F1949" s="76" t="str">
        <f>IFERROR(IF(Tabla1[[#This Row],[CONCEPTO mx]]="","",VLOOKUP(Tabla1[[#This Row],[CONCEPTO mx]],Tabla2[#All],2,0)),"")</f>
        <v>CM6</v>
      </c>
      <c r="G1949" s="76" t="str">
        <f>IFERROR(IF(Tabla1[[#This Row],[CONCEPTO mx]]="","",VLOOKUP(Tabla1[[#This Row],[CONCEPTO mx]],Tabla2[#All],3,0)),"")</f>
        <v>SST</v>
      </c>
      <c r="H1949" s="49" t="s">
        <v>486</v>
      </c>
      <c r="I1949" s="49" t="s">
        <v>2298</v>
      </c>
      <c r="J1949" s="49" t="s">
        <v>3770</v>
      </c>
      <c r="K1949" s="98"/>
      <c r="L1949" s="49" t="s">
        <v>4377</v>
      </c>
    </row>
    <row r="1950" spans="1:12" x14ac:dyDescent="0.25">
      <c r="A1950" s="51">
        <v>43682</v>
      </c>
      <c r="B1950" s="50">
        <v>1037479155</v>
      </c>
      <c r="C1950" s="49" t="s">
        <v>4416</v>
      </c>
      <c r="D1950" s="49" t="s">
        <v>51</v>
      </c>
      <c r="E1950" s="49" t="s">
        <v>3249</v>
      </c>
      <c r="F1950" s="76" t="str">
        <f>IFERROR(IF(Tabla1[[#This Row],[CONCEPTO mx]]="","",VLOOKUP(Tabla1[[#This Row],[CONCEPTO mx]],Tabla2[#All],2,0)),"")</f>
        <v>CM3</v>
      </c>
      <c r="G1950" s="76" t="str">
        <f>IFERROR(IF(Tabla1[[#This Row],[CONCEPTO mx]]="","",VLOOKUP(Tabla1[[#This Row],[CONCEPTO mx]],Tabla2[#All],3,0)),"")</f>
        <v>SST</v>
      </c>
      <c r="H1950" s="49" t="s">
        <v>441</v>
      </c>
      <c r="I1950" s="49" t="s">
        <v>2298</v>
      </c>
      <c r="J1950" s="49" t="s">
        <v>4379</v>
      </c>
    </row>
    <row r="1951" spans="1:12" x14ac:dyDescent="0.25">
      <c r="A1951" s="51">
        <v>43682</v>
      </c>
      <c r="B1951" s="50">
        <v>1007347377</v>
      </c>
      <c r="C1951" s="49" t="s">
        <v>4417</v>
      </c>
      <c r="D1951" s="49" t="s">
        <v>51</v>
      </c>
      <c r="E1951" s="49" t="s">
        <v>3315</v>
      </c>
      <c r="F1951" s="76" t="str">
        <f>IFERROR(IF(Tabla1[[#This Row],[CONCEPTO mx]]="","",VLOOKUP(Tabla1[[#This Row],[CONCEPTO mx]],Tabla2[#All],2,0)),"")</f>
        <v>CM40</v>
      </c>
      <c r="G1951" s="76" t="str">
        <f>IFERROR(IF(Tabla1[[#This Row],[CONCEPTO mx]]="","",VLOOKUP(Tabla1[[#This Row],[CONCEPTO mx]],Tabla2[#All],3,0)),"")</f>
        <v>SST</v>
      </c>
      <c r="H1951" s="49" t="s">
        <v>2576</v>
      </c>
      <c r="I1951" s="49" t="s">
        <v>2298</v>
      </c>
      <c r="J1951" s="49" t="s">
        <v>2409</v>
      </c>
      <c r="L1951" s="49" t="s">
        <v>4418</v>
      </c>
    </row>
    <row r="1952" spans="1:12" x14ac:dyDescent="0.25">
      <c r="A1952" s="51">
        <v>43685</v>
      </c>
      <c r="B1952" s="59">
        <v>1004009644</v>
      </c>
      <c r="C1952" s="59" t="s">
        <v>4428</v>
      </c>
      <c r="D1952" s="49" t="s">
        <v>51</v>
      </c>
      <c r="E1952" s="49" t="s">
        <v>3250</v>
      </c>
      <c r="F1952" s="76" t="str">
        <f>IFERROR(IF(Tabla1[[#This Row],[CONCEPTO mx]]="","",VLOOKUP(Tabla1[[#This Row],[CONCEPTO mx]],Tabla2[#All],2,0)),"")</f>
        <v>CM12</v>
      </c>
      <c r="G1952" s="76" t="str">
        <f>IFERROR(IF(Tabla1[[#This Row],[CONCEPTO mx]]="","",VLOOKUP(Tabla1[[#This Row],[CONCEPTO mx]],Tabla2[#All],3,0)),"")</f>
        <v>SST</v>
      </c>
      <c r="H1952" s="49" t="s">
        <v>2394</v>
      </c>
      <c r="I1952" s="49" t="s">
        <v>2512</v>
      </c>
      <c r="J1952" s="49" t="s">
        <v>4387</v>
      </c>
      <c r="L1952" s="59" t="s">
        <v>4016</v>
      </c>
    </row>
    <row r="1953" spans="1:12" x14ac:dyDescent="0.25">
      <c r="A1953" s="51">
        <v>43685</v>
      </c>
      <c r="B1953" s="59">
        <v>1045496385</v>
      </c>
      <c r="C1953" s="59" t="s">
        <v>4429</v>
      </c>
      <c r="F1953" s="76" t="str">
        <f>IFERROR(IF(Tabla1[[#This Row],[CONCEPTO mx]]="","",VLOOKUP(Tabla1[[#This Row],[CONCEPTO mx]],Tabla2[#All],2,0)),"")</f>
        <v/>
      </c>
      <c r="G1953" s="76" t="str">
        <f>IFERROR(IF(Tabla1[[#This Row],[CONCEPTO mx]]="","",VLOOKUP(Tabla1[[#This Row],[CONCEPTO mx]],Tabla2[#All],3,0)),"")</f>
        <v/>
      </c>
      <c r="H1953" s="49" t="s">
        <v>441</v>
      </c>
      <c r="I1953" s="49" t="s">
        <v>2298</v>
      </c>
      <c r="J1953" s="49" t="s">
        <v>4379</v>
      </c>
      <c r="L1953" s="49" t="s">
        <v>2538</v>
      </c>
    </row>
    <row r="1954" spans="1:12" x14ac:dyDescent="0.25">
      <c r="A1954" s="51">
        <v>43685</v>
      </c>
      <c r="B1954" s="50" t="s">
        <v>4431</v>
      </c>
      <c r="C1954" s="59" t="s">
        <v>4430</v>
      </c>
      <c r="D1954" s="49" t="s">
        <v>51</v>
      </c>
      <c r="E1954" s="49" t="s">
        <v>3249</v>
      </c>
      <c r="F1954" s="76" t="str">
        <f>IFERROR(IF(Tabla1[[#This Row],[CONCEPTO mx]]="","",VLOOKUP(Tabla1[[#This Row],[CONCEPTO mx]],Tabla2[#All],2,0)),"")</f>
        <v>CM3</v>
      </c>
      <c r="G1954" s="76" t="str">
        <f>IFERROR(IF(Tabla1[[#This Row],[CONCEPTO mx]]="","",VLOOKUP(Tabla1[[#This Row],[CONCEPTO mx]],Tabla2[#All],3,0)),"")</f>
        <v>SST</v>
      </c>
      <c r="H1954" s="49" t="s">
        <v>486</v>
      </c>
      <c r="I1954" s="49" t="s">
        <v>2298</v>
      </c>
      <c r="J1954" s="49" t="s">
        <v>2409</v>
      </c>
    </row>
    <row r="1955" spans="1:12" x14ac:dyDescent="0.25">
      <c r="A1955" s="51">
        <v>43685</v>
      </c>
      <c r="B1955" s="59">
        <v>1040354842</v>
      </c>
      <c r="C1955" s="59" t="s">
        <v>4432</v>
      </c>
      <c r="F1955" s="76" t="str">
        <f>IFERROR(IF(Tabla1[[#This Row],[CONCEPTO mx]]="","",VLOOKUP(Tabla1[[#This Row],[CONCEPTO mx]],Tabla2[#All],2,0)),"")</f>
        <v/>
      </c>
      <c r="G1955" s="76" t="str">
        <f>IFERROR(IF(Tabla1[[#This Row],[CONCEPTO mx]]="","",VLOOKUP(Tabla1[[#This Row],[CONCEPTO mx]],Tabla2[#All],3,0)),"")</f>
        <v/>
      </c>
      <c r="H1955" s="49" t="s">
        <v>438</v>
      </c>
      <c r="I1955" s="49" t="s">
        <v>2298</v>
      </c>
      <c r="J1955" s="49" t="s">
        <v>4434</v>
      </c>
      <c r="L1955" s="89" t="s">
        <v>4433</v>
      </c>
    </row>
    <row r="1956" spans="1:12" x14ac:dyDescent="0.25">
      <c r="A1956" s="51">
        <v>43685</v>
      </c>
      <c r="B1956" s="59">
        <v>1064897705</v>
      </c>
      <c r="C1956" s="59" t="s">
        <v>4435</v>
      </c>
      <c r="D1956" s="49" t="s">
        <v>51</v>
      </c>
      <c r="E1956" s="49" t="s">
        <v>3249</v>
      </c>
      <c r="F1956" s="76" t="str">
        <f>IFERROR(IF(Tabla1[[#This Row],[CONCEPTO mx]]="","",VLOOKUP(Tabla1[[#This Row],[CONCEPTO mx]],Tabla2[#All],2,0)),"")</f>
        <v>CM3</v>
      </c>
      <c r="G1956" s="76" t="str">
        <f>IFERROR(IF(Tabla1[[#This Row],[CONCEPTO mx]]="","",VLOOKUP(Tabla1[[#This Row],[CONCEPTO mx]],Tabla2[#All],3,0)),"")</f>
        <v>SST</v>
      </c>
      <c r="H1956" s="49" t="s">
        <v>438</v>
      </c>
      <c r="I1956" s="49" t="s">
        <v>2298</v>
      </c>
      <c r="J1956" s="49" t="s">
        <v>4230</v>
      </c>
      <c r="L1956" s="89"/>
    </row>
    <row r="1957" spans="1:12" x14ac:dyDescent="0.25">
      <c r="A1957" s="51">
        <v>43685</v>
      </c>
      <c r="B1957" s="59">
        <v>1040368888</v>
      </c>
      <c r="C1957" s="59" t="s">
        <v>4437</v>
      </c>
      <c r="D1957" s="49" t="s">
        <v>180</v>
      </c>
      <c r="F1957" s="76" t="str">
        <f>IFERROR(IF(Tabla1[[#This Row],[CONCEPTO mx]]="","",VLOOKUP(Tabla1[[#This Row],[CONCEPTO mx]],Tabla2[#All],2,0)),"")</f>
        <v/>
      </c>
      <c r="G1957" s="76" t="str">
        <f>IFERROR(IF(Tabla1[[#This Row],[CONCEPTO mx]]="","",VLOOKUP(Tabla1[[#This Row],[CONCEPTO mx]],Tabla2[#All],3,0)),"")</f>
        <v/>
      </c>
      <c r="H1957" s="49" t="s">
        <v>438</v>
      </c>
      <c r="I1957" s="49" t="s">
        <v>2298</v>
      </c>
      <c r="J1957" s="49" t="s">
        <v>2353</v>
      </c>
      <c r="L1957" s="59" t="s">
        <v>4436</v>
      </c>
    </row>
    <row r="1958" spans="1:12" x14ac:dyDescent="0.25">
      <c r="A1958" s="99">
        <v>43687</v>
      </c>
      <c r="B1958" s="59">
        <v>1028008687</v>
      </c>
      <c r="C1958" s="59" t="s">
        <v>4438</v>
      </c>
      <c r="E1958" s="49" t="s">
        <v>2355</v>
      </c>
      <c r="F1958" s="76" t="str">
        <f>IFERROR(IF(Tabla1[[#This Row],[CONCEPTO mx]]="","",VLOOKUP(Tabla1[[#This Row],[CONCEPTO mx]],Tabla2[#All],2,0)),"")</f>
        <v>CM13</v>
      </c>
      <c r="G1958" s="76" t="str">
        <f>IFERROR(IF(Tabla1[[#This Row],[CONCEPTO mx]]="","",VLOOKUP(Tabla1[[#This Row],[CONCEPTO mx]],Tabla2[#All],3,0)),"")</f>
        <v>Gestión Humana</v>
      </c>
      <c r="H1958" s="49" t="s">
        <v>2391</v>
      </c>
      <c r="I1958" s="49" t="s">
        <v>2419</v>
      </c>
      <c r="J1958" s="49" t="s">
        <v>3988</v>
      </c>
    </row>
    <row r="1959" spans="1:12" x14ac:dyDescent="0.25">
      <c r="A1959" s="100">
        <v>43687</v>
      </c>
      <c r="B1959" s="59">
        <v>1028031748</v>
      </c>
      <c r="C1959" s="59" t="s">
        <v>4439</v>
      </c>
      <c r="D1959" s="49" t="s">
        <v>51</v>
      </c>
      <c r="E1959" s="49" t="s">
        <v>4274</v>
      </c>
      <c r="F1959" s="76" t="str">
        <f>IFERROR(IF(Tabla1[[#This Row],[CONCEPTO mx]]="","",VLOOKUP(Tabla1[[#This Row],[CONCEPTO mx]],Tabla2[#All],2,0)),"")</f>
        <v>CM17</v>
      </c>
      <c r="G1959" s="76" t="str">
        <f>IFERROR(IF(Tabla1[[#This Row],[CONCEPTO mx]]="","",VLOOKUP(Tabla1[[#This Row],[CONCEPTO mx]],Tabla2[#All],3,0)),"")</f>
        <v>SST</v>
      </c>
      <c r="H1959" s="49" t="s">
        <v>334</v>
      </c>
      <c r="I1959" s="49" t="s">
        <v>2512</v>
      </c>
      <c r="J1959" s="49" t="s">
        <v>4387</v>
      </c>
      <c r="L1959" s="59" t="s">
        <v>4440</v>
      </c>
    </row>
    <row r="1960" spans="1:12" x14ac:dyDescent="0.25">
      <c r="A1960" s="101">
        <v>43687</v>
      </c>
      <c r="B1960" s="52">
        <v>1001025001</v>
      </c>
      <c r="C1960" s="52" t="s">
        <v>4441</v>
      </c>
      <c r="D1960" s="49" t="s">
        <v>51</v>
      </c>
      <c r="E1960" s="49" t="s">
        <v>3248</v>
      </c>
      <c r="F1960" s="76" t="str">
        <f>IFERROR(IF(Tabla1[[#This Row],[CONCEPTO mx]]="","",VLOOKUP(Tabla1[[#This Row],[CONCEPTO mx]],Tabla2[#All],2,0)),"")</f>
        <v>CM1</v>
      </c>
      <c r="G1960" s="76" t="str">
        <f>IFERROR(IF(Tabla1[[#This Row],[CONCEPTO mx]]="","",VLOOKUP(Tabla1[[#This Row],[CONCEPTO mx]],Tabla2[#All],3,0)),"")</f>
        <v>Gestión Humana</v>
      </c>
      <c r="H1960" s="49" t="s">
        <v>2576</v>
      </c>
      <c r="I1960" s="49" t="s">
        <v>2512</v>
      </c>
      <c r="J1960" s="49" t="s">
        <v>4261</v>
      </c>
    </row>
    <row r="1961" spans="1:12" x14ac:dyDescent="0.25">
      <c r="A1961" s="101">
        <v>43687</v>
      </c>
      <c r="B1961" s="50">
        <v>1002087720</v>
      </c>
      <c r="C1961" s="52" t="s">
        <v>4442</v>
      </c>
      <c r="D1961" s="49" t="s">
        <v>51</v>
      </c>
      <c r="E1961" s="49" t="s">
        <v>3250</v>
      </c>
      <c r="F1961" s="102" t="str">
        <f>IFERROR(IF(Tabla1[[#This Row],[CONCEPTO mx]]="","",VLOOKUP(Tabla1[[#This Row],[CONCEPTO mx]],Tabla2[#All],2,0)),"")</f>
        <v>CM12</v>
      </c>
      <c r="G1961" s="102" t="str">
        <f>IFERROR(IF(Tabla1[[#This Row],[CONCEPTO mx]]="","",VLOOKUP(Tabla1[[#This Row],[CONCEPTO mx]],Tabla2[#All],3,0)),"")</f>
        <v>SST</v>
      </c>
      <c r="H1961" s="103" t="s">
        <v>439</v>
      </c>
      <c r="I1961" s="103" t="s">
        <v>2512</v>
      </c>
      <c r="J1961" s="104" t="s">
        <v>4387</v>
      </c>
      <c r="L1961" s="77" t="s">
        <v>4443</v>
      </c>
    </row>
    <row r="1962" spans="1:12" x14ac:dyDescent="0.25">
      <c r="A1962" s="101">
        <v>43687</v>
      </c>
      <c r="B1962" s="50">
        <v>71254781</v>
      </c>
      <c r="C1962" s="52" t="s">
        <v>4444</v>
      </c>
      <c r="E1962" s="49" t="s">
        <v>2355</v>
      </c>
      <c r="F1962" s="76" t="str">
        <f>IFERROR(IF(Tabla1[[#This Row],[CONCEPTO mx]]="","",VLOOKUP(Tabla1[[#This Row],[CONCEPTO mx]],Tabla2[#All],2,0)),"")</f>
        <v>CM13</v>
      </c>
      <c r="G1962" s="76" t="str">
        <f>IFERROR(IF(Tabla1[[#This Row],[CONCEPTO mx]]="","",VLOOKUP(Tabla1[[#This Row],[CONCEPTO mx]],Tabla2[#All],3,0)),"")</f>
        <v>Gestión Humana</v>
      </c>
      <c r="H1962" s="49" t="s">
        <v>470</v>
      </c>
      <c r="I1962" s="49" t="s">
        <v>3392</v>
      </c>
      <c r="J1962" s="49" t="s">
        <v>4192</v>
      </c>
    </row>
    <row r="1963" spans="1:12" x14ac:dyDescent="0.25">
      <c r="A1963" s="101">
        <v>43687</v>
      </c>
      <c r="B1963" s="50">
        <v>1027952619</v>
      </c>
      <c r="C1963" s="52" t="s">
        <v>4445</v>
      </c>
      <c r="D1963" s="49" t="s">
        <v>51</v>
      </c>
      <c r="E1963" s="49" t="s">
        <v>3248</v>
      </c>
      <c r="F1963" s="76" t="str">
        <f>IFERROR(IF(Tabla1[[#This Row],[CONCEPTO mx]]="","",VLOOKUP(Tabla1[[#This Row],[CONCEPTO mx]],Tabla2[#All],2,0)),"")</f>
        <v>CM1</v>
      </c>
      <c r="G1963" s="76" t="str">
        <f>IFERROR(IF(Tabla1[[#This Row],[CONCEPTO mx]]="","",VLOOKUP(Tabla1[[#This Row],[CONCEPTO mx]],Tabla2[#All],3,0)),"")</f>
        <v>Gestión Humana</v>
      </c>
      <c r="H1963" s="49" t="s">
        <v>388</v>
      </c>
      <c r="I1963" s="49" t="s">
        <v>2298</v>
      </c>
      <c r="J1963" s="49" t="s">
        <v>4446</v>
      </c>
    </row>
    <row r="1964" spans="1:12" x14ac:dyDescent="0.25">
      <c r="A1964" s="101">
        <v>43687</v>
      </c>
      <c r="B1964" s="50">
        <v>1001594820</v>
      </c>
      <c r="C1964" s="49" t="s">
        <v>4447</v>
      </c>
      <c r="D1964" s="49" t="s">
        <v>51</v>
      </c>
      <c r="E1964" s="49" t="s">
        <v>3249</v>
      </c>
      <c r="F1964" s="76" t="str">
        <f>IFERROR(IF(Tabla1[[#This Row],[CONCEPTO mx]]="","",VLOOKUP(Tabla1[[#This Row],[CONCEPTO mx]],Tabla2[#All],2,0)),"")</f>
        <v>CM3</v>
      </c>
      <c r="G1964" s="76" t="str">
        <f>IFERROR(IF(Tabla1[[#This Row],[CONCEPTO mx]]="","",VLOOKUP(Tabla1[[#This Row],[CONCEPTO mx]],Tabla2[#All],3,0)),"")</f>
        <v>SST</v>
      </c>
      <c r="H1964" s="49" t="s">
        <v>343</v>
      </c>
      <c r="I1964" s="49" t="s">
        <v>2298</v>
      </c>
      <c r="J1964" s="49" t="s">
        <v>4233</v>
      </c>
      <c r="L1964" s="59" t="s">
        <v>4448</v>
      </c>
    </row>
    <row r="1965" spans="1:12" x14ac:dyDescent="0.25">
      <c r="A1965" s="101">
        <v>43687</v>
      </c>
      <c r="B1965" s="50">
        <v>1192740154</v>
      </c>
      <c r="C1965" s="49" t="s">
        <v>4449</v>
      </c>
      <c r="D1965" s="49" t="s">
        <v>51</v>
      </c>
      <c r="E1965" s="49" t="s">
        <v>3249</v>
      </c>
      <c r="F1965" s="76" t="str">
        <f>IFERROR(IF(Tabla1[[#This Row],[CONCEPTO mx]]="","",VLOOKUP(Tabla1[[#This Row],[CONCEPTO mx]],Tabla2[#All],2,0)),"")</f>
        <v>CM3</v>
      </c>
      <c r="G1965" s="76" t="str">
        <f>IFERROR(IF(Tabla1[[#This Row],[CONCEPTO mx]]="","",VLOOKUP(Tabla1[[#This Row],[CONCEPTO mx]],Tabla2[#All],3,0)),"")</f>
        <v>SST</v>
      </c>
      <c r="H1965" s="49" t="s">
        <v>343</v>
      </c>
      <c r="I1965" s="49" t="s">
        <v>2298</v>
      </c>
      <c r="J1965" s="49" t="s">
        <v>4446</v>
      </c>
    </row>
    <row r="1966" spans="1:12" x14ac:dyDescent="0.25">
      <c r="A1966" s="101">
        <v>43687</v>
      </c>
      <c r="B1966" s="50">
        <v>1128482598</v>
      </c>
      <c r="C1966" s="49" t="s">
        <v>4450</v>
      </c>
      <c r="D1966" s="49" t="s">
        <v>180</v>
      </c>
      <c r="E1966" s="49" t="s">
        <v>3185</v>
      </c>
      <c r="F1966" s="76" t="str">
        <f>IFERROR(IF(Tabla1[[#This Row],[CONCEPTO mx]]="","",VLOOKUP(Tabla1[[#This Row],[CONCEPTO mx]],Tabla2[#All],2,0)),"")</f>
        <v>CM5</v>
      </c>
      <c r="G1966" s="76" t="str">
        <f>IFERROR(IF(Tabla1[[#This Row],[CONCEPTO mx]]="","",VLOOKUP(Tabla1[[#This Row],[CONCEPTO mx]],Tabla2[#All],3,0)),"")</f>
        <v>SST</v>
      </c>
      <c r="H1966" s="49" t="s">
        <v>484</v>
      </c>
      <c r="I1966" s="49" t="s">
        <v>2298</v>
      </c>
      <c r="J1966" s="49" t="s">
        <v>4446</v>
      </c>
      <c r="L1966" s="49" t="s">
        <v>4451</v>
      </c>
    </row>
    <row r="1967" spans="1:12" x14ac:dyDescent="0.25">
      <c r="A1967" s="101">
        <v>43687</v>
      </c>
      <c r="B1967" s="50">
        <v>1001595280</v>
      </c>
      <c r="C1967" s="49" t="s">
        <v>4452</v>
      </c>
      <c r="D1967" s="49" t="s">
        <v>180</v>
      </c>
      <c r="E1967" s="49" t="s">
        <v>3249</v>
      </c>
      <c r="F1967" s="76" t="str">
        <f>IFERROR(IF(Tabla1[[#This Row],[CONCEPTO mx]]="","",VLOOKUP(Tabla1[[#This Row],[CONCEPTO mx]],Tabla2[#All],2,0)),"")</f>
        <v>CM3</v>
      </c>
      <c r="G1967" s="76" t="str">
        <f>IFERROR(IF(Tabla1[[#This Row],[CONCEPTO mx]]="","",VLOOKUP(Tabla1[[#This Row],[CONCEPTO mx]],Tabla2[#All],3,0)),"")</f>
        <v>SST</v>
      </c>
      <c r="H1967" s="49" t="s">
        <v>528</v>
      </c>
      <c r="I1967" s="49" t="s">
        <v>2298</v>
      </c>
      <c r="J1967" s="49" t="s">
        <v>4453</v>
      </c>
      <c r="L1967" s="49" t="s">
        <v>4454</v>
      </c>
    </row>
    <row r="1968" spans="1:12" x14ac:dyDescent="0.25">
      <c r="A1968" s="101">
        <v>43687</v>
      </c>
      <c r="B1968" s="50">
        <v>1027955721</v>
      </c>
      <c r="C1968" s="49" t="s">
        <v>4455</v>
      </c>
      <c r="D1968" s="49" t="s">
        <v>51</v>
      </c>
      <c r="E1968" s="49" t="s">
        <v>3248</v>
      </c>
      <c r="F1968" s="76" t="str">
        <f>IFERROR(IF(Tabla1[[#This Row],[CONCEPTO mx]]="","",VLOOKUP(Tabla1[[#This Row],[CONCEPTO mx]],Tabla2[#All],2,0)),"")</f>
        <v>CM1</v>
      </c>
      <c r="G1968" s="76" t="str">
        <f>IFERROR(IF(Tabla1[[#This Row],[CONCEPTO mx]]="","",VLOOKUP(Tabla1[[#This Row],[CONCEPTO mx]],Tabla2[#All],3,0)),"")</f>
        <v>Gestión Humana</v>
      </c>
      <c r="H1968" s="49" t="s">
        <v>2393</v>
      </c>
      <c r="I1968" s="49" t="s">
        <v>2298</v>
      </c>
      <c r="J1968" s="49" t="s">
        <v>2319</v>
      </c>
    </row>
    <row r="1969" spans="1:12" x14ac:dyDescent="0.25">
      <c r="A1969" s="51">
        <v>43688</v>
      </c>
      <c r="B1969" s="50">
        <v>1027958412</v>
      </c>
      <c r="C1969" s="49" t="s">
        <v>4456</v>
      </c>
      <c r="D1969" s="49" t="s">
        <v>51</v>
      </c>
      <c r="E1969" s="49" t="s">
        <v>3249</v>
      </c>
      <c r="F1969" s="76" t="str">
        <f>IFERROR(IF(Tabla1[[#This Row],[CONCEPTO mx]]="","",VLOOKUP(Tabla1[[#This Row],[CONCEPTO mx]],Tabla2[#All],2,0)),"")</f>
        <v>CM3</v>
      </c>
      <c r="G1969" s="76" t="str">
        <f>IFERROR(IF(Tabla1[[#This Row],[CONCEPTO mx]]="","",VLOOKUP(Tabla1[[#This Row],[CONCEPTO mx]],Tabla2[#All],3,0)),"")</f>
        <v>SST</v>
      </c>
      <c r="H1969" s="49" t="s">
        <v>439</v>
      </c>
      <c r="I1969" s="49" t="s">
        <v>2512</v>
      </c>
      <c r="J1969" s="49" t="s">
        <v>4457</v>
      </c>
    </row>
    <row r="1970" spans="1:12" x14ac:dyDescent="0.25">
      <c r="A1970" s="51">
        <v>43688</v>
      </c>
      <c r="B1970" s="50">
        <v>1075089003</v>
      </c>
      <c r="C1970" s="49" t="s">
        <v>4458</v>
      </c>
      <c r="D1970" s="49" t="s">
        <v>51</v>
      </c>
      <c r="E1970" s="49" t="s">
        <v>3249</v>
      </c>
      <c r="F1970" s="76" t="str">
        <f>IFERROR(IF(Tabla1[[#This Row],[CONCEPTO mx]]="","",VLOOKUP(Tabla1[[#This Row],[CONCEPTO mx]],Tabla2[#All],2,0)),"")</f>
        <v>CM3</v>
      </c>
      <c r="G1970" s="76" t="str">
        <f>IFERROR(IF(Tabla1[[#This Row],[CONCEPTO mx]]="","",VLOOKUP(Tabla1[[#This Row],[CONCEPTO mx]],Tabla2[#All],3,0)),"")</f>
        <v>SST</v>
      </c>
      <c r="H1970" s="49" t="s">
        <v>438</v>
      </c>
      <c r="I1970" s="49" t="s">
        <v>2512</v>
      </c>
      <c r="J1970" s="49" t="s">
        <v>4459</v>
      </c>
    </row>
    <row r="1971" spans="1:12" x14ac:dyDescent="0.25">
      <c r="A1971" s="51">
        <v>43690</v>
      </c>
      <c r="B1971" s="50">
        <v>1028042936</v>
      </c>
      <c r="C1971" s="49" t="s">
        <v>4460</v>
      </c>
      <c r="D1971" s="49" t="s">
        <v>51</v>
      </c>
      <c r="E1971" s="49" t="s">
        <v>2401</v>
      </c>
      <c r="F1971" s="76" t="str">
        <f>IFERROR(IF(Tabla1[[#This Row],[CONCEPTO mx]]="","",VLOOKUP(Tabla1[[#This Row],[CONCEPTO mx]],Tabla2[#All],2,0)),"")</f>
        <v>CM28</v>
      </c>
      <c r="G1971" s="76" t="str">
        <f>IFERROR(IF(Tabla1[[#This Row],[CONCEPTO mx]]="","",VLOOKUP(Tabla1[[#This Row],[CONCEPTO mx]],Tabla2[#All],3,0)),"")</f>
        <v>SST</v>
      </c>
      <c r="H1971" s="49" t="s">
        <v>2576</v>
      </c>
      <c r="I1971" s="49" t="s">
        <v>2512</v>
      </c>
      <c r="J1971" s="49" t="s">
        <v>4461</v>
      </c>
    </row>
    <row r="1972" spans="1:12" x14ac:dyDescent="0.25">
      <c r="A1972" s="51">
        <v>43690</v>
      </c>
      <c r="B1972" s="50">
        <v>1007933073</v>
      </c>
      <c r="C1972" s="49" t="s">
        <v>4462</v>
      </c>
      <c r="E1972" s="49" t="s">
        <v>2355</v>
      </c>
      <c r="F1972" s="76" t="str">
        <f>IFERROR(IF(Tabla1[[#This Row],[CONCEPTO mx]]="","",VLOOKUP(Tabla1[[#This Row],[CONCEPTO mx]],Tabla2[#All],2,0)),"")</f>
        <v>CM13</v>
      </c>
      <c r="G1972" s="76" t="str">
        <f>IFERROR(IF(Tabla1[[#This Row],[CONCEPTO mx]]="","",VLOOKUP(Tabla1[[#This Row],[CONCEPTO mx]],Tabla2[#All],3,0)),"")</f>
        <v>Gestión Humana</v>
      </c>
      <c r="H1972" s="49" t="s">
        <v>439</v>
      </c>
      <c r="I1972" s="49" t="s">
        <v>2512</v>
      </c>
      <c r="J1972" s="49" t="s">
        <v>4461</v>
      </c>
    </row>
    <row r="1973" spans="1:12" x14ac:dyDescent="0.25">
      <c r="A1973" s="51">
        <v>43690</v>
      </c>
      <c r="B1973" s="50">
        <v>1003034086</v>
      </c>
      <c r="C1973" s="54" t="s">
        <v>4409</v>
      </c>
      <c r="D1973" s="49" t="s">
        <v>51</v>
      </c>
      <c r="E1973" s="49" t="s">
        <v>3315</v>
      </c>
      <c r="F1973" s="76" t="str">
        <f>IFERROR(IF(Tabla1[[#This Row],[CONCEPTO mx]]="","",VLOOKUP(Tabla1[[#This Row],[CONCEPTO mx]],Tabla2[#All],2,0)),"")</f>
        <v>CM40</v>
      </c>
      <c r="G1973" s="76" t="str">
        <f>IFERROR(IF(Tabla1[[#This Row],[CONCEPTO mx]]="","",VLOOKUP(Tabla1[[#This Row],[CONCEPTO mx]],Tabla2[#All],3,0)),"")</f>
        <v>SST</v>
      </c>
      <c r="H1973" s="49" t="s">
        <v>438</v>
      </c>
      <c r="I1973" s="49" t="s">
        <v>2298</v>
      </c>
      <c r="J1973" s="49" t="s">
        <v>2848</v>
      </c>
      <c r="L1973" s="89" t="s">
        <v>4463</v>
      </c>
    </row>
    <row r="1974" spans="1:12" x14ac:dyDescent="0.25">
      <c r="A1974" s="51">
        <v>43692</v>
      </c>
      <c r="B1974" s="59">
        <v>1001026589</v>
      </c>
      <c r="C1974" s="59" t="s">
        <v>4468</v>
      </c>
      <c r="E1974" s="49" t="s">
        <v>2355</v>
      </c>
      <c r="F1974" s="76" t="str">
        <f>IFERROR(IF(Tabla1[[#This Row],[CONCEPTO mx]]="","",VLOOKUP(Tabla1[[#This Row],[CONCEPTO mx]],Tabla2[#All],2,0)),"")</f>
        <v>CM13</v>
      </c>
      <c r="G1974" s="76" t="str">
        <f>IFERROR(IF(Tabla1[[#This Row],[CONCEPTO mx]]="","",VLOOKUP(Tabla1[[#This Row],[CONCEPTO mx]],Tabla2[#All],3,0)),"")</f>
        <v>Gestión Humana</v>
      </c>
      <c r="H1974" s="49" t="s">
        <v>334</v>
      </c>
      <c r="I1974" s="49" t="s">
        <v>2512</v>
      </c>
      <c r="J1974" s="49" t="s">
        <v>3456</v>
      </c>
    </row>
    <row r="1975" spans="1:12" x14ac:dyDescent="0.25">
      <c r="A1975" s="51">
        <v>43692</v>
      </c>
      <c r="B1975" s="59">
        <v>1028023252</v>
      </c>
      <c r="C1975" s="59" t="s">
        <v>4469</v>
      </c>
      <c r="D1975" s="49" t="s">
        <v>51</v>
      </c>
      <c r="E1975" s="49" t="s">
        <v>3248</v>
      </c>
      <c r="F1975" s="76" t="str">
        <f>IFERROR(IF(Tabla1[[#This Row],[CONCEPTO mx]]="","",VLOOKUP(Tabla1[[#This Row],[CONCEPTO mx]],Tabla2[#All],2,0)),"")</f>
        <v>CM1</v>
      </c>
      <c r="G1975" s="76" t="str">
        <f>IFERROR(IF(Tabla1[[#This Row],[CONCEPTO mx]]="","",VLOOKUP(Tabla1[[#This Row],[CONCEPTO mx]],Tabla2[#All],3,0)),"")</f>
        <v>Gestión Humana</v>
      </c>
      <c r="H1975" s="49" t="s">
        <v>334</v>
      </c>
      <c r="I1975" s="49" t="s">
        <v>2512</v>
      </c>
      <c r="J1975" s="49" t="s">
        <v>4094</v>
      </c>
    </row>
    <row r="1976" spans="1:12" x14ac:dyDescent="0.25">
      <c r="A1976" s="51">
        <v>43692</v>
      </c>
      <c r="B1976" s="59">
        <v>1001028805</v>
      </c>
      <c r="C1976" s="59" t="s">
        <v>4470</v>
      </c>
      <c r="D1976" s="49" t="s">
        <v>51</v>
      </c>
      <c r="E1976" s="49" t="s">
        <v>3249</v>
      </c>
      <c r="F1976" s="76" t="str">
        <f>IFERROR(IF(Tabla1[[#This Row],[CONCEPTO mx]]="","",VLOOKUP(Tabla1[[#This Row],[CONCEPTO mx]],Tabla2[#All],2,0)),"")</f>
        <v>CM3</v>
      </c>
      <c r="G1976" s="76" t="str">
        <f>IFERROR(IF(Tabla1[[#This Row],[CONCEPTO mx]]="","",VLOOKUP(Tabla1[[#This Row],[CONCEPTO mx]],Tabla2[#All],3,0)),"")</f>
        <v>SST</v>
      </c>
      <c r="H1976" s="49" t="s">
        <v>334</v>
      </c>
      <c r="I1976" s="49" t="s">
        <v>2298</v>
      </c>
      <c r="J1976" s="49" t="s">
        <v>4471</v>
      </c>
    </row>
    <row r="1977" spans="1:12" x14ac:dyDescent="0.25">
      <c r="A1977" s="51">
        <v>43692</v>
      </c>
      <c r="B1977" s="50" t="s">
        <v>4087</v>
      </c>
      <c r="C1977" s="59" t="s">
        <v>4472</v>
      </c>
      <c r="D1977" s="49" t="s">
        <v>51</v>
      </c>
      <c r="E1977" s="49" t="s">
        <v>3249</v>
      </c>
      <c r="F1977" s="76" t="str">
        <f>IFERROR(IF(Tabla1[[#This Row],[CONCEPTO mx]]="","",VLOOKUP(Tabla1[[#This Row],[CONCEPTO mx]],Tabla2[#All],2,0)),"")</f>
        <v>CM3</v>
      </c>
      <c r="G1977" s="76" t="str">
        <f>IFERROR(IF(Tabla1[[#This Row],[CONCEPTO mx]]="","",VLOOKUP(Tabla1[[#This Row],[CONCEPTO mx]],Tabla2[#All],3,0)),"")</f>
        <v>SST</v>
      </c>
      <c r="H1977" s="49" t="s">
        <v>438</v>
      </c>
      <c r="I1977" s="49" t="s">
        <v>2298</v>
      </c>
      <c r="J1977" s="49" t="s">
        <v>2409</v>
      </c>
    </row>
    <row r="1978" spans="1:12" x14ac:dyDescent="0.25">
      <c r="A1978" s="51">
        <v>43692</v>
      </c>
      <c r="B1978" s="59">
        <v>1028033199</v>
      </c>
      <c r="C1978" s="59" t="s">
        <v>4473</v>
      </c>
      <c r="D1978" s="49" t="s">
        <v>51</v>
      </c>
      <c r="E1978" s="49" t="s">
        <v>3248</v>
      </c>
      <c r="F1978" s="76" t="str">
        <f>IFERROR(IF(Tabla1[[#This Row],[CONCEPTO mx]]="","",VLOOKUP(Tabla1[[#This Row],[CONCEPTO mx]],Tabla2[#All],2,0)),"")</f>
        <v>CM1</v>
      </c>
      <c r="G1978" s="76" t="str">
        <f>IFERROR(IF(Tabla1[[#This Row],[CONCEPTO mx]]="","",VLOOKUP(Tabla1[[#This Row],[CONCEPTO mx]],Tabla2[#All],3,0)),"")</f>
        <v>Gestión Humana</v>
      </c>
      <c r="H1978" s="49" t="s">
        <v>413</v>
      </c>
      <c r="I1978" s="49" t="s">
        <v>2298</v>
      </c>
      <c r="J1978" s="49" t="s">
        <v>3563</v>
      </c>
      <c r="L1978" s="59" t="s">
        <v>4475</v>
      </c>
    </row>
    <row r="1979" spans="1:12" x14ac:dyDescent="0.25">
      <c r="A1979" s="51">
        <v>43692</v>
      </c>
      <c r="B1979" s="59">
        <v>1010104392</v>
      </c>
      <c r="C1979" s="59" t="s">
        <v>4474</v>
      </c>
      <c r="D1979" s="49" t="s">
        <v>180</v>
      </c>
      <c r="E1979" s="49" t="s">
        <v>3185</v>
      </c>
      <c r="F1979" s="76" t="str">
        <f>IFERROR(IF(Tabla1[[#This Row],[CONCEPTO mx]]="","",VLOOKUP(Tabla1[[#This Row],[CONCEPTO mx]],Tabla2[#All],2,0)),"")</f>
        <v>CM5</v>
      </c>
      <c r="G1979" s="76" t="str">
        <f>IFERROR(IF(Tabla1[[#This Row],[CONCEPTO mx]]="","",VLOOKUP(Tabla1[[#This Row],[CONCEPTO mx]],Tabla2[#All],3,0)),"")</f>
        <v>SST</v>
      </c>
      <c r="H1979" s="49" t="s">
        <v>438</v>
      </c>
      <c r="I1979" s="49" t="s">
        <v>2298</v>
      </c>
      <c r="J1979" s="49" t="s">
        <v>4476</v>
      </c>
    </row>
    <row r="1980" spans="1:12" x14ac:dyDescent="0.25">
      <c r="A1980" s="51">
        <v>43692</v>
      </c>
      <c r="B1980" s="59">
        <v>1003292364</v>
      </c>
      <c r="C1980" s="59" t="s">
        <v>4477</v>
      </c>
      <c r="D1980" s="49" t="s">
        <v>51</v>
      </c>
      <c r="E1980" s="49" t="s">
        <v>3250</v>
      </c>
      <c r="F1980" s="76" t="str">
        <f>IFERROR(IF(Tabla1[[#This Row],[CONCEPTO mx]]="","",VLOOKUP(Tabla1[[#This Row],[CONCEPTO mx]],Tabla2[#All],2,0)),"")</f>
        <v>CM12</v>
      </c>
      <c r="G1980" s="76" t="str">
        <f>IFERROR(IF(Tabla1[[#This Row],[CONCEPTO mx]]="","",VLOOKUP(Tabla1[[#This Row],[CONCEPTO mx]],Tabla2[#All],3,0)),"")</f>
        <v>SST</v>
      </c>
      <c r="H1980" s="49" t="s">
        <v>334</v>
      </c>
      <c r="I1980" s="49" t="s">
        <v>2298</v>
      </c>
      <c r="J1980" s="49" t="s">
        <v>4478</v>
      </c>
      <c r="L1980" s="59" t="s">
        <v>4480</v>
      </c>
    </row>
    <row r="1981" spans="1:12" x14ac:dyDescent="0.25">
      <c r="A1981" s="51">
        <v>43692</v>
      </c>
      <c r="B1981" s="59">
        <v>1140868545</v>
      </c>
      <c r="C1981" s="59" t="s">
        <v>4479</v>
      </c>
      <c r="D1981" s="49" t="s">
        <v>51</v>
      </c>
      <c r="E1981" s="49" t="s">
        <v>3248</v>
      </c>
      <c r="F1981" s="76" t="str">
        <f>IFERROR(IF(Tabla1[[#This Row],[CONCEPTO mx]]="","",VLOOKUP(Tabla1[[#This Row],[CONCEPTO mx]],Tabla2[#All],2,0)),"")</f>
        <v>CM1</v>
      </c>
      <c r="G1981" s="76" t="str">
        <f>IFERROR(IF(Tabla1[[#This Row],[CONCEPTO mx]]="","",VLOOKUP(Tabla1[[#This Row],[CONCEPTO mx]],Tabla2[#All],3,0)),"")</f>
        <v>Gestión Humana</v>
      </c>
      <c r="H1981" s="49" t="s">
        <v>628</v>
      </c>
      <c r="I1981" s="49" t="s">
        <v>2298</v>
      </c>
      <c r="J1981" s="49" t="s">
        <v>4453</v>
      </c>
    </row>
    <row r="1982" spans="1:12" x14ac:dyDescent="0.25">
      <c r="A1982" s="51"/>
      <c r="F1982" s="76" t="str">
        <f>IFERROR(IF(Tabla1[[#This Row],[CONCEPTO mx]]="","",VLOOKUP(Tabla1[[#This Row],[CONCEPTO mx]],Tabla2[#All],2,0)),"")</f>
        <v/>
      </c>
      <c r="G1982" s="76" t="str">
        <f>IFERROR(IF(Tabla1[[#This Row],[CONCEPTO mx]]="","",VLOOKUP(Tabla1[[#This Row],[CONCEPTO mx]],Tabla2[#All],3,0)),"")</f>
        <v/>
      </c>
    </row>
    <row r="1983" spans="1:12" x14ac:dyDescent="0.25">
      <c r="A1983" s="51"/>
      <c r="F1983" s="76" t="str">
        <f>IFERROR(IF(Tabla1[[#This Row],[CONCEPTO mx]]="","",VLOOKUP(Tabla1[[#This Row],[CONCEPTO mx]],Tabla2[#All],2,0)),"")</f>
        <v/>
      </c>
      <c r="G1983" s="76" t="str">
        <f>IFERROR(IF(Tabla1[[#This Row],[CONCEPTO mx]]="","",VLOOKUP(Tabla1[[#This Row],[CONCEPTO mx]],Tabla2[#All],3,0)),"")</f>
        <v/>
      </c>
    </row>
    <row r="1984" spans="1:12" x14ac:dyDescent="0.25">
      <c r="A1984" s="51"/>
      <c r="F1984" s="76" t="str">
        <f>IFERROR(IF(Tabla1[[#This Row],[CONCEPTO mx]]="","",VLOOKUP(Tabla1[[#This Row],[CONCEPTO mx]],Tabla2[#All],2,0)),"")</f>
        <v/>
      </c>
      <c r="G1984" s="76" t="str">
        <f>IFERROR(IF(Tabla1[[#This Row],[CONCEPTO mx]]="","",VLOOKUP(Tabla1[[#This Row],[CONCEPTO mx]],Tabla2[#All],3,0)),"")</f>
        <v/>
      </c>
    </row>
    <row r="1985" spans="1:7" x14ac:dyDescent="0.25">
      <c r="A1985" s="51"/>
      <c r="F1985" s="76" t="str">
        <f>IFERROR(IF(Tabla1[[#This Row],[CONCEPTO mx]]="","",VLOOKUP(Tabla1[[#This Row],[CONCEPTO mx]],Tabla2[#All],2,0)),"")</f>
        <v/>
      </c>
      <c r="G1985" s="76" t="str">
        <f>IFERROR(IF(Tabla1[[#This Row],[CONCEPTO mx]]="","",VLOOKUP(Tabla1[[#This Row],[CONCEPTO mx]],Tabla2[#All],3,0)),"")</f>
        <v/>
      </c>
    </row>
    <row r="1986" spans="1:7" x14ac:dyDescent="0.25">
      <c r="A1986" s="51"/>
      <c r="F1986" s="76" t="str">
        <f>IFERROR(IF(Tabla1[[#This Row],[CONCEPTO mx]]="","",VLOOKUP(Tabla1[[#This Row],[CONCEPTO mx]],Tabla2[#All],2,0)),"")</f>
        <v/>
      </c>
      <c r="G1986" s="76" t="str">
        <f>IFERROR(IF(Tabla1[[#This Row],[CONCEPTO mx]]="","",VLOOKUP(Tabla1[[#This Row],[CONCEPTO mx]],Tabla2[#All],3,0)),"")</f>
        <v/>
      </c>
    </row>
    <row r="1987" spans="1:7" x14ac:dyDescent="0.25">
      <c r="A1987" s="51"/>
      <c r="F1987" s="76" t="str">
        <f>IFERROR(IF(Tabla1[[#This Row],[CONCEPTO mx]]="","",VLOOKUP(Tabla1[[#This Row],[CONCEPTO mx]],Tabla2[#All],2,0)),"")</f>
        <v/>
      </c>
      <c r="G1987" s="76" t="str">
        <f>IFERROR(IF(Tabla1[[#This Row],[CONCEPTO mx]]="","",VLOOKUP(Tabla1[[#This Row],[CONCEPTO mx]],Tabla2[#All],3,0)),"")</f>
        <v/>
      </c>
    </row>
    <row r="1988" spans="1:7" x14ac:dyDescent="0.25">
      <c r="A1988" s="51"/>
      <c r="F1988" s="76" t="str">
        <f>IFERROR(IF(Tabla1[[#This Row],[CONCEPTO mx]]="","",VLOOKUP(Tabla1[[#This Row],[CONCEPTO mx]],Tabla2[#All],2,0)),"")</f>
        <v/>
      </c>
      <c r="G1988" s="76" t="str">
        <f>IFERROR(IF(Tabla1[[#This Row],[CONCEPTO mx]]="","",VLOOKUP(Tabla1[[#This Row],[CONCEPTO mx]],Tabla2[#All],3,0)),"")</f>
        <v/>
      </c>
    </row>
    <row r="1989" spans="1:7" x14ac:dyDescent="0.25">
      <c r="A1989" s="51"/>
      <c r="F1989" s="76" t="str">
        <f>IFERROR(IF(Tabla1[[#This Row],[CONCEPTO mx]]="","",VLOOKUP(Tabla1[[#This Row],[CONCEPTO mx]],Tabla2[#All],2,0)),"")</f>
        <v/>
      </c>
      <c r="G1989" s="76" t="str">
        <f>IFERROR(IF(Tabla1[[#This Row],[CONCEPTO mx]]="","",VLOOKUP(Tabla1[[#This Row],[CONCEPTO mx]],Tabla2[#All],3,0)),"")</f>
        <v/>
      </c>
    </row>
    <row r="1990" spans="1:7" x14ac:dyDescent="0.25">
      <c r="A1990" s="51"/>
      <c r="F1990" s="76" t="str">
        <f>IFERROR(IF(Tabla1[[#This Row],[CONCEPTO mx]]="","",VLOOKUP(Tabla1[[#This Row],[CONCEPTO mx]],Tabla2[#All],2,0)),"")</f>
        <v/>
      </c>
      <c r="G1990" s="76" t="str">
        <f>IFERROR(IF(Tabla1[[#This Row],[CONCEPTO mx]]="","",VLOOKUP(Tabla1[[#This Row],[CONCEPTO mx]],Tabla2[#All],3,0)),"")</f>
        <v/>
      </c>
    </row>
    <row r="1991" spans="1:7" x14ac:dyDescent="0.25">
      <c r="A1991" s="51"/>
      <c r="F1991" s="76" t="str">
        <f>IFERROR(IF(Tabla1[[#This Row],[CONCEPTO mx]]="","",VLOOKUP(Tabla1[[#This Row],[CONCEPTO mx]],Tabla2[#All],2,0)),"")</f>
        <v/>
      </c>
      <c r="G1991" s="76" t="str">
        <f>IFERROR(IF(Tabla1[[#This Row],[CONCEPTO mx]]="","",VLOOKUP(Tabla1[[#This Row],[CONCEPTO mx]],Tabla2[#All],3,0)),"")</f>
        <v/>
      </c>
    </row>
    <row r="1992" spans="1:7" x14ac:dyDescent="0.25">
      <c r="A1992" s="51"/>
      <c r="F1992" s="76" t="str">
        <f>IFERROR(IF(Tabla1[[#This Row],[CONCEPTO mx]]="","",VLOOKUP(Tabla1[[#This Row],[CONCEPTO mx]],Tabla2[#All],2,0)),"")</f>
        <v/>
      </c>
      <c r="G1992" s="76" t="str">
        <f>IFERROR(IF(Tabla1[[#This Row],[CONCEPTO mx]]="","",VLOOKUP(Tabla1[[#This Row],[CONCEPTO mx]],Tabla2[#All],3,0)),"")</f>
        <v/>
      </c>
    </row>
    <row r="1993" spans="1:7" x14ac:dyDescent="0.25">
      <c r="A1993" s="51"/>
      <c r="F1993" s="76" t="str">
        <f>IFERROR(IF(Tabla1[[#This Row],[CONCEPTO mx]]="","",VLOOKUP(Tabla1[[#This Row],[CONCEPTO mx]],Tabla2[#All],2,0)),"")</f>
        <v/>
      </c>
      <c r="G1993" s="76" t="str">
        <f>IFERROR(IF(Tabla1[[#This Row],[CONCEPTO mx]]="","",VLOOKUP(Tabla1[[#This Row],[CONCEPTO mx]],Tabla2[#All],3,0)),"")</f>
        <v/>
      </c>
    </row>
    <row r="1994" spans="1:7" x14ac:dyDescent="0.25">
      <c r="A1994" s="51"/>
      <c r="F1994" s="76" t="str">
        <f>IFERROR(IF(Tabla1[[#This Row],[CONCEPTO mx]]="","",VLOOKUP(Tabla1[[#This Row],[CONCEPTO mx]],Tabla2[#All],2,0)),"")</f>
        <v/>
      </c>
      <c r="G1994" s="76" t="str">
        <f>IFERROR(IF(Tabla1[[#This Row],[CONCEPTO mx]]="","",VLOOKUP(Tabla1[[#This Row],[CONCEPTO mx]],Tabla2[#All],3,0)),"")</f>
        <v/>
      </c>
    </row>
    <row r="1995" spans="1:7" x14ac:dyDescent="0.25">
      <c r="A1995" s="51"/>
      <c r="F1995" s="76" t="str">
        <f>IFERROR(IF(Tabla1[[#This Row],[CONCEPTO mx]]="","",VLOOKUP(Tabla1[[#This Row],[CONCEPTO mx]],Tabla2[#All],2,0)),"")</f>
        <v/>
      </c>
      <c r="G1995" s="76" t="str">
        <f>IFERROR(IF(Tabla1[[#This Row],[CONCEPTO mx]]="","",VLOOKUP(Tabla1[[#This Row],[CONCEPTO mx]],Tabla2[#All],3,0)),"")</f>
        <v/>
      </c>
    </row>
    <row r="1996" spans="1:7" x14ac:dyDescent="0.25">
      <c r="A1996" s="51"/>
      <c r="F1996" s="76" t="str">
        <f>IFERROR(IF(Tabla1[[#This Row],[CONCEPTO mx]]="","",VLOOKUP(Tabla1[[#This Row],[CONCEPTO mx]],Tabla2[#All],2,0)),"")</f>
        <v/>
      </c>
      <c r="G1996" s="76" t="str">
        <f>IFERROR(IF(Tabla1[[#This Row],[CONCEPTO mx]]="","",VLOOKUP(Tabla1[[#This Row],[CONCEPTO mx]],Tabla2[#All],3,0)),"")</f>
        <v/>
      </c>
    </row>
    <row r="1997" spans="1:7" x14ac:dyDescent="0.25">
      <c r="A1997" s="51"/>
      <c r="F1997" s="76" t="str">
        <f>IFERROR(IF(Tabla1[[#This Row],[CONCEPTO mx]]="","",VLOOKUP(Tabla1[[#This Row],[CONCEPTO mx]],Tabla2[#All],2,0)),"")</f>
        <v/>
      </c>
      <c r="G1997" s="76" t="str">
        <f>IFERROR(IF(Tabla1[[#This Row],[CONCEPTO mx]]="","",VLOOKUP(Tabla1[[#This Row],[CONCEPTO mx]],Tabla2[#All],3,0)),"")</f>
        <v/>
      </c>
    </row>
    <row r="1998" spans="1:7" x14ac:dyDescent="0.25">
      <c r="A1998" s="51"/>
      <c r="F1998" s="76" t="str">
        <f>IFERROR(IF(Tabla1[[#This Row],[CONCEPTO mx]]="","",VLOOKUP(Tabla1[[#This Row],[CONCEPTO mx]],Tabla2[#All],2,0)),"")</f>
        <v/>
      </c>
      <c r="G1998" s="76" t="str">
        <f>IFERROR(IF(Tabla1[[#This Row],[CONCEPTO mx]]="","",VLOOKUP(Tabla1[[#This Row],[CONCEPTO mx]],Tabla2[#All],3,0)),"")</f>
        <v/>
      </c>
    </row>
    <row r="1999" spans="1:7" x14ac:dyDescent="0.25">
      <c r="A1999" s="51"/>
      <c r="F1999" s="76" t="str">
        <f>IFERROR(IF(Tabla1[[#This Row],[CONCEPTO mx]]="","",VLOOKUP(Tabla1[[#This Row],[CONCEPTO mx]],Tabla2[#All],2,0)),"")</f>
        <v/>
      </c>
      <c r="G1999" s="76" t="str">
        <f>IFERROR(IF(Tabla1[[#This Row],[CONCEPTO mx]]="","",VLOOKUP(Tabla1[[#This Row],[CONCEPTO mx]],Tabla2[#All],3,0)),"")</f>
        <v/>
      </c>
    </row>
    <row r="2000" spans="1:7" x14ac:dyDescent="0.25">
      <c r="A2000" s="51"/>
      <c r="F2000" s="76" t="str">
        <f>IFERROR(IF(Tabla1[[#This Row],[CONCEPTO mx]]="","",VLOOKUP(Tabla1[[#This Row],[CONCEPTO mx]],Tabla2[#All],2,0)),"")</f>
        <v/>
      </c>
      <c r="G2000" s="76" t="str">
        <f>IFERROR(IF(Tabla1[[#This Row],[CONCEPTO mx]]="","",VLOOKUP(Tabla1[[#This Row],[CONCEPTO mx]],Tabla2[#All],3,0)),"")</f>
        <v/>
      </c>
    </row>
    <row r="2001" spans="1:7" x14ac:dyDescent="0.25">
      <c r="A2001" s="51"/>
      <c r="F2001" s="76" t="str">
        <f>IFERROR(IF(Tabla1[[#This Row],[CONCEPTO mx]]="","",VLOOKUP(Tabla1[[#This Row],[CONCEPTO mx]],Tabla2[#All],2,0)),"")</f>
        <v/>
      </c>
      <c r="G2001" s="76" t="str">
        <f>IFERROR(IF(Tabla1[[#This Row],[CONCEPTO mx]]="","",VLOOKUP(Tabla1[[#This Row],[CONCEPTO mx]],Tabla2[#All],3,0)),"")</f>
        <v/>
      </c>
    </row>
    <row r="2002" spans="1:7" x14ac:dyDescent="0.25">
      <c r="A2002" s="51"/>
      <c r="F2002" s="76" t="str">
        <f>IFERROR(IF(Tabla1[[#This Row],[CONCEPTO mx]]="","",VLOOKUP(Tabla1[[#This Row],[CONCEPTO mx]],Tabla2[#All],2,0)),"")</f>
        <v/>
      </c>
      <c r="G2002" s="76" t="str">
        <f>IFERROR(IF(Tabla1[[#This Row],[CONCEPTO mx]]="","",VLOOKUP(Tabla1[[#This Row],[CONCEPTO mx]],Tabla2[#All],3,0)),"")</f>
        <v/>
      </c>
    </row>
    <row r="2003" spans="1:7" x14ac:dyDescent="0.25">
      <c r="A2003" s="51"/>
      <c r="F2003" s="76" t="str">
        <f>IFERROR(IF(Tabla1[[#This Row],[CONCEPTO mx]]="","",VLOOKUP(Tabla1[[#This Row],[CONCEPTO mx]],Tabla2[#All],2,0)),"")</f>
        <v/>
      </c>
      <c r="G2003" s="76" t="str">
        <f>IFERROR(IF(Tabla1[[#This Row],[CONCEPTO mx]]="","",VLOOKUP(Tabla1[[#This Row],[CONCEPTO mx]],Tabla2[#All],3,0)),"")</f>
        <v/>
      </c>
    </row>
    <row r="2004" spans="1:7" x14ac:dyDescent="0.25">
      <c r="A2004" s="51"/>
      <c r="F2004" s="76" t="str">
        <f>IFERROR(IF(Tabla1[[#This Row],[CONCEPTO mx]]="","",VLOOKUP(Tabla1[[#This Row],[CONCEPTO mx]],Tabla2[#All],2,0)),"")</f>
        <v/>
      </c>
      <c r="G2004" s="76" t="str">
        <f>IFERROR(IF(Tabla1[[#This Row],[CONCEPTO mx]]="","",VLOOKUP(Tabla1[[#This Row],[CONCEPTO mx]],Tabla2[#All],3,0)),"")</f>
        <v/>
      </c>
    </row>
    <row r="2005" spans="1:7" x14ac:dyDescent="0.25">
      <c r="A2005" s="51"/>
      <c r="F2005" s="76" t="str">
        <f>IFERROR(IF(Tabla1[[#This Row],[CONCEPTO mx]]="","",VLOOKUP(Tabla1[[#This Row],[CONCEPTO mx]],Tabla2[#All],2,0)),"")</f>
        <v/>
      </c>
      <c r="G2005" s="76" t="str">
        <f>IFERROR(IF(Tabla1[[#This Row],[CONCEPTO mx]]="","",VLOOKUP(Tabla1[[#This Row],[CONCEPTO mx]],Tabla2[#All],3,0)),"")</f>
        <v/>
      </c>
    </row>
    <row r="2006" spans="1:7" x14ac:dyDescent="0.25">
      <c r="A2006" s="51"/>
      <c r="F2006" s="76" t="str">
        <f>IFERROR(IF(Tabla1[[#This Row],[CONCEPTO mx]]="","",VLOOKUP(Tabla1[[#This Row],[CONCEPTO mx]],Tabla2[#All],2,0)),"")</f>
        <v/>
      </c>
      <c r="G2006" s="76" t="str">
        <f>IFERROR(IF(Tabla1[[#This Row],[CONCEPTO mx]]="","",VLOOKUP(Tabla1[[#This Row],[CONCEPTO mx]],Tabla2[#All],3,0)),"")</f>
        <v/>
      </c>
    </row>
    <row r="2007" spans="1:7" x14ac:dyDescent="0.25">
      <c r="A2007" s="51"/>
      <c r="F2007" s="76" t="str">
        <f>IFERROR(IF(Tabla1[[#This Row],[CONCEPTO mx]]="","",VLOOKUP(Tabla1[[#This Row],[CONCEPTO mx]],Tabla2[#All],2,0)),"")</f>
        <v/>
      </c>
      <c r="G2007" s="76" t="str">
        <f>IFERROR(IF(Tabla1[[#This Row],[CONCEPTO mx]]="","",VLOOKUP(Tabla1[[#This Row],[CONCEPTO mx]],Tabla2[#All],3,0)),"")</f>
        <v/>
      </c>
    </row>
    <row r="2008" spans="1:7" x14ac:dyDescent="0.25">
      <c r="A2008" s="51"/>
      <c r="F2008" s="76" t="str">
        <f>IFERROR(IF(Tabla1[[#This Row],[CONCEPTO mx]]="","",VLOOKUP(Tabla1[[#This Row],[CONCEPTO mx]],Tabla2[#All],2,0)),"")</f>
        <v/>
      </c>
      <c r="G2008" s="76" t="str">
        <f>IFERROR(IF(Tabla1[[#This Row],[CONCEPTO mx]]="","",VLOOKUP(Tabla1[[#This Row],[CONCEPTO mx]],Tabla2[#All],3,0)),"")</f>
        <v/>
      </c>
    </row>
    <row r="2009" spans="1:7" x14ac:dyDescent="0.25">
      <c r="A2009" s="51"/>
      <c r="F2009" s="76" t="str">
        <f>IFERROR(IF(Tabla1[[#This Row],[CONCEPTO mx]]="","",VLOOKUP(Tabla1[[#This Row],[CONCEPTO mx]],Tabla2[#All],2,0)),"")</f>
        <v/>
      </c>
      <c r="G2009" s="76" t="str">
        <f>IFERROR(IF(Tabla1[[#This Row],[CONCEPTO mx]]="","",VLOOKUP(Tabla1[[#This Row],[CONCEPTO mx]],Tabla2[#All],3,0)),"")</f>
        <v/>
      </c>
    </row>
    <row r="2010" spans="1:7" x14ac:dyDescent="0.25">
      <c r="A2010" s="51"/>
      <c r="F2010" s="76" t="str">
        <f>IFERROR(IF(Tabla1[[#This Row],[CONCEPTO mx]]="","",VLOOKUP(Tabla1[[#This Row],[CONCEPTO mx]],Tabla2[#All],2,0)),"")</f>
        <v/>
      </c>
      <c r="G2010" s="76" t="str">
        <f>IFERROR(IF(Tabla1[[#This Row],[CONCEPTO mx]]="","",VLOOKUP(Tabla1[[#This Row],[CONCEPTO mx]],Tabla2[#All],3,0)),"")</f>
        <v/>
      </c>
    </row>
    <row r="2011" spans="1:7" x14ac:dyDescent="0.25">
      <c r="A2011" s="51"/>
      <c r="F2011" s="76" t="str">
        <f>IFERROR(IF(Tabla1[[#This Row],[CONCEPTO mx]]="","",VLOOKUP(Tabla1[[#This Row],[CONCEPTO mx]],Tabla2[#All],2,0)),"")</f>
        <v/>
      </c>
      <c r="G2011" s="76" t="str">
        <f>IFERROR(IF(Tabla1[[#This Row],[CONCEPTO mx]]="","",VLOOKUP(Tabla1[[#This Row],[CONCEPTO mx]],Tabla2[#All],3,0)),"")</f>
        <v/>
      </c>
    </row>
    <row r="2012" spans="1:7" x14ac:dyDescent="0.25">
      <c r="A2012" s="51"/>
      <c r="F2012" s="76" t="str">
        <f>IFERROR(IF(Tabla1[[#This Row],[CONCEPTO mx]]="","",VLOOKUP(Tabla1[[#This Row],[CONCEPTO mx]],Tabla2[#All],2,0)),"")</f>
        <v/>
      </c>
      <c r="G2012" s="76" t="str">
        <f>IFERROR(IF(Tabla1[[#This Row],[CONCEPTO mx]]="","",VLOOKUP(Tabla1[[#This Row],[CONCEPTO mx]],Tabla2[#All],3,0)),"")</f>
        <v/>
      </c>
    </row>
    <row r="2013" spans="1:7" x14ac:dyDescent="0.25">
      <c r="A2013" s="51"/>
      <c r="F2013" s="76" t="str">
        <f>IFERROR(IF(Tabla1[[#This Row],[CONCEPTO mx]]="","",VLOOKUP(Tabla1[[#This Row],[CONCEPTO mx]],Tabla2[#All],2,0)),"")</f>
        <v/>
      </c>
      <c r="G2013" s="76" t="str">
        <f>IFERROR(IF(Tabla1[[#This Row],[CONCEPTO mx]]="","",VLOOKUP(Tabla1[[#This Row],[CONCEPTO mx]],Tabla2[#All],3,0)),"")</f>
        <v/>
      </c>
    </row>
    <row r="2014" spans="1:7" x14ac:dyDescent="0.25">
      <c r="A2014" s="51"/>
      <c r="F2014" s="76" t="str">
        <f>IFERROR(IF(Tabla1[[#This Row],[CONCEPTO mx]]="","",VLOOKUP(Tabla1[[#This Row],[CONCEPTO mx]],Tabla2[#All],2,0)),"")</f>
        <v/>
      </c>
      <c r="G2014" s="76" t="str">
        <f>IFERROR(IF(Tabla1[[#This Row],[CONCEPTO mx]]="","",VLOOKUP(Tabla1[[#This Row],[CONCEPTO mx]],Tabla2[#All],3,0)),"")</f>
        <v/>
      </c>
    </row>
    <row r="2015" spans="1:7" x14ac:dyDescent="0.25">
      <c r="A2015" s="51"/>
      <c r="F2015" s="76" t="str">
        <f>IFERROR(IF(Tabla1[[#This Row],[CONCEPTO mx]]="","",VLOOKUP(Tabla1[[#This Row],[CONCEPTO mx]],Tabla2[#All],2,0)),"")</f>
        <v/>
      </c>
      <c r="G2015" s="76" t="str">
        <f>IFERROR(IF(Tabla1[[#This Row],[CONCEPTO mx]]="","",VLOOKUP(Tabla1[[#This Row],[CONCEPTO mx]],Tabla2[#All],3,0)),"")</f>
        <v/>
      </c>
    </row>
    <row r="2016" spans="1:7" x14ac:dyDescent="0.25">
      <c r="A2016" s="51"/>
      <c r="F2016" s="76" t="str">
        <f>IFERROR(IF(Tabla1[[#This Row],[CONCEPTO mx]]="","",VLOOKUP(Tabla1[[#This Row],[CONCEPTO mx]],Tabla2[#All],2,0)),"")</f>
        <v/>
      </c>
      <c r="G2016" s="76" t="str">
        <f>IFERROR(IF(Tabla1[[#This Row],[CONCEPTO mx]]="","",VLOOKUP(Tabla1[[#This Row],[CONCEPTO mx]],Tabla2[#All],3,0)),"")</f>
        <v/>
      </c>
    </row>
    <row r="2017" spans="1:7" x14ac:dyDescent="0.25">
      <c r="A2017" s="51"/>
      <c r="F2017" s="76" t="str">
        <f>IFERROR(IF(Tabla1[[#This Row],[CONCEPTO mx]]="","",VLOOKUP(Tabla1[[#This Row],[CONCEPTO mx]],Tabla2[#All],2,0)),"")</f>
        <v/>
      </c>
      <c r="G2017" s="76" t="str">
        <f>IFERROR(IF(Tabla1[[#This Row],[CONCEPTO mx]]="","",VLOOKUP(Tabla1[[#This Row],[CONCEPTO mx]],Tabla2[#All],3,0)),"")</f>
        <v/>
      </c>
    </row>
    <row r="2018" spans="1:7" x14ac:dyDescent="0.25">
      <c r="A2018" s="51"/>
      <c r="F2018" s="76" t="str">
        <f>IFERROR(IF(Tabla1[[#This Row],[CONCEPTO mx]]="","",VLOOKUP(Tabla1[[#This Row],[CONCEPTO mx]],Tabla2[#All],2,0)),"")</f>
        <v/>
      </c>
      <c r="G2018" s="76" t="str">
        <f>IFERROR(IF(Tabla1[[#This Row],[CONCEPTO mx]]="","",VLOOKUP(Tabla1[[#This Row],[CONCEPTO mx]],Tabla2[#All],3,0)),"")</f>
        <v/>
      </c>
    </row>
    <row r="2019" spans="1:7" x14ac:dyDescent="0.25">
      <c r="A2019" s="51"/>
      <c r="F2019" s="76" t="str">
        <f>IFERROR(IF(Tabla1[[#This Row],[CONCEPTO mx]]="","",VLOOKUP(Tabla1[[#This Row],[CONCEPTO mx]],Tabla2[#All],2,0)),"")</f>
        <v/>
      </c>
      <c r="G2019" s="76" t="str">
        <f>IFERROR(IF(Tabla1[[#This Row],[CONCEPTO mx]]="","",VLOOKUP(Tabla1[[#This Row],[CONCEPTO mx]],Tabla2[#All],3,0)),"")</f>
        <v/>
      </c>
    </row>
    <row r="2020" spans="1:7" x14ac:dyDescent="0.25">
      <c r="A2020" s="51"/>
      <c r="F2020" s="76" t="str">
        <f>IFERROR(IF(Tabla1[[#This Row],[CONCEPTO mx]]="","",VLOOKUP(Tabla1[[#This Row],[CONCEPTO mx]],Tabla2[#All],2,0)),"")</f>
        <v/>
      </c>
      <c r="G2020" s="76" t="str">
        <f>IFERROR(IF(Tabla1[[#This Row],[CONCEPTO mx]]="","",VLOOKUP(Tabla1[[#This Row],[CONCEPTO mx]],Tabla2[#All],3,0)),"")</f>
        <v/>
      </c>
    </row>
    <row r="2021" spans="1:7" x14ac:dyDescent="0.25">
      <c r="A2021" s="51"/>
      <c r="F2021" s="76" t="str">
        <f>IFERROR(IF(Tabla1[[#This Row],[CONCEPTO mx]]="","",VLOOKUP(Tabla1[[#This Row],[CONCEPTO mx]],Tabla2[#All],2,0)),"")</f>
        <v/>
      </c>
      <c r="G2021" s="76" t="str">
        <f>IFERROR(IF(Tabla1[[#This Row],[CONCEPTO mx]]="","",VLOOKUP(Tabla1[[#This Row],[CONCEPTO mx]],Tabla2[#All],3,0)),"")</f>
        <v/>
      </c>
    </row>
    <row r="2022" spans="1:7" x14ac:dyDescent="0.25">
      <c r="A2022" s="51"/>
      <c r="F2022" s="76" t="str">
        <f>IFERROR(IF(Tabla1[[#This Row],[CONCEPTO mx]]="","",VLOOKUP(Tabla1[[#This Row],[CONCEPTO mx]],Tabla2[#All],2,0)),"")</f>
        <v/>
      </c>
      <c r="G2022" s="76" t="str">
        <f>IFERROR(IF(Tabla1[[#This Row],[CONCEPTO mx]]="","",VLOOKUP(Tabla1[[#This Row],[CONCEPTO mx]],Tabla2[#All],3,0)),"")</f>
        <v/>
      </c>
    </row>
    <row r="2023" spans="1:7" x14ac:dyDescent="0.25">
      <c r="A2023" s="51"/>
      <c r="F2023" s="76" t="str">
        <f>IFERROR(IF(Tabla1[[#This Row],[CONCEPTO mx]]="","",VLOOKUP(Tabla1[[#This Row],[CONCEPTO mx]],Tabla2[#All],2,0)),"")</f>
        <v/>
      </c>
      <c r="G2023" s="76" t="str">
        <f>IFERROR(IF(Tabla1[[#This Row],[CONCEPTO mx]]="","",VLOOKUP(Tabla1[[#This Row],[CONCEPTO mx]],Tabla2[#All],3,0)),"")</f>
        <v/>
      </c>
    </row>
    <row r="2024" spans="1:7" x14ac:dyDescent="0.25">
      <c r="A2024" s="51"/>
      <c r="F2024" s="76" t="str">
        <f>IFERROR(IF(Tabla1[[#This Row],[CONCEPTO mx]]="","",VLOOKUP(Tabla1[[#This Row],[CONCEPTO mx]],Tabla2[#All],2,0)),"")</f>
        <v/>
      </c>
      <c r="G2024" s="76" t="str">
        <f>IFERROR(IF(Tabla1[[#This Row],[CONCEPTO mx]]="","",VLOOKUP(Tabla1[[#This Row],[CONCEPTO mx]],Tabla2[#All],3,0)),"")</f>
        <v/>
      </c>
    </row>
    <row r="2025" spans="1:7" x14ac:dyDescent="0.25">
      <c r="A2025" s="51"/>
      <c r="F2025" s="76" t="str">
        <f>IFERROR(IF(Tabla1[[#This Row],[CONCEPTO mx]]="","",VLOOKUP(Tabla1[[#This Row],[CONCEPTO mx]],Tabla2[#All],2,0)),"")</f>
        <v/>
      </c>
      <c r="G2025" s="76" t="str">
        <f>IFERROR(IF(Tabla1[[#This Row],[CONCEPTO mx]]="","",VLOOKUP(Tabla1[[#This Row],[CONCEPTO mx]],Tabla2[#All],3,0)),"")</f>
        <v/>
      </c>
    </row>
    <row r="2026" spans="1:7" x14ac:dyDescent="0.25">
      <c r="A2026" s="51"/>
      <c r="F2026" s="76" t="str">
        <f>IFERROR(IF(Tabla1[[#This Row],[CONCEPTO mx]]="","",VLOOKUP(Tabla1[[#This Row],[CONCEPTO mx]],Tabla2[#All],2,0)),"")</f>
        <v/>
      </c>
      <c r="G2026" s="76" t="str">
        <f>IFERROR(IF(Tabla1[[#This Row],[CONCEPTO mx]]="","",VLOOKUP(Tabla1[[#This Row],[CONCEPTO mx]],Tabla2[#All],3,0)),"")</f>
        <v/>
      </c>
    </row>
    <row r="2027" spans="1:7" x14ac:dyDescent="0.25">
      <c r="A2027" s="51"/>
      <c r="F2027" s="76" t="str">
        <f>IFERROR(IF(Tabla1[[#This Row],[CONCEPTO mx]]="","",VLOOKUP(Tabla1[[#This Row],[CONCEPTO mx]],Tabla2[#All],2,0)),"")</f>
        <v/>
      </c>
      <c r="G2027" s="76" t="str">
        <f>IFERROR(IF(Tabla1[[#This Row],[CONCEPTO mx]]="","",VLOOKUP(Tabla1[[#This Row],[CONCEPTO mx]],Tabla2[#All],3,0)),"")</f>
        <v/>
      </c>
    </row>
    <row r="2028" spans="1:7" x14ac:dyDescent="0.25">
      <c r="A2028" s="51"/>
      <c r="F2028" s="76" t="str">
        <f>IFERROR(IF(Tabla1[[#This Row],[CONCEPTO mx]]="","",VLOOKUP(Tabla1[[#This Row],[CONCEPTO mx]],Tabla2[#All],2,0)),"")</f>
        <v/>
      </c>
      <c r="G2028" s="76" t="str">
        <f>IFERROR(IF(Tabla1[[#This Row],[CONCEPTO mx]]="","",VLOOKUP(Tabla1[[#This Row],[CONCEPTO mx]],Tabla2[#All],3,0)),"")</f>
        <v/>
      </c>
    </row>
    <row r="2029" spans="1:7" x14ac:dyDescent="0.25">
      <c r="A2029" s="51"/>
      <c r="F2029" s="76" t="str">
        <f>IFERROR(IF(Tabla1[[#This Row],[CONCEPTO mx]]="","",VLOOKUP(Tabla1[[#This Row],[CONCEPTO mx]],Tabla2[#All],2,0)),"")</f>
        <v/>
      </c>
      <c r="G2029" s="76" t="str">
        <f>IFERROR(IF(Tabla1[[#This Row],[CONCEPTO mx]]="","",VLOOKUP(Tabla1[[#This Row],[CONCEPTO mx]],Tabla2[#All],3,0)),"")</f>
        <v/>
      </c>
    </row>
    <row r="2030" spans="1:7" x14ac:dyDescent="0.25">
      <c r="A2030" s="51"/>
      <c r="F2030" s="76" t="str">
        <f>IFERROR(IF(Tabla1[[#This Row],[CONCEPTO mx]]="","",VLOOKUP(Tabla1[[#This Row],[CONCEPTO mx]],Tabla2[#All],2,0)),"")</f>
        <v/>
      </c>
      <c r="G2030" s="76" t="str">
        <f>IFERROR(IF(Tabla1[[#This Row],[CONCEPTO mx]]="","",VLOOKUP(Tabla1[[#This Row],[CONCEPTO mx]],Tabla2[#All],3,0)),"")</f>
        <v/>
      </c>
    </row>
    <row r="2031" spans="1:7" x14ac:dyDescent="0.25">
      <c r="A2031" s="51"/>
      <c r="F2031" s="76" t="str">
        <f>IFERROR(IF(Tabla1[[#This Row],[CONCEPTO mx]]="","",VLOOKUP(Tabla1[[#This Row],[CONCEPTO mx]],Tabla2[#All],2,0)),"")</f>
        <v/>
      </c>
      <c r="G2031" s="76" t="str">
        <f>IFERROR(IF(Tabla1[[#This Row],[CONCEPTO mx]]="","",VLOOKUP(Tabla1[[#This Row],[CONCEPTO mx]],Tabla2[#All],3,0)),"")</f>
        <v/>
      </c>
    </row>
    <row r="2032" spans="1:7" x14ac:dyDescent="0.25">
      <c r="A2032" s="51"/>
      <c r="F2032" s="76" t="str">
        <f>IFERROR(IF(Tabla1[[#This Row],[CONCEPTO mx]]="","",VLOOKUP(Tabla1[[#This Row],[CONCEPTO mx]],Tabla2[#All],2,0)),"")</f>
        <v/>
      </c>
      <c r="G2032" s="76" t="str">
        <f>IFERROR(IF(Tabla1[[#This Row],[CONCEPTO mx]]="","",VLOOKUP(Tabla1[[#This Row],[CONCEPTO mx]],Tabla2[#All],3,0)),"")</f>
        <v/>
      </c>
    </row>
    <row r="2033" spans="1:7" x14ac:dyDescent="0.25">
      <c r="A2033" s="51"/>
      <c r="F2033" s="76" t="str">
        <f>IFERROR(IF(Tabla1[[#This Row],[CONCEPTO mx]]="","",VLOOKUP(Tabla1[[#This Row],[CONCEPTO mx]],Tabla2[#All],2,0)),"")</f>
        <v/>
      </c>
      <c r="G2033" s="76" t="str">
        <f>IFERROR(IF(Tabla1[[#This Row],[CONCEPTO mx]]="","",VLOOKUP(Tabla1[[#This Row],[CONCEPTO mx]],Tabla2[#All],3,0)),"")</f>
        <v/>
      </c>
    </row>
    <row r="2034" spans="1:7" x14ac:dyDescent="0.25">
      <c r="A2034" s="51"/>
      <c r="F2034" s="76" t="str">
        <f>IFERROR(IF(Tabla1[[#This Row],[CONCEPTO mx]]="","",VLOOKUP(Tabla1[[#This Row],[CONCEPTO mx]],Tabla2[#All],2,0)),"")</f>
        <v/>
      </c>
      <c r="G2034" s="76" t="str">
        <f>IFERROR(IF(Tabla1[[#This Row],[CONCEPTO mx]]="","",VLOOKUP(Tabla1[[#This Row],[CONCEPTO mx]],Tabla2[#All],3,0)),"")</f>
        <v/>
      </c>
    </row>
    <row r="2035" spans="1:7" x14ac:dyDescent="0.25">
      <c r="A2035" s="51"/>
      <c r="F2035" s="76" t="str">
        <f>IFERROR(IF(Tabla1[[#This Row],[CONCEPTO mx]]="","",VLOOKUP(Tabla1[[#This Row],[CONCEPTO mx]],Tabla2[#All],2,0)),"")</f>
        <v/>
      </c>
      <c r="G2035" s="76" t="str">
        <f>IFERROR(IF(Tabla1[[#This Row],[CONCEPTO mx]]="","",VLOOKUP(Tabla1[[#This Row],[CONCEPTO mx]],Tabla2[#All],3,0)),"")</f>
        <v/>
      </c>
    </row>
    <row r="2036" spans="1:7" x14ac:dyDescent="0.25">
      <c r="A2036" s="51"/>
      <c r="F2036" s="76" t="str">
        <f>IFERROR(IF(Tabla1[[#This Row],[CONCEPTO mx]]="","",VLOOKUP(Tabla1[[#This Row],[CONCEPTO mx]],Tabla2[#All],2,0)),"")</f>
        <v/>
      </c>
      <c r="G2036" s="76" t="str">
        <f>IFERROR(IF(Tabla1[[#This Row],[CONCEPTO mx]]="","",VLOOKUP(Tabla1[[#This Row],[CONCEPTO mx]],Tabla2[#All],3,0)),"")</f>
        <v/>
      </c>
    </row>
    <row r="2037" spans="1:7" x14ac:dyDescent="0.25">
      <c r="A2037" s="51"/>
      <c r="F2037" s="76" t="str">
        <f>IFERROR(IF(Tabla1[[#This Row],[CONCEPTO mx]]="","",VLOOKUP(Tabla1[[#This Row],[CONCEPTO mx]],Tabla2[#All],2,0)),"")</f>
        <v/>
      </c>
      <c r="G2037" s="76" t="str">
        <f>IFERROR(IF(Tabla1[[#This Row],[CONCEPTO mx]]="","",VLOOKUP(Tabla1[[#This Row],[CONCEPTO mx]],Tabla2[#All],3,0)),"")</f>
        <v/>
      </c>
    </row>
    <row r="2038" spans="1:7" x14ac:dyDescent="0.25">
      <c r="A2038" s="51"/>
      <c r="F2038" s="76" t="str">
        <f>IFERROR(IF(Tabla1[[#This Row],[CONCEPTO mx]]="","",VLOOKUP(Tabla1[[#This Row],[CONCEPTO mx]],Tabla2[#All],2,0)),"")</f>
        <v/>
      </c>
      <c r="G2038" s="76" t="str">
        <f>IFERROR(IF(Tabla1[[#This Row],[CONCEPTO mx]]="","",VLOOKUP(Tabla1[[#This Row],[CONCEPTO mx]],Tabla2[#All],3,0)),"")</f>
        <v/>
      </c>
    </row>
    <row r="2039" spans="1:7" x14ac:dyDescent="0.25">
      <c r="A2039" s="51"/>
      <c r="F2039" s="76" t="str">
        <f>IFERROR(IF(Tabla1[[#This Row],[CONCEPTO mx]]="","",VLOOKUP(Tabla1[[#This Row],[CONCEPTO mx]],Tabla2[#All],2,0)),"")</f>
        <v/>
      </c>
      <c r="G2039" s="76" t="str">
        <f>IFERROR(IF(Tabla1[[#This Row],[CONCEPTO mx]]="","",VLOOKUP(Tabla1[[#This Row],[CONCEPTO mx]],Tabla2[#All],3,0)),"")</f>
        <v/>
      </c>
    </row>
    <row r="2040" spans="1:7" x14ac:dyDescent="0.25">
      <c r="A2040" s="51"/>
      <c r="F2040" s="76" t="str">
        <f>IFERROR(IF(Tabla1[[#This Row],[CONCEPTO mx]]="","",VLOOKUP(Tabla1[[#This Row],[CONCEPTO mx]],Tabla2[#All],2,0)),"")</f>
        <v/>
      </c>
      <c r="G2040" s="76" t="str">
        <f>IFERROR(IF(Tabla1[[#This Row],[CONCEPTO mx]]="","",VLOOKUP(Tabla1[[#This Row],[CONCEPTO mx]],Tabla2[#All],3,0)),"")</f>
        <v/>
      </c>
    </row>
    <row r="2041" spans="1:7" x14ac:dyDescent="0.25">
      <c r="A2041" s="51"/>
      <c r="F2041" s="76" t="str">
        <f>IFERROR(IF(Tabla1[[#This Row],[CONCEPTO mx]]="","",VLOOKUP(Tabla1[[#This Row],[CONCEPTO mx]],Tabla2[#All],2,0)),"")</f>
        <v/>
      </c>
      <c r="G2041" s="76" t="str">
        <f>IFERROR(IF(Tabla1[[#This Row],[CONCEPTO mx]]="","",VLOOKUP(Tabla1[[#This Row],[CONCEPTO mx]],Tabla2[#All],3,0)),"")</f>
        <v/>
      </c>
    </row>
    <row r="2042" spans="1:7" x14ac:dyDescent="0.25">
      <c r="A2042" s="51"/>
      <c r="F2042" s="76" t="str">
        <f>IFERROR(IF(Tabla1[[#This Row],[CONCEPTO mx]]="","",VLOOKUP(Tabla1[[#This Row],[CONCEPTO mx]],Tabla2[#All],2,0)),"")</f>
        <v/>
      </c>
      <c r="G2042" s="76" t="str">
        <f>IFERROR(IF(Tabla1[[#This Row],[CONCEPTO mx]]="","",VLOOKUP(Tabla1[[#This Row],[CONCEPTO mx]],Tabla2[#All],3,0)),"")</f>
        <v/>
      </c>
    </row>
    <row r="2043" spans="1:7" x14ac:dyDescent="0.25">
      <c r="A2043" s="51"/>
      <c r="F2043" s="76" t="str">
        <f>IFERROR(IF(Tabla1[[#This Row],[CONCEPTO mx]]="","",VLOOKUP(Tabla1[[#This Row],[CONCEPTO mx]],Tabla2[#All],2,0)),"")</f>
        <v/>
      </c>
      <c r="G2043" s="76" t="str">
        <f>IFERROR(IF(Tabla1[[#This Row],[CONCEPTO mx]]="","",VLOOKUP(Tabla1[[#This Row],[CONCEPTO mx]],Tabla2[#All],3,0)),"")</f>
        <v/>
      </c>
    </row>
    <row r="2044" spans="1:7" x14ac:dyDescent="0.25">
      <c r="A2044" s="51"/>
      <c r="F2044" s="76" t="str">
        <f>IFERROR(IF(Tabla1[[#This Row],[CONCEPTO mx]]="","",VLOOKUP(Tabla1[[#This Row],[CONCEPTO mx]],Tabla2[#All],2,0)),"")</f>
        <v/>
      </c>
      <c r="G2044" s="76" t="str">
        <f>IFERROR(IF(Tabla1[[#This Row],[CONCEPTO mx]]="","",VLOOKUP(Tabla1[[#This Row],[CONCEPTO mx]],Tabla2[#All],3,0)),"")</f>
        <v/>
      </c>
    </row>
    <row r="2045" spans="1:7" x14ac:dyDescent="0.25">
      <c r="A2045" s="51"/>
      <c r="F2045" s="76" t="str">
        <f>IFERROR(IF(Tabla1[[#This Row],[CONCEPTO mx]]="","",VLOOKUP(Tabla1[[#This Row],[CONCEPTO mx]],Tabla2[#All],2,0)),"")</f>
        <v/>
      </c>
      <c r="G2045" s="76" t="str">
        <f>IFERROR(IF(Tabla1[[#This Row],[CONCEPTO mx]]="","",VLOOKUP(Tabla1[[#This Row],[CONCEPTO mx]],Tabla2[#All],3,0)),"")</f>
        <v/>
      </c>
    </row>
    <row r="2046" spans="1:7" x14ac:dyDescent="0.25">
      <c r="A2046" s="51"/>
      <c r="F2046" s="76" t="str">
        <f>IFERROR(IF(Tabla1[[#This Row],[CONCEPTO mx]]="","",VLOOKUP(Tabla1[[#This Row],[CONCEPTO mx]],Tabla2[#All],2,0)),"")</f>
        <v/>
      </c>
      <c r="G2046" s="76" t="str">
        <f>IFERROR(IF(Tabla1[[#This Row],[CONCEPTO mx]]="","",VLOOKUP(Tabla1[[#This Row],[CONCEPTO mx]],Tabla2[#All],3,0)),"")</f>
        <v/>
      </c>
    </row>
    <row r="2047" spans="1:7" x14ac:dyDescent="0.25">
      <c r="A2047" s="51"/>
      <c r="F2047" s="76" t="str">
        <f>IFERROR(IF(Tabla1[[#This Row],[CONCEPTO mx]]="","",VLOOKUP(Tabla1[[#This Row],[CONCEPTO mx]],Tabla2[#All],2,0)),"")</f>
        <v/>
      </c>
      <c r="G2047" s="76" t="str">
        <f>IFERROR(IF(Tabla1[[#This Row],[CONCEPTO mx]]="","",VLOOKUP(Tabla1[[#This Row],[CONCEPTO mx]],Tabla2[#All],3,0)),"")</f>
        <v/>
      </c>
    </row>
    <row r="2048" spans="1:7" x14ac:dyDescent="0.25">
      <c r="A2048" s="51"/>
      <c r="F2048" s="76" t="str">
        <f>IFERROR(IF(Tabla1[[#This Row],[CONCEPTO mx]]="","",VLOOKUP(Tabla1[[#This Row],[CONCEPTO mx]],Tabla2[#All],2,0)),"")</f>
        <v/>
      </c>
      <c r="G2048" s="76" t="str">
        <f>IFERROR(IF(Tabla1[[#This Row],[CONCEPTO mx]]="","",VLOOKUP(Tabla1[[#This Row],[CONCEPTO mx]],Tabla2[#All],3,0)),"")</f>
        <v/>
      </c>
    </row>
    <row r="2049" spans="1:7" x14ac:dyDescent="0.25">
      <c r="A2049" s="51"/>
      <c r="F2049" s="76" t="str">
        <f>IFERROR(IF(Tabla1[[#This Row],[CONCEPTO mx]]="","",VLOOKUP(Tabla1[[#This Row],[CONCEPTO mx]],Tabla2[#All],2,0)),"")</f>
        <v/>
      </c>
      <c r="G2049" s="76" t="str">
        <f>IFERROR(IF(Tabla1[[#This Row],[CONCEPTO mx]]="","",VLOOKUP(Tabla1[[#This Row],[CONCEPTO mx]],Tabla2[#All],3,0)),"")</f>
        <v/>
      </c>
    </row>
    <row r="2050" spans="1:7" x14ac:dyDescent="0.25">
      <c r="A2050" s="51"/>
      <c r="F2050" s="76" t="str">
        <f>IFERROR(IF(Tabla1[[#This Row],[CONCEPTO mx]]="","",VLOOKUP(Tabla1[[#This Row],[CONCEPTO mx]],Tabla2[#All],2,0)),"")</f>
        <v/>
      </c>
      <c r="G2050" s="76" t="str">
        <f>IFERROR(IF(Tabla1[[#This Row],[CONCEPTO mx]]="","",VLOOKUP(Tabla1[[#This Row],[CONCEPTO mx]],Tabla2[#All],3,0)),"")</f>
        <v/>
      </c>
    </row>
    <row r="2051" spans="1:7" x14ac:dyDescent="0.25">
      <c r="A2051" s="51"/>
      <c r="F2051" s="76" t="str">
        <f>IFERROR(IF(Tabla1[[#This Row],[CONCEPTO mx]]="","",VLOOKUP(Tabla1[[#This Row],[CONCEPTO mx]],Tabla2[#All],2,0)),"")</f>
        <v/>
      </c>
      <c r="G2051" s="76" t="str">
        <f>IFERROR(IF(Tabla1[[#This Row],[CONCEPTO mx]]="","",VLOOKUP(Tabla1[[#This Row],[CONCEPTO mx]],Tabla2[#All],3,0)),"")</f>
        <v/>
      </c>
    </row>
    <row r="2052" spans="1:7" x14ac:dyDescent="0.25">
      <c r="A2052" s="51"/>
      <c r="F2052" s="76" t="str">
        <f>IFERROR(IF(Tabla1[[#This Row],[CONCEPTO mx]]="","",VLOOKUP(Tabla1[[#This Row],[CONCEPTO mx]],Tabla2[#All],2,0)),"")</f>
        <v/>
      </c>
      <c r="G2052" s="76" t="str">
        <f>IFERROR(IF(Tabla1[[#This Row],[CONCEPTO mx]]="","",VLOOKUP(Tabla1[[#This Row],[CONCEPTO mx]],Tabla2[#All],3,0)),"")</f>
        <v/>
      </c>
    </row>
    <row r="2053" spans="1:7" x14ac:dyDescent="0.25">
      <c r="A2053" s="51"/>
      <c r="F2053" s="76" t="str">
        <f>IFERROR(IF(Tabla1[[#This Row],[CONCEPTO mx]]="","",VLOOKUP(Tabla1[[#This Row],[CONCEPTO mx]],Tabla2[#All],2,0)),"")</f>
        <v/>
      </c>
      <c r="G2053" s="76" t="str">
        <f>IFERROR(IF(Tabla1[[#This Row],[CONCEPTO mx]]="","",VLOOKUP(Tabla1[[#This Row],[CONCEPTO mx]],Tabla2[#All],3,0)),"")</f>
        <v/>
      </c>
    </row>
    <row r="2054" spans="1:7" x14ac:dyDescent="0.25">
      <c r="A2054" s="51"/>
      <c r="F2054" s="76" t="str">
        <f>IFERROR(IF(Tabla1[[#This Row],[CONCEPTO mx]]="","",VLOOKUP(Tabla1[[#This Row],[CONCEPTO mx]],Tabla2[#All],2,0)),"")</f>
        <v/>
      </c>
      <c r="G2054" s="76" t="str">
        <f>IFERROR(IF(Tabla1[[#This Row],[CONCEPTO mx]]="","",VLOOKUP(Tabla1[[#This Row],[CONCEPTO mx]],Tabla2[#All],3,0)),"")</f>
        <v/>
      </c>
    </row>
    <row r="2055" spans="1:7" x14ac:dyDescent="0.25">
      <c r="A2055" s="51"/>
      <c r="F2055" s="76" t="str">
        <f>IFERROR(IF(Tabla1[[#This Row],[CONCEPTO mx]]="","",VLOOKUP(Tabla1[[#This Row],[CONCEPTO mx]],Tabla2[#All],2,0)),"")</f>
        <v/>
      </c>
      <c r="G2055" s="76" t="str">
        <f>IFERROR(IF(Tabla1[[#This Row],[CONCEPTO mx]]="","",VLOOKUP(Tabla1[[#This Row],[CONCEPTO mx]],Tabla2[#All],3,0)),"")</f>
        <v/>
      </c>
    </row>
    <row r="2056" spans="1:7" x14ac:dyDescent="0.25">
      <c r="A2056" s="51"/>
      <c r="F2056" s="76" t="str">
        <f>IFERROR(IF(Tabla1[[#This Row],[CONCEPTO mx]]="","",VLOOKUP(Tabla1[[#This Row],[CONCEPTO mx]],Tabla2[#All],2,0)),"")</f>
        <v/>
      </c>
      <c r="G2056" s="76" t="str">
        <f>IFERROR(IF(Tabla1[[#This Row],[CONCEPTO mx]]="","",VLOOKUP(Tabla1[[#This Row],[CONCEPTO mx]],Tabla2[#All],3,0)),"")</f>
        <v/>
      </c>
    </row>
    <row r="2057" spans="1:7" x14ac:dyDescent="0.25">
      <c r="A2057" s="51"/>
      <c r="F2057" s="76" t="str">
        <f>IFERROR(IF(Tabla1[[#This Row],[CONCEPTO mx]]="","",VLOOKUP(Tabla1[[#This Row],[CONCEPTO mx]],Tabla2[#All],2,0)),"")</f>
        <v/>
      </c>
      <c r="G2057" s="76" t="str">
        <f>IFERROR(IF(Tabla1[[#This Row],[CONCEPTO mx]]="","",VLOOKUP(Tabla1[[#This Row],[CONCEPTO mx]],Tabla2[#All],3,0)),"")</f>
        <v/>
      </c>
    </row>
    <row r="2058" spans="1:7" x14ac:dyDescent="0.25">
      <c r="A2058" s="51"/>
      <c r="F2058" s="76" t="str">
        <f>IFERROR(IF(Tabla1[[#This Row],[CONCEPTO mx]]="","",VLOOKUP(Tabla1[[#This Row],[CONCEPTO mx]],Tabla2[#All],2,0)),"")</f>
        <v/>
      </c>
      <c r="G2058" s="76" t="str">
        <f>IFERROR(IF(Tabla1[[#This Row],[CONCEPTO mx]]="","",VLOOKUP(Tabla1[[#This Row],[CONCEPTO mx]],Tabla2[#All],3,0)),"")</f>
        <v/>
      </c>
    </row>
    <row r="2059" spans="1:7" x14ac:dyDescent="0.25">
      <c r="A2059" s="51"/>
      <c r="F2059" s="76" t="str">
        <f>IFERROR(IF(Tabla1[[#This Row],[CONCEPTO mx]]="","",VLOOKUP(Tabla1[[#This Row],[CONCEPTO mx]],Tabla2[#All],2,0)),"")</f>
        <v/>
      </c>
      <c r="G2059" s="76" t="str">
        <f>IFERROR(IF(Tabla1[[#This Row],[CONCEPTO mx]]="","",VLOOKUP(Tabla1[[#This Row],[CONCEPTO mx]],Tabla2[#All],3,0)),"")</f>
        <v/>
      </c>
    </row>
    <row r="2060" spans="1:7" x14ac:dyDescent="0.25">
      <c r="A2060" s="51"/>
      <c r="F2060" s="76" t="str">
        <f>IFERROR(IF(Tabla1[[#This Row],[CONCEPTO mx]]="","",VLOOKUP(Tabla1[[#This Row],[CONCEPTO mx]],Tabla2[#All],2,0)),"")</f>
        <v/>
      </c>
      <c r="G2060" s="76" t="str">
        <f>IFERROR(IF(Tabla1[[#This Row],[CONCEPTO mx]]="","",VLOOKUP(Tabla1[[#This Row],[CONCEPTO mx]],Tabla2[#All],3,0)),"")</f>
        <v/>
      </c>
    </row>
    <row r="2061" spans="1:7" x14ac:dyDescent="0.25">
      <c r="A2061" s="51"/>
      <c r="F2061" s="76" t="str">
        <f>IFERROR(IF(Tabla1[[#This Row],[CONCEPTO mx]]="","",VLOOKUP(Tabla1[[#This Row],[CONCEPTO mx]],Tabla2[#All],2,0)),"")</f>
        <v/>
      </c>
      <c r="G2061" s="76" t="str">
        <f>IFERROR(IF(Tabla1[[#This Row],[CONCEPTO mx]]="","",VLOOKUP(Tabla1[[#This Row],[CONCEPTO mx]],Tabla2[#All],3,0)),"")</f>
        <v/>
      </c>
    </row>
    <row r="2062" spans="1:7" x14ac:dyDescent="0.25">
      <c r="A2062" s="51"/>
      <c r="F2062" s="76" t="str">
        <f>IFERROR(IF(Tabla1[[#This Row],[CONCEPTO mx]]="","",VLOOKUP(Tabla1[[#This Row],[CONCEPTO mx]],Tabla2[#All],2,0)),"")</f>
        <v/>
      </c>
      <c r="G2062" s="76" t="str">
        <f>IFERROR(IF(Tabla1[[#This Row],[CONCEPTO mx]]="","",VLOOKUP(Tabla1[[#This Row],[CONCEPTO mx]],Tabla2[#All],3,0)),"")</f>
        <v/>
      </c>
    </row>
    <row r="2063" spans="1:7" x14ac:dyDescent="0.25">
      <c r="A2063" s="51"/>
      <c r="F2063" s="76" t="str">
        <f>IFERROR(IF(Tabla1[[#This Row],[CONCEPTO mx]]="","",VLOOKUP(Tabla1[[#This Row],[CONCEPTO mx]],Tabla2[#All],2,0)),"")</f>
        <v/>
      </c>
      <c r="G2063" s="76" t="str">
        <f>IFERROR(IF(Tabla1[[#This Row],[CONCEPTO mx]]="","",VLOOKUP(Tabla1[[#This Row],[CONCEPTO mx]],Tabla2[#All],3,0)),"")</f>
        <v/>
      </c>
    </row>
    <row r="2064" spans="1:7" x14ac:dyDescent="0.25">
      <c r="A2064" s="51"/>
      <c r="F2064" s="76" t="str">
        <f>IFERROR(IF(Tabla1[[#This Row],[CONCEPTO mx]]="","",VLOOKUP(Tabla1[[#This Row],[CONCEPTO mx]],Tabla2[#All],2,0)),"")</f>
        <v/>
      </c>
      <c r="G2064" s="76" t="str">
        <f>IFERROR(IF(Tabla1[[#This Row],[CONCEPTO mx]]="","",VLOOKUP(Tabla1[[#This Row],[CONCEPTO mx]],Tabla2[#All],3,0)),"")</f>
        <v/>
      </c>
    </row>
    <row r="2065" spans="1:7" x14ac:dyDescent="0.25">
      <c r="A2065" s="51"/>
      <c r="F2065" s="76" t="str">
        <f>IFERROR(IF(Tabla1[[#This Row],[CONCEPTO mx]]="","",VLOOKUP(Tabla1[[#This Row],[CONCEPTO mx]],Tabla2[#All],2,0)),"")</f>
        <v/>
      </c>
      <c r="G2065" s="76" t="str">
        <f>IFERROR(IF(Tabla1[[#This Row],[CONCEPTO mx]]="","",VLOOKUP(Tabla1[[#This Row],[CONCEPTO mx]],Tabla2[#All],3,0)),"")</f>
        <v/>
      </c>
    </row>
    <row r="2066" spans="1:7" x14ac:dyDescent="0.25">
      <c r="A2066" s="51"/>
      <c r="F2066" s="76" t="str">
        <f>IFERROR(IF(Tabla1[[#This Row],[CONCEPTO mx]]="","",VLOOKUP(Tabla1[[#This Row],[CONCEPTO mx]],Tabla2[#All],2,0)),"")</f>
        <v/>
      </c>
      <c r="G2066" s="76" t="str">
        <f>IFERROR(IF(Tabla1[[#This Row],[CONCEPTO mx]]="","",VLOOKUP(Tabla1[[#This Row],[CONCEPTO mx]],Tabla2[#All],3,0)),"")</f>
        <v/>
      </c>
    </row>
    <row r="2067" spans="1:7" x14ac:dyDescent="0.25">
      <c r="A2067" s="51"/>
      <c r="F2067" s="76" t="str">
        <f>IFERROR(IF(Tabla1[[#This Row],[CONCEPTO mx]]="","",VLOOKUP(Tabla1[[#This Row],[CONCEPTO mx]],Tabla2[#All],2,0)),"")</f>
        <v/>
      </c>
      <c r="G2067" s="76" t="str">
        <f>IFERROR(IF(Tabla1[[#This Row],[CONCEPTO mx]]="","",VLOOKUP(Tabla1[[#This Row],[CONCEPTO mx]],Tabla2[#All],3,0)),"")</f>
        <v/>
      </c>
    </row>
    <row r="2068" spans="1:7" x14ac:dyDescent="0.25">
      <c r="A2068" s="51"/>
      <c r="F2068" s="76" t="str">
        <f>IFERROR(IF(Tabla1[[#This Row],[CONCEPTO mx]]="","",VLOOKUP(Tabla1[[#This Row],[CONCEPTO mx]],Tabla2[#All],2,0)),"")</f>
        <v/>
      </c>
      <c r="G2068" s="76" t="str">
        <f>IFERROR(IF(Tabla1[[#This Row],[CONCEPTO mx]]="","",VLOOKUP(Tabla1[[#This Row],[CONCEPTO mx]],Tabla2[#All],3,0)),"")</f>
        <v/>
      </c>
    </row>
    <row r="2069" spans="1:7" x14ac:dyDescent="0.25">
      <c r="A2069" s="51"/>
      <c r="F2069" s="76" t="str">
        <f>IFERROR(IF(Tabla1[[#This Row],[CONCEPTO mx]]="","",VLOOKUP(Tabla1[[#This Row],[CONCEPTO mx]],Tabla2[#All],2,0)),"")</f>
        <v/>
      </c>
      <c r="G2069" s="76" t="str">
        <f>IFERROR(IF(Tabla1[[#This Row],[CONCEPTO mx]]="","",VLOOKUP(Tabla1[[#This Row],[CONCEPTO mx]],Tabla2[#All],3,0)),"")</f>
        <v/>
      </c>
    </row>
    <row r="2070" spans="1:7" x14ac:dyDescent="0.25">
      <c r="A2070" s="51"/>
      <c r="F2070" s="76" t="str">
        <f>IFERROR(IF(Tabla1[[#This Row],[CONCEPTO mx]]="","",VLOOKUP(Tabla1[[#This Row],[CONCEPTO mx]],Tabla2[#All],2,0)),"")</f>
        <v/>
      </c>
      <c r="G2070" s="76" t="str">
        <f>IFERROR(IF(Tabla1[[#This Row],[CONCEPTO mx]]="","",VLOOKUP(Tabla1[[#This Row],[CONCEPTO mx]],Tabla2[#All],3,0)),"")</f>
        <v/>
      </c>
    </row>
    <row r="2071" spans="1:7" x14ac:dyDescent="0.25">
      <c r="A2071" s="51"/>
      <c r="F2071" s="76" t="str">
        <f>IFERROR(IF(Tabla1[[#This Row],[CONCEPTO mx]]="","",VLOOKUP(Tabla1[[#This Row],[CONCEPTO mx]],Tabla2[#All],2,0)),"")</f>
        <v/>
      </c>
      <c r="G2071" s="76" t="str">
        <f>IFERROR(IF(Tabla1[[#This Row],[CONCEPTO mx]]="","",VLOOKUP(Tabla1[[#This Row],[CONCEPTO mx]],Tabla2[#All],3,0)),"")</f>
        <v/>
      </c>
    </row>
    <row r="2072" spans="1:7" x14ac:dyDescent="0.25">
      <c r="A2072" s="51"/>
      <c r="F2072" s="76" t="str">
        <f>IFERROR(IF(Tabla1[[#This Row],[CONCEPTO mx]]="","",VLOOKUP(Tabla1[[#This Row],[CONCEPTO mx]],Tabla2[#All],2,0)),"")</f>
        <v/>
      </c>
      <c r="G2072" s="76" t="str">
        <f>IFERROR(IF(Tabla1[[#This Row],[CONCEPTO mx]]="","",VLOOKUP(Tabla1[[#This Row],[CONCEPTO mx]],Tabla2[#All],3,0)),"")</f>
        <v/>
      </c>
    </row>
    <row r="2073" spans="1:7" x14ac:dyDescent="0.25">
      <c r="A2073" s="51"/>
      <c r="F2073" s="76" t="str">
        <f>IFERROR(IF(Tabla1[[#This Row],[CONCEPTO mx]]="","",VLOOKUP(Tabla1[[#This Row],[CONCEPTO mx]],Tabla2[#All],2,0)),"")</f>
        <v/>
      </c>
      <c r="G2073" s="76" t="str">
        <f>IFERROR(IF(Tabla1[[#This Row],[CONCEPTO mx]]="","",VLOOKUP(Tabla1[[#This Row],[CONCEPTO mx]],Tabla2[#All],3,0)),"")</f>
        <v/>
      </c>
    </row>
    <row r="2074" spans="1:7" x14ac:dyDescent="0.25">
      <c r="A2074" s="51"/>
      <c r="F2074" s="76" t="str">
        <f>IFERROR(IF(Tabla1[[#This Row],[CONCEPTO mx]]="","",VLOOKUP(Tabla1[[#This Row],[CONCEPTO mx]],Tabla2[#All],2,0)),"")</f>
        <v/>
      </c>
      <c r="G2074" s="76" t="str">
        <f>IFERROR(IF(Tabla1[[#This Row],[CONCEPTO mx]]="","",VLOOKUP(Tabla1[[#This Row],[CONCEPTO mx]],Tabla2[#All],3,0)),"")</f>
        <v/>
      </c>
    </row>
    <row r="2075" spans="1:7" x14ac:dyDescent="0.25">
      <c r="A2075" s="51"/>
      <c r="F2075" s="76" t="str">
        <f>IFERROR(IF(Tabla1[[#This Row],[CONCEPTO mx]]="","",VLOOKUP(Tabla1[[#This Row],[CONCEPTO mx]],Tabla2[#All],2,0)),"")</f>
        <v/>
      </c>
      <c r="G2075" s="76" t="str">
        <f>IFERROR(IF(Tabla1[[#This Row],[CONCEPTO mx]]="","",VLOOKUP(Tabla1[[#This Row],[CONCEPTO mx]],Tabla2[#All],3,0)),"")</f>
        <v/>
      </c>
    </row>
    <row r="2076" spans="1:7" x14ac:dyDescent="0.25">
      <c r="A2076" s="51"/>
      <c r="F2076" s="76" t="str">
        <f>IFERROR(IF(Tabla1[[#This Row],[CONCEPTO mx]]="","",VLOOKUP(Tabla1[[#This Row],[CONCEPTO mx]],Tabla2[#All],2,0)),"")</f>
        <v/>
      </c>
      <c r="G2076" s="76" t="str">
        <f>IFERROR(IF(Tabla1[[#This Row],[CONCEPTO mx]]="","",VLOOKUP(Tabla1[[#This Row],[CONCEPTO mx]],Tabla2[#All],3,0)),"")</f>
        <v/>
      </c>
    </row>
    <row r="2077" spans="1:7" x14ac:dyDescent="0.25">
      <c r="A2077" s="51"/>
      <c r="F2077" s="76" t="str">
        <f>IFERROR(IF(Tabla1[[#This Row],[CONCEPTO mx]]="","",VLOOKUP(Tabla1[[#This Row],[CONCEPTO mx]],Tabla2[#All],2,0)),"")</f>
        <v/>
      </c>
      <c r="G2077" s="76" t="str">
        <f>IFERROR(IF(Tabla1[[#This Row],[CONCEPTO mx]]="","",VLOOKUP(Tabla1[[#This Row],[CONCEPTO mx]],Tabla2[#All],3,0)),"")</f>
        <v/>
      </c>
    </row>
    <row r="2078" spans="1:7" x14ac:dyDescent="0.25">
      <c r="A2078" s="51"/>
      <c r="F2078" s="76" t="str">
        <f>IFERROR(IF(Tabla1[[#This Row],[CONCEPTO mx]]="","",VLOOKUP(Tabla1[[#This Row],[CONCEPTO mx]],Tabla2[#All],2,0)),"")</f>
        <v/>
      </c>
      <c r="G2078" s="76" t="str">
        <f>IFERROR(IF(Tabla1[[#This Row],[CONCEPTO mx]]="","",VLOOKUP(Tabla1[[#This Row],[CONCEPTO mx]],Tabla2[#All],3,0)),"")</f>
        <v/>
      </c>
    </row>
    <row r="2079" spans="1:7" x14ac:dyDescent="0.25">
      <c r="A2079" s="51"/>
      <c r="F2079" s="76" t="str">
        <f>IFERROR(IF(Tabla1[[#This Row],[CONCEPTO mx]]="","",VLOOKUP(Tabla1[[#This Row],[CONCEPTO mx]],Tabla2[#All],2,0)),"")</f>
        <v/>
      </c>
      <c r="G2079" s="76" t="str">
        <f>IFERROR(IF(Tabla1[[#This Row],[CONCEPTO mx]]="","",VLOOKUP(Tabla1[[#This Row],[CONCEPTO mx]],Tabla2[#All],3,0)),"")</f>
        <v/>
      </c>
    </row>
    <row r="2080" spans="1:7" x14ac:dyDescent="0.25">
      <c r="A2080" s="51"/>
      <c r="F2080" s="76" t="str">
        <f>IFERROR(IF(Tabla1[[#This Row],[CONCEPTO mx]]="","",VLOOKUP(Tabla1[[#This Row],[CONCEPTO mx]],Tabla2[#All],2,0)),"")</f>
        <v/>
      </c>
      <c r="G2080" s="76" t="str">
        <f>IFERROR(IF(Tabla1[[#This Row],[CONCEPTO mx]]="","",VLOOKUP(Tabla1[[#This Row],[CONCEPTO mx]],Tabla2[#All],3,0)),"")</f>
        <v/>
      </c>
    </row>
    <row r="2081" spans="1:7" x14ac:dyDescent="0.25">
      <c r="A2081" s="51"/>
      <c r="F2081" s="76" t="str">
        <f>IFERROR(IF(Tabla1[[#This Row],[CONCEPTO mx]]="","",VLOOKUP(Tabla1[[#This Row],[CONCEPTO mx]],Tabla2[#All],2,0)),"")</f>
        <v/>
      </c>
      <c r="G2081" s="76" t="str">
        <f>IFERROR(IF(Tabla1[[#This Row],[CONCEPTO mx]]="","",VLOOKUP(Tabla1[[#This Row],[CONCEPTO mx]],Tabla2[#All],3,0)),"")</f>
        <v/>
      </c>
    </row>
    <row r="2082" spans="1:7" x14ac:dyDescent="0.25">
      <c r="A2082" s="51"/>
      <c r="F2082" s="76" t="str">
        <f>IFERROR(IF(Tabla1[[#This Row],[CONCEPTO mx]]="","",VLOOKUP(Tabla1[[#This Row],[CONCEPTO mx]],Tabla2[#All],2,0)),"")</f>
        <v/>
      </c>
      <c r="G2082" s="76" t="str">
        <f>IFERROR(IF(Tabla1[[#This Row],[CONCEPTO mx]]="","",VLOOKUP(Tabla1[[#This Row],[CONCEPTO mx]],Tabla2[#All],3,0)),"")</f>
        <v/>
      </c>
    </row>
    <row r="2083" spans="1:7" x14ac:dyDescent="0.25">
      <c r="A2083" s="51"/>
      <c r="F2083" s="76" t="str">
        <f>IFERROR(IF(Tabla1[[#This Row],[CONCEPTO mx]]="","",VLOOKUP(Tabla1[[#This Row],[CONCEPTO mx]],Tabla2[#All],2,0)),"")</f>
        <v/>
      </c>
      <c r="G2083" s="76" t="str">
        <f>IFERROR(IF(Tabla1[[#This Row],[CONCEPTO mx]]="","",VLOOKUP(Tabla1[[#This Row],[CONCEPTO mx]],Tabla2[#All],3,0)),"")</f>
        <v/>
      </c>
    </row>
    <row r="2084" spans="1:7" x14ac:dyDescent="0.25">
      <c r="A2084" s="51"/>
      <c r="F2084" s="76" t="str">
        <f>IFERROR(IF(Tabla1[[#This Row],[CONCEPTO mx]]="","",VLOOKUP(Tabla1[[#This Row],[CONCEPTO mx]],Tabla2[#All],2,0)),"")</f>
        <v/>
      </c>
      <c r="G2084" s="76" t="str">
        <f>IFERROR(IF(Tabla1[[#This Row],[CONCEPTO mx]]="","",VLOOKUP(Tabla1[[#This Row],[CONCEPTO mx]],Tabla2[#All],3,0)),"")</f>
        <v/>
      </c>
    </row>
    <row r="2085" spans="1:7" x14ac:dyDescent="0.25">
      <c r="A2085" s="51"/>
      <c r="F2085" s="76" t="str">
        <f>IFERROR(IF(Tabla1[[#This Row],[CONCEPTO mx]]="","",VLOOKUP(Tabla1[[#This Row],[CONCEPTO mx]],Tabla2[#All],2,0)),"")</f>
        <v/>
      </c>
      <c r="G2085" s="76" t="str">
        <f>IFERROR(IF(Tabla1[[#This Row],[CONCEPTO mx]]="","",VLOOKUP(Tabla1[[#This Row],[CONCEPTO mx]],Tabla2[#All],3,0)),"")</f>
        <v/>
      </c>
    </row>
    <row r="2086" spans="1:7" x14ac:dyDescent="0.25">
      <c r="A2086" s="51"/>
      <c r="F2086" s="76" t="str">
        <f>IFERROR(IF(Tabla1[[#This Row],[CONCEPTO mx]]="","",VLOOKUP(Tabla1[[#This Row],[CONCEPTO mx]],Tabla2[#All],2,0)),"")</f>
        <v/>
      </c>
      <c r="G2086" s="76" t="str">
        <f>IFERROR(IF(Tabla1[[#This Row],[CONCEPTO mx]]="","",VLOOKUP(Tabla1[[#This Row],[CONCEPTO mx]],Tabla2[#All],3,0)),"")</f>
        <v/>
      </c>
    </row>
    <row r="2087" spans="1:7" x14ac:dyDescent="0.25">
      <c r="A2087" s="51"/>
      <c r="F2087" s="76" t="str">
        <f>IFERROR(IF(Tabla1[[#This Row],[CONCEPTO mx]]="","",VLOOKUP(Tabla1[[#This Row],[CONCEPTO mx]],Tabla2[#All],2,0)),"")</f>
        <v/>
      </c>
      <c r="G2087" s="76" t="str">
        <f>IFERROR(IF(Tabla1[[#This Row],[CONCEPTO mx]]="","",VLOOKUP(Tabla1[[#This Row],[CONCEPTO mx]],Tabla2[#All],3,0)),"")</f>
        <v/>
      </c>
    </row>
    <row r="2088" spans="1:7" x14ac:dyDescent="0.25">
      <c r="A2088" s="51"/>
      <c r="F2088" s="76" t="str">
        <f>IFERROR(IF(Tabla1[[#This Row],[CONCEPTO mx]]="","",VLOOKUP(Tabla1[[#This Row],[CONCEPTO mx]],Tabla2[#All],2,0)),"")</f>
        <v/>
      </c>
      <c r="G2088" s="76" t="str">
        <f>IFERROR(IF(Tabla1[[#This Row],[CONCEPTO mx]]="","",VLOOKUP(Tabla1[[#This Row],[CONCEPTO mx]],Tabla2[#All],3,0)),"")</f>
        <v/>
      </c>
    </row>
    <row r="2089" spans="1:7" x14ac:dyDescent="0.25">
      <c r="A2089" s="51"/>
      <c r="F2089" s="76" t="str">
        <f>IFERROR(IF(Tabla1[[#This Row],[CONCEPTO mx]]="","",VLOOKUP(Tabla1[[#This Row],[CONCEPTO mx]],Tabla2[#All],2,0)),"")</f>
        <v/>
      </c>
      <c r="G2089" s="76" t="str">
        <f>IFERROR(IF(Tabla1[[#This Row],[CONCEPTO mx]]="","",VLOOKUP(Tabla1[[#This Row],[CONCEPTO mx]],Tabla2[#All],3,0)),"")</f>
        <v/>
      </c>
    </row>
    <row r="2090" spans="1:7" x14ac:dyDescent="0.25">
      <c r="A2090" s="51"/>
      <c r="F2090" s="76" t="str">
        <f>IFERROR(IF(Tabla1[[#This Row],[CONCEPTO mx]]="","",VLOOKUP(Tabla1[[#This Row],[CONCEPTO mx]],Tabla2[#All],2,0)),"")</f>
        <v/>
      </c>
      <c r="G2090" s="76" t="str">
        <f>IFERROR(IF(Tabla1[[#This Row],[CONCEPTO mx]]="","",VLOOKUP(Tabla1[[#This Row],[CONCEPTO mx]],Tabla2[#All],3,0)),"")</f>
        <v/>
      </c>
    </row>
    <row r="2091" spans="1:7" x14ac:dyDescent="0.25">
      <c r="A2091" s="51"/>
      <c r="F2091" s="76" t="str">
        <f>IFERROR(IF(Tabla1[[#This Row],[CONCEPTO mx]]="","",VLOOKUP(Tabla1[[#This Row],[CONCEPTO mx]],Tabla2[#All],2,0)),"")</f>
        <v/>
      </c>
      <c r="G2091" s="76" t="str">
        <f>IFERROR(IF(Tabla1[[#This Row],[CONCEPTO mx]]="","",VLOOKUP(Tabla1[[#This Row],[CONCEPTO mx]],Tabla2[#All],3,0)),"")</f>
        <v/>
      </c>
    </row>
    <row r="2092" spans="1:7" x14ac:dyDescent="0.25">
      <c r="A2092" s="51"/>
      <c r="F2092" s="76" t="str">
        <f>IFERROR(IF(Tabla1[[#This Row],[CONCEPTO mx]]="","",VLOOKUP(Tabla1[[#This Row],[CONCEPTO mx]],Tabla2[#All],2,0)),"")</f>
        <v/>
      </c>
      <c r="G2092" s="76" t="str">
        <f>IFERROR(IF(Tabla1[[#This Row],[CONCEPTO mx]]="","",VLOOKUP(Tabla1[[#This Row],[CONCEPTO mx]],Tabla2[#All],3,0)),"")</f>
        <v/>
      </c>
    </row>
    <row r="2093" spans="1:7" x14ac:dyDescent="0.25">
      <c r="A2093" s="51"/>
      <c r="F2093" s="76" t="str">
        <f>IFERROR(IF(Tabla1[[#This Row],[CONCEPTO mx]]="","",VLOOKUP(Tabla1[[#This Row],[CONCEPTO mx]],Tabla2[#All],2,0)),"")</f>
        <v/>
      </c>
      <c r="G2093" s="76" t="str">
        <f>IFERROR(IF(Tabla1[[#This Row],[CONCEPTO mx]]="","",VLOOKUP(Tabla1[[#This Row],[CONCEPTO mx]],Tabla2[#All],3,0)),"")</f>
        <v/>
      </c>
    </row>
    <row r="2094" spans="1:7" x14ac:dyDescent="0.25">
      <c r="A2094" s="51"/>
      <c r="F2094" s="76" t="str">
        <f>IFERROR(IF(Tabla1[[#This Row],[CONCEPTO mx]]="","",VLOOKUP(Tabla1[[#This Row],[CONCEPTO mx]],Tabla2[#All],2,0)),"")</f>
        <v/>
      </c>
      <c r="G2094" s="76" t="str">
        <f>IFERROR(IF(Tabla1[[#This Row],[CONCEPTO mx]]="","",VLOOKUP(Tabla1[[#This Row],[CONCEPTO mx]],Tabla2[#All],3,0)),"")</f>
        <v/>
      </c>
    </row>
    <row r="2095" spans="1:7" x14ac:dyDescent="0.25">
      <c r="A2095" s="51"/>
      <c r="F2095" s="76" t="str">
        <f>IFERROR(IF(Tabla1[[#This Row],[CONCEPTO mx]]="","",VLOOKUP(Tabla1[[#This Row],[CONCEPTO mx]],Tabla2[#All],2,0)),"")</f>
        <v/>
      </c>
      <c r="G2095" s="76" t="str">
        <f>IFERROR(IF(Tabla1[[#This Row],[CONCEPTO mx]]="","",VLOOKUP(Tabla1[[#This Row],[CONCEPTO mx]],Tabla2[#All],3,0)),"")</f>
        <v/>
      </c>
    </row>
    <row r="2096" spans="1:7" x14ac:dyDescent="0.25">
      <c r="A2096" s="51"/>
      <c r="F2096" s="76" t="str">
        <f>IFERROR(IF(Tabla1[[#This Row],[CONCEPTO mx]]="","",VLOOKUP(Tabla1[[#This Row],[CONCEPTO mx]],Tabla2[#All],2,0)),"")</f>
        <v/>
      </c>
      <c r="G2096" s="76" t="str">
        <f>IFERROR(IF(Tabla1[[#This Row],[CONCEPTO mx]]="","",VLOOKUP(Tabla1[[#This Row],[CONCEPTO mx]],Tabla2[#All],3,0)),"")</f>
        <v/>
      </c>
    </row>
    <row r="2097" spans="1:7" x14ac:dyDescent="0.25">
      <c r="A2097" s="51"/>
      <c r="F2097" s="76" t="str">
        <f>IFERROR(IF(Tabla1[[#This Row],[CONCEPTO mx]]="","",VLOOKUP(Tabla1[[#This Row],[CONCEPTO mx]],Tabla2[#All],2,0)),"")</f>
        <v/>
      </c>
      <c r="G2097" s="76" t="str">
        <f>IFERROR(IF(Tabla1[[#This Row],[CONCEPTO mx]]="","",VLOOKUP(Tabla1[[#This Row],[CONCEPTO mx]],Tabla2[#All],3,0)),"")</f>
        <v/>
      </c>
    </row>
    <row r="2098" spans="1:7" x14ac:dyDescent="0.25">
      <c r="A2098" s="51"/>
      <c r="F2098" s="76" t="str">
        <f>IFERROR(IF(Tabla1[[#This Row],[CONCEPTO mx]]="","",VLOOKUP(Tabla1[[#This Row],[CONCEPTO mx]],Tabla2[#All],2,0)),"")</f>
        <v/>
      </c>
      <c r="G2098" s="76" t="str">
        <f>IFERROR(IF(Tabla1[[#This Row],[CONCEPTO mx]]="","",VLOOKUP(Tabla1[[#This Row],[CONCEPTO mx]],Tabla2[#All],3,0)),"")</f>
        <v/>
      </c>
    </row>
    <row r="2099" spans="1:7" x14ac:dyDescent="0.25">
      <c r="A2099" s="51"/>
      <c r="F2099" s="76" t="str">
        <f>IFERROR(IF(Tabla1[[#This Row],[CONCEPTO mx]]="","",VLOOKUP(Tabla1[[#This Row],[CONCEPTO mx]],Tabla2[#All],2,0)),"")</f>
        <v/>
      </c>
      <c r="G2099" s="76" t="str">
        <f>IFERROR(IF(Tabla1[[#This Row],[CONCEPTO mx]]="","",VLOOKUP(Tabla1[[#This Row],[CONCEPTO mx]],Tabla2[#All],3,0)),"")</f>
        <v/>
      </c>
    </row>
    <row r="2100" spans="1:7" x14ac:dyDescent="0.25">
      <c r="A2100" s="51"/>
      <c r="F2100" s="76" t="str">
        <f>IFERROR(IF(Tabla1[[#This Row],[CONCEPTO mx]]="","",VLOOKUP(Tabla1[[#This Row],[CONCEPTO mx]],Tabla2[#All],2,0)),"")</f>
        <v/>
      </c>
      <c r="G2100" s="76" t="str">
        <f>IFERROR(IF(Tabla1[[#This Row],[CONCEPTO mx]]="","",VLOOKUP(Tabla1[[#This Row],[CONCEPTO mx]],Tabla2[#All],3,0)),"")</f>
        <v/>
      </c>
    </row>
    <row r="2101" spans="1:7" x14ac:dyDescent="0.25">
      <c r="A2101" s="51"/>
      <c r="F2101" s="76" t="str">
        <f>IFERROR(IF(Tabla1[[#This Row],[CONCEPTO mx]]="","",VLOOKUP(Tabla1[[#This Row],[CONCEPTO mx]],Tabla2[#All],2,0)),"")</f>
        <v/>
      </c>
      <c r="G2101" s="76" t="str">
        <f>IFERROR(IF(Tabla1[[#This Row],[CONCEPTO mx]]="","",VLOOKUP(Tabla1[[#This Row],[CONCEPTO mx]],Tabla2[#All],3,0)),"")</f>
        <v/>
      </c>
    </row>
    <row r="2102" spans="1:7" x14ac:dyDescent="0.25">
      <c r="A2102" s="51"/>
      <c r="F2102" s="76" t="str">
        <f>IFERROR(IF(Tabla1[[#This Row],[CONCEPTO mx]]="","",VLOOKUP(Tabla1[[#This Row],[CONCEPTO mx]],Tabla2[#All],2,0)),"")</f>
        <v/>
      </c>
      <c r="G2102" s="76" t="str">
        <f>IFERROR(IF(Tabla1[[#This Row],[CONCEPTO mx]]="","",VLOOKUP(Tabla1[[#This Row],[CONCEPTO mx]],Tabla2[#All],3,0)),"")</f>
        <v/>
      </c>
    </row>
    <row r="2103" spans="1:7" x14ac:dyDescent="0.25">
      <c r="A2103" s="51"/>
      <c r="F2103" s="76" t="str">
        <f>IFERROR(IF(Tabla1[[#This Row],[CONCEPTO mx]]="","",VLOOKUP(Tabla1[[#This Row],[CONCEPTO mx]],Tabla2[#All],2,0)),"")</f>
        <v/>
      </c>
      <c r="G2103" s="76" t="str">
        <f>IFERROR(IF(Tabla1[[#This Row],[CONCEPTO mx]]="","",VLOOKUP(Tabla1[[#This Row],[CONCEPTO mx]],Tabla2[#All],3,0)),"")</f>
        <v/>
      </c>
    </row>
    <row r="2104" spans="1:7" x14ac:dyDescent="0.25">
      <c r="A2104" s="51"/>
      <c r="F2104" s="76" t="str">
        <f>IFERROR(IF(Tabla1[[#This Row],[CONCEPTO mx]]="","",VLOOKUP(Tabla1[[#This Row],[CONCEPTO mx]],Tabla2[#All],2,0)),"")</f>
        <v/>
      </c>
      <c r="G2104" s="76" t="str">
        <f>IFERROR(IF(Tabla1[[#This Row],[CONCEPTO mx]]="","",VLOOKUP(Tabla1[[#This Row],[CONCEPTO mx]],Tabla2[#All],3,0)),"")</f>
        <v/>
      </c>
    </row>
    <row r="2105" spans="1:7" x14ac:dyDescent="0.25">
      <c r="A2105" s="51"/>
      <c r="F2105" s="76" t="str">
        <f>IFERROR(IF(Tabla1[[#This Row],[CONCEPTO mx]]="","",VLOOKUP(Tabla1[[#This Row],[CONCEPTO mx]],Tabla2[#All],2,0)),"")</f>
        <v/>
      </c>
      <c r="G2105" s="76" t="str">
        <f>IFERROR(IF(Tabla1[[#This Row],[CONCEPTO mx]]="","",VLOOKUP(Tabla1[[#This Row],[CONCEPTO mx]],Tabla2[#All],3,0)),"")</f>
        <v/>
      </c>
    </row>
    <row r="2106" spans="1:7" x14ac:dyDescent="0.25">
      <c r="A2106" s="51"/>
      <c r="F2106" s="76" t="str">
        <f>IFERROR(IF(Tabla1[[#This Row],[CONCEPTO mx]]="","",VLOOKUP(Tabla1[[#This Row],[CONCEPTO mx]],Tabla2[#All],2,0)),"")</f>
        <v/>
      </c>
      <c r="G2106" s="76" t="str">
        <f>IFERROR(IF(Tabla1[[#This Row],[CONCEPTO mx]]="","",VLOOKUP(Tabla1[[#This Row],[CONCEPTO mx]],Tabla2[#All],3,0)),"")</f>
        <v/>
      </c>
    </row>
    <row r="2107" spans="1:7" x14ac:dyDescent="0.25">
      <c r="A2107" s="51"/>
      <c r="F2107" s="76" t="str">
        <f>IFERROR(IF(Tabla1[[#This Row],[CONCEPTO mx]]="","",VLOOKUP(Tabla1[[#This Row],[CONCEPTO mx]],Tabla2[#All],2,0)),"")</f>
        <v/>
      </c>
      <c r="G2107" s="76" t="str">
        <f>IFERROR(IF(Tabla1[[#This Row],[CONCEPTO mx]]="","",VLOOKUP(Tabla1[[#This Row],[CONCEPTO mx]],Tabla2[#All],3,0)),"")</f>
        <v/>
      </c>
    </row>
    <row r="2108" spans="1:7" x14ac:dyDescent="0.25">
      <c r="A2108" s="51"/>
      <c r="F2108" s="76" t="str">
        <f>IFERROR(IF(Tabla1[[#This Row],[CONCEPTO mx]]="","",VLOOKUP(Tabla1[[#This Row],[CONCEPTO mx]],Tabla2[#All],2,0)),"")</f>
        <v/>
      </c>
      <c r="G2108" s="76" t="str">
        <f>IFERROR(IF(Tabla1[[#This Row],[CONCEPTO mx]]="","",VLOOKUP(Tabla1[[#This Row],[CONCEPTO mx]],Tabla2[#All],3,0)),"")</f>
        <v/>
      </c>
    </row>
    <row r="2109" spans="1:7" x14ac:dyDescent="0.25">
      <c r="A2109" s="51"/>
      <c r="F2109" s="76" t="str">
        <f>IFERROR(IF(Tabla1[[#This Row],[CONCEPTO mx]]="","",VLOOKUP(Tabla1[[#This Row],[CONCEPTO mx]],Tabla2[#All],2,0)),"")</f>
        <v/>
      </c>
      <c r="G2109" s="76" t="str">
        <f>IFERROR(IF(Tabla1[[#This Row],[CONCEPTO mx]]="","",VLOOKUP(Tabla1[[#This Row],[CONCEPTO mx]],Tabla2[#All],3,0)),"")</f>
        <v/>
      </c>
    </row>
    <row r="2110" spans="1:7" x14ac:dyDescent="0.25">
      <c r="A2110" s="51"/>
      <c r="F2110" s="76" t="str">
        <f>IFERROR(IF(Tabla1[[#This Row],[CONCEPTO mx]]="","",VLOOKUP(Tabla1[[#This Row],[CONCEPTO mx]],Tabla2[#All],2,0)),"")</f>
        <v/>
      </c>
      <c r="G2110" s="76" t="str">
        <f>IFERROR(IF(Tabla1[[#This Row],[CONCEPTO mx]]="","",VLOOKUP(Tabla1[[#This Row],[CONCEPTO mx]],Tabla2[#All],3,0)),"")</f>
        <v/>
      </c>
    </row>
    <row r="2111" spans="1:7" x14ac:dyDescent="0.25">
      <c r="A2111" s="51"/>
      <c r="F2111" s="76" t="str">
        <f>IFERROR(IF(Tabla1[[#This Row],[CONCEPTO mx]]="","",VLOOKUP(Tabla1[[#This Row],[CONCEPTO mx]],Tabla2[#All],2,0)),"")</f>
        <v/>
      </c>
      <c r="G2111" s="76" t="str">
        <f>IFERROR(IF(Tabla1[[#This Row],[CONCEPTO mx]]="","",VLOOKUP(Tabla1[[#This Row],[CONCEPTO mx]],Tabla2[#All],3,0)),"")</f>
        <v/>
      </c>
    </row>
    <row r="2112" spans="1:7" x14ac:dyDescent="0.25">
      <c r="A2112" s="51"/>
      <c r="F2112" s="76" t="str">
        <f>IFERROR(IF(Tabla1[[#This Row],[CONCEPTO mx]]="","",VLOOKUP(Tabla1[[#This Row],[CONCEPTO mx]],Tabla2[#All],2,0)),"")</f>
        <v/>
      </c>
      <c r="G2112" s="76" t="str">
        <f>IFERROR(IF(Tabla1[[#This Row],[CONCEPTO mx]]="","",VLOOKUP(Tabla1[[#This Row],[CONCEPTO mx]],Tabla2[#All],3,0)),"")</f>
        <v/>
      </c>
    </row>
    <row r="2113" spans="1:7" x14ac:dyDescent="0.25">
      <c r="A2113" s="51"/>
      <c r="F2113" s="76" t="str">
        <f>IFERROR(IF(Tabla1[[#This Row],[CONCEPTO mx]]="","",VLOOKUP(Tabla1[[#This Row],[CONCEPTO mx]],Tabla2[#All],2,0)),"")</f>
        <v/>
      </c>
      <c r="G2113" s="76" t="str">
        <f>IFERROR(IF(Tabla1[[#This Row],[CONCEPTO mx]]="","",VLOOKUP(Tabla1[[#This Row],[CONCEPTO mx]],Tabla2[#All],3,0)),"")</f>
        <v/>
      </c>
    </row>
    <row r="2114" spans="1:7" x14ac:dyDescent="0.25">
      <c r="A2114" s="51"/>
      <c r="F2114" s="76" t="str">
        <f>IFERROR(IF(Tabla1[[#This Row],[CONCEPTO mx]]="","",VLOOKUP(Tabla1[[#This Row],[CONCEPTO mx]],Tabla2[#All],2,0)),"")</f>
        <v/>
      </c>
      <c r="G2114" s="76" t="str">
        <f>IFERROR(IF(Tabla1[[#This Row],[CONCEPTO mx]]="","",VLOOKUP(Tabla1[[#This Row],[CONCEPTO mx]],Tabla2[#All],3,0)),"")</f>
        <v/>
      </c>
    </row>
    <row r="2115" spans="1:7" x14ac:dyDescent="0.25">
      <c r="A2115" s="51"/>
      <c r="F2115" s="76" t="str">
        <f>IFERROR(IF(Tabla1[[#This Row],[CONCEPTO mx]]="","",VLOOKUP(Tabla1[[#This Row],[CONCEPTO mx]],Tabla2[#All],2,0)),"")</f>
        <v/>
      </c>
      <c r="G2115" s="76" t="str">
        <f>IFERROR(IF(Tabla1[[#This Row],[CONCEPTO mx]]="","",VLOOKUP(Tabla1[[#This Row],[CONCEPTO mx]],Tabla2[#All],3,0)),"")</f>
        <v/>
      </c>
    </row>
    <row r="2116" spans="1:7" x14ac:dyDescent="0.25">
      <c r="A2116" s="51"/>
      <c r="F2116" s="76" t="str">
        <f>IFERROR(IF(Tabla1[[#This Row],[CONCEPTO mx]]="","",VLOOKUP(Tabla1[[#This Row],[CONCEPTO mx]],Tabla2[#All],2,0)),"")</f>
        <v/>
      </c>
      <c r="G2116" s="76" t="str">
        <f>IFERROR(IF(Tabla1[[#This Row],[CONCEPTO mx]]="","",VLOOKUP(Tabla1[[#This Row],[CONCEPTO mx]],Tabla2[#All],3,0)),"")</f>
        <v/>
      </c>
    </row>
    <row r="2117" spans="1:7" x14ac:dyDescent="0.25">
      <c r="A2117" s="51"/>
      <c r="F2117" s="76" t="str">
        <f>IFERROR(IF(Tabla1[[#This Row],[CONCEPTO mx]]="","",VLOOKUP(Tabla1[[#This Row],[CONCEPTO mx]],Tabla2[#All],2,0)),"")</f>
        <v/>
      </c>
      <c r="G2117" s="76" t="str">
        <f>IFERROR(IF(Tabla1[[#This Row],[CONCEPTO mx]]="","",VLOOKUP(Tabla1[[#This Row],[CONCEPTO mx]],Tabla2[#All],3,0)),"")</f>
        <v/>
      </c>
    </row>
    <row r="2118" spans="1:7" x14ac:dyDescent="0.25">
      <c r="A2118" s="51"/>
      <c r="F2118" s="76" t="str">
        <f>IFERROR(IF(Tabla1[[#This Row],[CONCEPTO mx]]="","",VLOOKUP(Tabla1[[#This Row],[CONCEPTO mx]],Tabla2[#All],2,0)),"")</f>
        <v/>
      </c>
      <c r="G2118" s="76" t="str">
        <f>IFERROR(IF(Tabla1[[#This Row],[CONCEPTO mx]]="","",VLOOKUP(Tabla1[[#This Row],[CONCEPTO mx]],Tabla2[#All],3,0)),"")</f>
        <v/>
      </c>
    </row>
    <row r="2119" spans="1:7" x14ac:dyDescent="0.25">
      <c r="A2119" s="51"/>
      <c r="F2119" s="76" t="str">
        <f>IFERROR(IF(Tabla1[[#This Row],[CONCEPTO mx]]="","",VLOOKUP(Tabla1[[#This Row],[CONCEPTO mx]],Tabla2[#All],2,0)),"")</f>
        <v/>
      </c>
      <c r="G2119" s="76" t="str">
        <f>IFERROR(IF(Tabla1[[#This Row],[CONCEPTO mx]]="","",VLOOKUP(Tabla1[[#This Row],[CONCEPTO mx]],Tabla2[#All],3,0)),"")</f>
        <v/>
      </c>
    </row>
    <row r="2120" spans="1:7" x14ac:dyDescent="0.25">
      <c r="A2120" s="51"/>
      <c r="F2120" s="76" t="str">
        <f>IFERROR(IF(Tabla1[[#This Row],[CONCEPTO mx]]="","",VLOOKUP(Tabla1[[#This Row],[CONCEPTO mx]],Tabla2[#All],2,0)),"")</f>
        <v/>
      </c>
      <c r="G2120" s="76" t="str">
        <f>IFERROR(IF(Tabla1[[#This Row],[CONCEPTO mx]]="","",VLOOKUP(Tabla1[[#This Row],[CONCEPTO mx]],Tabla2[#All],3,0)),"")</f>
        <v/>
      </c>
    </row>
    <row r="2121" spans="1:7" x14ac:dyDescent="0.25">
      <c r="A2121" s="51"/>
      <c r="F2121" s="76" t="str">
        <f>IFERROR(IF(Tabla1[[#This Row],[CONCEPTO mx]]="","",VLOOKUP(Tabla1[[#This Row],[CONCEPTO mx]],Tabla2[#All],2,0)),"")</f>
        <v/>
      </c>
      <c r="G2121" s="76" t="str">
        <f>IFERROR(IF(Tabla1[[#This Row],[CONCEPTO mx]]="","",VLOOKUP(Tabla1[[#This Row],[CONCEPTO mx]],Tabla2[#All],3,0)),"")</f>
        <v/>
      </c>
    </row>
    <row r="2122" spans="1:7" x14ac:dyDescent="0.25">
      <c r="A2122" s="51"/>
      <c r="F2122" s="76" t="str">
        <f>IFERROR(IF(Tabla1[[#This Row],[CONCEPTO mx]]="","",VLOOKUP(Tabla1[[#This Row],[CONCEPTO mx]],Tabla2[#All],2,0)),"")</f>
        <v/>
      </c>
      <c r="G2122" s="76" t="str">
        <f>IFERROR(IF(Tabla1[[#This Row],[CONCEPTO mx]]="","",VLOOKUP(Tabla1[[#This Row],[CONCEPTO mx]],Tabla2[#All],3,0)),"")</f>
        <v/>
      </c>
    </row>
    <row r="2123" spans="1:7" x14ac:dyDescent="0.25">
      <c r="A2123" s="51"/>
      <c r="F2123" s="76" t="str">
        <f>IFERROR(IF(Tabla1[[#This Row],[CONCEPTO mx]]="","",VLOOKUP(Tabla1[[#This Row],[CONCEPTO mx]],Tabla2[#All],2,0)),"")</f>
        <v/>
      </c>
      <c r="G2123" s="76" t="str">
        <f>IFERROR(IF(Tabla1[[#This Row],[CONCEPTO mx]]="","",VLOOKUP(Tabla1[[#This Row],[CONCEPTO mx]],Tabla2[#All],3,0)),"")</f>
        <v/>
      </c>
    </row>
    <row r="2124" spans="1:7" x14ac:dyDescent="0.25">
      <c r="A2124" s="51"/>
      <c r="F2124" s="76" t="str">
        <f>IFERROR(IF(Tabla1[[#This Row],[CONCEPTO mx]]="","",VLOOKUP(Tabla1[[#This Row],[CONCEPTO mx]],Tabla2[#All],2,0)),"")</f>
        <v/>
      </c>
      <c r="G2124" s="76" t="str">
        <f>IFERROR(IF(Tabla1[[#This Row],[CONCEPTO mx]]="","",VLOOKUP(Tabla1[[#This Row],[CONCEPTO mx]],Tabla2[#All],3,0)),"")</f>
        <v/>
      </c>
    </row>
    <row r="2125" spans="1:7" x14ac:dyDescent="0.25">
      <c r="A2125" s="51"/>
      <c r="F2125" s="76" t="str">
        <f>IFERROR(IF(Tabla1[[#This Row],[CONCEPTO mx]]="","",VLOOKUP(Tabla1[[#This Row],[CONCEPTO mx]],Tabla2[#All],2,0)),"")</f>
        <v/>
      </c>
      <c r="G2125" s="76" t="str">
        <f>IFERROR(IF(Tabla1[[#This Row],[CONCEPTO mx]]="","",VLOOKUP(Tabla1[[#This Row],[CONCEPTO mx]],Tabla2[#All],3,0)),"")</f>
        <v/>
      </c>
    </row>
    <row r="2126" spans="1:7" x14ac:dyDescent="0.25">
      <c r="A2126" s="51"/>
      <c r="F2126" s="76" t="str">
        <f>IFERROR(IF(Tabla1[[#This Row],[CONCEPTO mx]]="","",VLOOKUP(Tabla1[[#This Row],[CONCEPTO mx]],Tabla2[#All],2,0)),"")</f>
        <v/>
      </c>
      <c r="G2126" s="76" t="str">
        <f>IFERROR(IF(Tabla1[[#This Row],[CONCEPTO mx]]="","",VLOOKUP(Tabla1[[#This Row],[CONCEPTO mx]],Tabla2[#All],3,0)),"")</f>
        <v/>
      </c>
    </row>
    <row r="2127" spans="1:7" x14ac:dyDescent="0.25">
      <c r="A2127" s="51"/>
      <c r="F2127" s="76" t="str">
        <f>IFERROR(IF(Tabla1[[#This Row],[CONCEPTO mx]]="","",VLOOKUP(Tabla1[[#This Row],[CONCEPTO mx]],Tabla2[#All],2,0)),"")</f>
        <v/>
      </c>
      <c r="G2127" s="76" t="str">
        <f>IFERROR(IF(Tabla1[[#This Row],[CONCEPTO mx]]="","",VLOOKUP(Tabla1[[#This Row],[CONCEPTO mx]],Tabla2[#All],3,0)),"")</f>
        <v/>
      </c>
    </row>
    <row r="2128" spans="1:7" x14ac:dyDescent="0.25">
      <c r="A2128" s="51"/>
      <c r="F2128" s="76" t="str">
        <f>IFERROR(IF(Tabla1[[#This Row],[CONCEPTO mx]]="","",VLOOKUP(Tabla1[[#This Row],[CONCEPTO mx]],Tabla2[#All],2,0)),"")</f>
        <v/>
      </c>
      <c r="G2128" s="76" t="str">
        <f>IFERROR(IF(Tabla1[[#This Row],[CONCEPTO mx]]="","",VLOOKUP(Tabla1[[#This Row],[CONCEPTO mx]],Tabla2[#All],3,0)),"")</f>
        <v/>
      </c>
    </row>
    <row r="2129" spans="1:7" x14ac:dyDescent="0.25">
      <c r="A2129" s="51"/>
      <c r="F2129" s="76" t="str">
        <f>IFERROR(IF(Tabla1[[#This Row],[CONCEPTO mx]]="","",VLOOKUP(Tabla1[[#This Row],[CONCEPTO mx]],Tabla2[#All],2,0)),"")</f>
        <v/>
      </c>
      <c r="G2129" s="76" t="str">
        <f>IFERROR(IF(Tabla1[[#This Row],[CONCEPTO mx]]="","",VLOOKUP(Tabla1[[#This Row],[CONCEPTO mx]],Tabla2[#All],3,0)),"")</f>
        <v/>
      </c>
    </row>
    <row r="2130" spans="1:7" x14ac:dyDescent="0.25">
      <c r="A2130" s="51"/>
      <c r="F2130" s="76" t="str">
        <f>IFERROR(IF(Tabla1[[#This Row],[CONCEPTO mx]]="","",VLOOKUP(Tabla1[[#This Row],[CONCEPTO mx]],Tabla2[#All],2,0)),"")</f>
        <v/>
      </c>
      <c r="G2130" s="76" t="str">
        <f>IFERROR(IF(Tabla1[[#This Row],[CONCEPTO mx]]="","",VLOOKUP(Tabla1[[#This Row],[CONCEPTO mx]],Tabla2[#All],3,0)),"")</f>
        <v/>
      </c>
    </row>
    <row r="2131" spans="1:7" x14ac:dyDescent="0.25">
      <c r="A2131" s="51"/>
      <c r="F2131" s="76" t="str">
        <f>IFERROR(IF(Tabla1[[#This Row],[CONCEPTO mx]]="","",VLOOKUP(Tabla1[[#This Row],[CONCEPTO mx]],Tabla2[#All],2,0)),"")</f>
        <v/>
      </c>
      <c r="G2131" s="76" t="str">
        <f>IFERROR(IF(Tabla1[[#This Row],[CONCEPTO mx]]="","",VLOOKUP(Tabla1[[#This Row],[CONCEPTO mx]],Tabla2[#All],3,0)),"")</f>
        <v/>
      </c>
    </row>
    <row r="2132" spans="1:7" x14ac:dyDescent="0.25">
      <c r="A2132" s="51"/>
      <c r="F2132" s="76" t="str">
        <f>IFERROR(IF(Tabla1[[#This Row],[CONCEPTO mx]]="","",VLOOKUP(Tabla1[[#This Row],[CONCEPTO mx]],Tabla2[#All],2,0)),"")</f>
        <v/>
      </c>
      <c r="G2132" s="76" t="str">
        <f>IFERROR(IF(Tabla1[[#This Row],[CONCEPTO mx]]="","",VLOOKUP(Tabla1[[#This Row],[CONCEPTO mx]],Tabla2[#All],3,0)),"")</f>
        <v/>
      </c>
    </row>
    <row r="2133" spans="1:7" x14ac:dyDescent="0.25">
      <c r="A2133" s="51"/>
      <c r="F2133" s="76" t="str">
        <f>IFERROR(IF(Tabla1[[#This Row],[CONCEPTO mx]]="","",VLOOKUP(Tabla1[[#This Row],[CONCEPTO mx]],Tabla2[#All],2,0)),"")</f>
        <v/>
      </c>
      <c r="G2133" s="76" t="str">
        <f>IFERROR(IF(Tabla1[[#This Row],[CONCEPTO mx]]="","",VLOOKUP(Tabla1[[#This Row],[CONCEPTO mx]],Tabla2[#All],3,0)),"")</f>
        <v/>
      </c>
    </row>
    <row r="2134" spans="1:7" x14ac:dyDescent="0.25">
      <c r="A2134" s="51"/>
      <c r="F2134" s="76" t="str">
        <f>IFERROR(IF(Tabla1[[#This Row],[CONCEPTO mx]]="","",VLOOKUP(Tabla1[[#This Row],[CONCEPTO mx]],Tabla2[#All],2,0)),"")</f>
        <v/>
      </c>
      <c r="G2134" s="76" t="str">
        <f>IFERROR(IF(Tabla1[[#This Row],[CONCEPTO mx]]="","",VLOOKUP(Tabla1[[#This Row],[CONCEPTO mx]],Tabla2[#All],3,0)),"")</f>
        <v/>
      </c>
    </row>
    <row r="2135" spans="1:7" x14ac:dyDescent="0.25">
      <c r="A2135" s="51"/>
      <c r="F2135" s="76" t="str">
        <f>IFERROR(IF(Tabla1[[#This Row],[CONCEPTO mx]]="","",VLOOKUP(Tabla1[[#This Row],[CONCEPTO mx]],Tabla2[#All],2,0)),"")</f>
        <v/>
      </c>
      <c r="G2135" s="76" t="str">
        <f>IFERROR(IF(Tabla1[[#This Row],[CONCEPTO mx]]="","",VLOOKUP(Tabla1[[#This Row],[CONCEPTO mx]],Tabla2[#All],3,0)),"")</f>
        <v/>
      </c>
    </row>
    <row r="2136" spans="1:7" x14ac:dyDescent="0.25">
      <c r="A2136" s="51"/>
      <c r="F2136" s="76" t="str">
        <f>IFERROR(IF(Tabla1[[#This Row],[CONCEPTO mx]]="","",VLOOKUP(Tabla1[[#This Row],[CONCEPTO mx]],Tabla2[#All],2,0)),"")</f>
        <v/>
      </c>
      <c r="G2136" s="76" t="str">
        <f>IFERROR(IF(Tabla1[[#This Row],[CONCEPTO mx]]="","",VLOOKUP(Tabla1[[#This Row],[CONCEPTO mx]],Tabla2[#All],3,0)),"")</f>
        <v/>
      </c>
    </row>
    <row r="2137" spans="1:7" x14ac:dyDescent="0.25">
      <c r="A2137" s="51"/>
      <c r="F2137" s="76" t="str">
        <f>IFERROR(IF(Tabla1[[#This Row],[CONCEPTO mx]]="","",VLOOKUP(Tabla1[[#This Row],[CONCEPTO mx]],Tabla2[#All],2,0)),"")</f>
        <v/>
      </c>
      <c r="G2137" s="76" t="str">
        <f>IFERROR(IF(Tabla1[[#This Row],[CONCEPTO mx]]="","",VLOOKUP(Tabla1[[#This Row],[CONCEPTO mx]],Tabla2[#All],3,0)),"")</f>
        <v/>
      </c>
    </row>
    <row r="2138" spans="1:7" x14ac:dyDescent="0.25">
      <c r="A2138" s="51"/>
      <c r="F2138" s="76" t="str">
        <f>IFERROR(IF(Tabla1[[#This Row],[CONCEPTO mx]]="","",VLOOKUP(Tabla1[[#This Row],[CONCEPTO mx]],Tabla2[#All],2,0)),"")</f>
        <v/>
      </c>
      <c r="G2138" s="76" t="str">
        <f>IFERROR(IF(Tabla1[[#This Row],[CONCEPTO mx]]="","",VLOOKUP(Tabla1[[#This Row],[CONCEPTO mx]],Tabla2[#All],3,0)),"")</f>
        <v/>
      </c>
    </row>
    <row r="2139" spans="1:7" x14ac:dyDescent="0.25">
      <c r="A2139" s="51"/>
      <c r="F2139" s="76" t="str">
        <f>IFERROR(IF(Tabla1[[#This Row],[CONCEPTO mx]]="","",VLOOKUP(Tabla1[[#This Row],[CONCEPTO mx]],Tabla2[#All],2,0)),"")</f>
        <v/>
      </c>
      <c r="G2139" s="76" t="str">
        <f>IFERROR(IF(Tabla1[[#This Row],[CONCEPTO mx]]="","",VLOOKUP(Tabla1[[#This Row],[CONCEPTO mx]],Tabla2[#All],3,0)),"")</f>
        <v/>
      </c>
    </row>
    <row r="2140" spans="1:7" x14ac:dyDescent="0.25">
      <c r="A2140" s="51"/>
      <c r="F2140" s="76" t="str">
        <f>IFERROR(IF(Tabla1[[#This Row],[CONCEPTO mx]]="","",VLOOKUP(Tabla1[[#This Row],[CONCEPTO mx]],Tabla2[#All],2,0)),"")</f>
        <v/>
      </c>
      <c r="G2140" s="76" t="str">
        <f>IFERROR(IF(Tabla1[[#This Row],[CONCEPTO mx]]="","",VLOOKUP(Tabla1[[#This Row],[CONCEPTO mx]],Tabla2[#All],3,0)),"")</f>
        <v/>
      </c>
    </row>
    <row r="2141" spans="1:7" x14ac:dyDescent="0.25">
      <c r="A2141" s="51"/>
      <c r="F2141" s="76" t="str">
        <f>IFERROR(IF(Tabla1[[#This Row],[CONCEPTO mx]]="","",VLOOKUP(Tabla1[[#This Row],[CONCEPTO mx]],Tabla2[#All],2,0)),"")</f>
        <v/>
      </c>
      <c r="G2141" s="76" t="str">
        <f>IFERROR(IF(Tabla1[[#This Row],[CONCEPTO mx]]="","",VLOOKUP(Tabla1[[#This Row],[CONCEPTO mx]],Tabla2[#All],3,0)),"")</f>
        <v/>
      </c>
    </row>
    <row r="2142" spans="1:7" x14ac:dyDescent="0.25">
      <c r="A2142" s="51"/>
      <c r="F2142" s="76" t="str">
        <f>IFERROR(IF(Tabla1[[#This Row],[CONCEPTO mx]]="","",VLOOKUP(Tabla1[[#This Row],[CONCEPTO mx]],Tabla2[#All],2,0)),"")</f>
        <v/>
      </c>
      <c r="G2142" s="76" t="str">
        <f>IFERROR(IF(Tabla1[[#This Row],[CONCEPTO mx]]="","",VLOOKUP(Tabla1[[#This Row],[CONCEPTO mx]],Tabla2[#All],3,0)),"")</f>
        <v/>
      </c>
    </row>
    <row r="2143" spans="1:7" x14ac:dyDescent="0.25">
      <c r="A2143" s="51"/>
      <c r="F2143" s="76" t="str">
        <f>IFERROR(IF(Tabla1[[#This Row],[CONCEPTO mx]]="","",VLOOKUP(Tabla1[[#This Row],[CONCEPTO mx]],Tabla2[#All],2,0)),"")</f>
        <v/>
      </c>
      <c r="G2143" s="76" t="str">
        <f>IFERROR(IF(Tabla1[[#This Row],[CONCEPTO mx]]="","",VLOOKUP(Tabla1[[#This Row],[CONCEPTO mx]],Tabla2[#All],3,0)),"")</f>
        <v/>
      </c>
    </row>
    <row r="2144" spans="1:7" x14ac:dyDescent="0.25">
      <c r="A2144" s="51"/>
      <c r="F2144" s="76" t="str">
        <f>IFERROR(IF(Tabla1[[#This Row],[CONCEPTO mx]]="","",VLOOKUP(Tabla1[[#This Row],[CONCEPTO mx]],Tabla2[#All],2,0)),"")</f>
        <v/>
      </c>
      <c r="G2144" s="76" t="str">
        <f>IFERROR(IF(Tabla1[[#This Row],[CONCEPTO mx]]="","",VLOOKUP(Tabla1[[#This Row],[CONCEPTO mx]],Tabla2[#All],3,0)),"")</f>
        <v/>
      </c>
    </row>
    <row r="2145" spans="1:7" x14ac:dyDescent="0.25">
      <c r="A2145" s="51"/>
      <c r="F2145" s="76" t="str">
        <f>IFERROR(IF(Tabla1[[#This Row],[CONCEPTO mx]]="","",VLOOKUP(Tabla1[[#This Row],[CONCEPTO mx]],Tabla2[#All],2,0)),"")</f>
        <v/>
      </c>
      <c r="G2145" s="76" t="str">
        <f>IFERROR(IF(Tabla1[[#This Row],[CONCEPTO mx]]="","",VLOOKUP(Tabla1[[#This Row],[CONCEPTO mx]],Tabla2[#All],3,0)),"")</f>
        <v/>
      </c>
    </row>
    <row r="2146" spans="1:7" x14ac:dyDescent="0.25">
      <c r="A2146" s="51"/>
      <c r="F2146" s="76" t="str">
        <f>IFERROR(IF(Tabla1[[#This Row],[CONCEPTO mx]]="","",VLOOKUP(Tabla1[[#This Row],[CONCEPTO mx]],Tabla2[#All],2,0)),"")</f>
        <v/>
      </c>
      <c r="G2146" s="76" t="str">
        <f>IFERROR(IF(Tabla1[[#This Row],[CONCEPTO mx]]="","",VLOOKUP(Tabla1[[#This Row],[CONCEPTO mx]],Tabla2[#All],3,0)),"")</f>
        <v/>
      </c>
    </row>
    <row r="2147" spans="1:7" x14ac:dyDescent="0.25">
      <c r="A2147" s="51"/>
      <c r="F2147" s="76" t="str">
        <f>IFERROR(IF(Tabla1[[#This Row],[CONCEPTO mx]]="","",VLOOKUP(Tabla1[[#This Row],[CONCEPTO mx]],Tabla2[#All],2,0)),"")</f>
        <v/>
      </c>
      <c r="G2147" s="76" t="str">
        <f>IFERROR(IF(Tabla1[[#This Row],[CONCEPTO mx]]="","",VLOOKUP(Tabla1[[#This Row],[CONCEPTO mx]],Tabla2[#All],3,0)),"")</f>
        <v/>
      </c>
    </row>
    <row r="2148" spans="1:7" x14ac:dyDescent="0.25">
      <c r="A2148" s="51"/>
      <c r="F2148" s="76" t="str">
        <f>IFERROR(IF(Tabla1[[#This Row],[CONCEPTO mx]]="","",VLOOKUP(Tabla1[[#This Row],[CONCEPTO mx]],Tabla2[#All],2,0)),"")</f>
        <v/>
      </c>
      <c r="G2148" s="76" t="str">
        <f>IFERROR(IF(Tabla1[[#This Row],[CONCEPTO mx]]="","",VLOOKUP(Tabla1[[#This Row],[CONCEPTO mx]],Tabla2[#All],3,0)),"")</f>
        <v/>
      </c>
    </row>
    <row r="2149" spans="1:7" x14ac:dyDescent="0.25">
      <c r="A2149" s="51"/>
      <c r="F2149" s="76" t="str">
        <f>IFERROR(IF(Tabla1[[#This Row],[CONCEPTO mx]]="","",VLOOKUP(Tabla1[[#This Row],[CONCEPTO mx]],Tabla2[#All],2,0)),"")</f>
        <v/>
      </c>
      <c r="G2149" s="76" t="str">
        <f>IFERROR(IF(Tabla1[[#This Row],[CONCEPTO mx]]="","",VLOOKUP(Tabla1[[#This Row],[CONCEPTO mx]],Tabla2[#All],3,0)),"")</f>
        <v/>
      </c>
    </row>
    <row r="2150" spans="1:7" x14ac:dyDescent="0.25">
      <c r="A2150" s="51"/>
      <c r="F2150" s="76" t="str">
        <f>IFERROR(IF(Tabla1[[#This Row],[CONCEPTO mx]]="","",VLOOKUP(Tabla1[[#This Row],[CONCEPTO mx]],Tabla2[#All],2,0)),"")</f>
        <v/>
      </c>
      <c r="G2150" s="76" t="str">
        <f>IFERROR(IF(Tabla1[[#This Row],[CONCEPTO mx]]="","",VLOOKUP(Tabla1[[#This Row],[CONCEPTO mx]],Tabla2[#All],3,0)),"")</f>
        <v/>
      </c>
    </row>
    <row r="2151" spans="1:7" x14ac:dyDescent="0.25">
      <c r="A2151" s="51"/>
      <c r="F2151" s="76" t="str">
        <f>IFERROR(IF(Tabla1[[#This Row],[CONCEPTO mx]]="","",VLOOKUP(Tabla1[[#This Row],[CONCEPTO mx]],Tabla2[#All],2,0)),"")</f>
        <v/>
      </c>
      <c r="G2151" s="76" t="str">
        <f>IFERROR(IF(Tabla1[[#This Row],[CONCEPTO mx]]="","",VLOOKUP(Tabla1[[#This Row],[CONCEPTO mx]],Tabla2[#All],3,0)),"")</f>
        <v/>
      </c>
    </row>
    <row r="2152" spans="1:7" x14ac:dyDescent="0.25">
      <c r="A2152" s="51"/>
      <c r="F2152" s="76" t="str">
        <f>IFERROR(IF(Tabla1[[#This Row],[CONCEPTO mx]]="","",VLOOKUP(Tabla1[[#This Row],[CONCEPTO mx]],Tabla2[#All],2,0)),"")</f>
        <v/>
      </c>
      <c r="G2152" s="76" t="str">
        <f>IFERROR(IF(Tabla1[[#This Row],[CONCEPTO mx]]="","",VLOOKUP(Tabla1[[#This Row],[CONCEPTO mx]],Tabla2[#All],3,0)),"")</f>
        <v/>
      </c>
    </row>
    <row r="2153" spans="1:7" x14ac:dyDescent="0.25">
      <c r="A2153" s="51"/>
      <c r="F2153" s="76" t="str">
        <f>IFERROR(IF(Tabla1[[#This Row],[CONCEPTO mx]]="","",VLOOKUP(Tabla1[[#This Row],[CONCEPTO mx]],Tabla2[#All],2,0)),"")</f>
        <v/>
      </c>
      <c r="G2153" s="76" t="str">
        <f>IFERROR(IF(Tabla1[[#This Row],[CONCEPTO mx]]="","",VLOOKUP(Tabla1[[#This Row],[CONCEPTO mx]],Tabla2[#All],3,0)),"")</f>
        <v/>
      </c>
    </row>
    <row r="2154" spans="1:7" x14ac:dyDescent="0.25">
      <c r="A2154" s="51"/>
      <c r="F2154" s="76" t="str">
        <f>IFERROR(IF(Tabla1[[#This Row],[CONCEPTO mx]]="","",VLOOKUP(Tabla1[[#This Row],[CONCEPTO mx]],Tabla2[#All],2,0)),"")</f>
        <v/>
      </c>
      <c r="G2154" s="76" t="str">
        <f>IFERROR(IF(Tabla1[[#This Row],[CONCEPTO mx]]="","",VLOOKUP(Tabla1[[#This Row],[CONCEPTO mx]],Tabla2[#All],3,0)),"")</f>
        <v/>
      </c>
    </row>
    <row r="2155" spans="1:7" x14ac:dyDescent="0.25">
      <c r="A2155" s="51"/>
      <c r="F2155" s="76" t="str">
        <f>IFERROR(IF(Tabla1[[#This Row],[CONCEPTO mx]]="","",VLOOKUP(Tabla1[[#This Row],[CONCEPTO mx]],Tabla2[#All],2,0)),"")</f>
        <v/>
      </c>
      <c r="G2155" s="76" t="str">
        <f>IFERROR(IF(Tabla1[[#This Row],[CONCEPTO mx]]="","",VLOOKUP(Tabla1[[#This Row],[CONCEPTO mx]],Tabla2[#All],3,0)),"")</f>
        <v/>
      </c>
    </row>
    <row r="2156" spans="1:7" x14ac:dyDescent="0.25">
      <c r="A2156" s="51"/>
      <c r="F2156" s="76" t="str">
        <f>IFERROR(IF(Tabla1[[#This Row],[CONCEPTO mx]]="","",VLOOKUP(Tabla1[[#This Row],[CONCEPTO mx]],Tabla2[#All],2,0)),"")</f>
        <v/>
      </c>
      <c r="G2156" s="76" t="str">
        <f>IFERROR(IF(Tabla1[[#This Row],[CONCEPTO mx]]="","",VLOOKUP(Tabla1[[#This Row],[CONCEPTO mx]],Tabla2[#All],3,0)),"")</f>
        <v/>
      </c>
    </row>
    <row r="2157" spans="1:7" x14ac:dyDescent="0.25">
      <c r="A2157" s="51"/>
      <c r="F2157" s="76" t="str">
        <f>IFERROR(IF(Tabla1[[#This Row],[CONCEPTO mx]]="","",VLOOKUP(Tabla1[[#This Row],[CONCEPTO mx]],Tabla2[#All],2,0)),"")</f>
        <v/>
      </c>
      <c r="G2157" s="76" t="str">
        <f>IFERROR(IF(Tabla1[[#This Row],[CONCEPTO mx]]="","",VLOOKUP(Tabla1[[#This Row],[CONCEPTO mx]],Tabla2[#All],3,0)),"")</f>
        <v/>
      </c>
    </row>
    <row r="2158" spans="1:7" x14ac:dyDescent="0.25">
      <c r="A2158" s="51"/>
      <c r="F2158" s="76" t="str">
        <f>IFERROR(IF(Tabla1[[#This Row],[CONCEPTO mx]]="","",VLOOKUP(Tabla1[[#This Row],[CONCEPTO mx]],Tabla2[#All],2,0)),"")</f>
        <v/>
      </c>
      <c r="G2158" s="76" t="str">
        <f>IFERROR(IF(Tabla1[[#This Row],[CONCEPTO mx]]="","",VLOOKUP(Tabla1[[#This Row],[CONCEPTO mx]],Tabla2[#All],3,0)),"")</f>
        <v/>
      </c>
    </row>
    <row r="2159" spans="1:7" x14ac:dyDescent="0.25">
      <c r="A2159" s="51"/>
      <c r="F2159" s="76" t="str">
        <f>IFERROR(IF(Tabla1[[#This Row],[CONCEPTO mx]]="","",VLOOKUP(Tabla1[[#This Row],[CONCEPTO mx]],Tabla2[#All],2,0)),"")</f>
        <v/>
      </c>
      <c r="G2159" s="76" t="str">
        <f>IFERROR(IF(Tabla1[[#This Row],[CONCEPTO mx]]="","",VLOOKUP(Tabla1[[#This Row],[CONCEPTO mx]],Tabla2[#All],3,0)),"")</f>
        <v/>
      </c>
    </row>
    <row r="2160" spans="1:7" x14ac:dyDescent="0.25">
      <c r="A2160" s="51"/>
      <c r="F2160" s="76" t="str">
        <f>IFERROR(IF(Tabla1[[#This Row],[CONCEPTO mx]]="","",VLOOKUP(Tabla1[[#This Row],[CONCEPTO mx]],Tabla2[#All],2,0)),"")</f>
        <v/>
      </c>
      <c r="G2160" s="76" t="str">
        <f>IFERROR(IF(Tabla1[[#This Row],[CONCEPTO mx]]="","",VLOOKUP(Tabla1[[#This Row],[CONCEPTO mx]],Tabla2[#All],3,0)),"")</f>
        <v/>
      </c>
    </row>
    <row r="2161" spans="1:7" x14ac:dyDescent="0.25">
      <c r="A2161" s="51"/>
      <c r="F2161" s="76" t="str">
        <f>IFERROR(IF(Tabla1[[#This Row],[CONCEPTO mx]]="","",VLOOKUP(Tabla1[[#This Row],[CONCEPTO mx]],Tabla2[#All],2,0)),"")</f>
        <v/>
      </c>
      <c r="G2161" s="76" t="str">
        <f>IFERROR(IF(Tabla1[[#This Row],[CONCEPTO mx]]="","",VLOOKUP(Tabla1[[#This Row],[CONCEPTO mx]],Tabla2[#All],3,0)),"")</f>
        <v/>
      </c>
    </row>
    <row r="2162" spans="1:7" x14ac:dyDescent="0.25">
      <c r="A2162" s="51"/>
      <c r="F2162" s="76" t="str">
        <f>IFERROR(IF(Tabla1[[#This Row],[CONCEPTO mx]]="","",VLOOKUP(Tabla1[[#This Row],[CONCEPTO mx]],Tabla2[#All],2,0)),"")</f>
        <v/>
      </c>
      <c r="G2162" s="76" t="str">
        <f>IFERROR(IF(Tabla1[[#This Row],[CONCEPTO mx]]="","",VLOOKUP(Tabla1[[#This Row],[CONCEPTO mx]],Tabla2[#All],3,0)),"")</f>
        <v/>
      </c>
    </row>
    <row r="2163" spans="1:7" x14ac:dyDescent="0.25">
      <c r="A2163" s="51"/>
      <c r="F2163" s="76" t="str">
        <f>IFERROR(IF(Tabla1[[#This Row],[CONCEPTO mx]]="","",VLOOKUP(Tabla1[[#This Row],[CONCEPTO mx]],Tabla2[#All],2,0)),"")</f>
        <v/>
      </c>
      <c r="G2163" s="76" t="str">
        <f>IFERROR(IF(Tabla1[[#This Row],[CONCEPTO mx]]="","",VLOOKUP(Tabla1[[#This Row],[CONCEPTO mx]],Tabla2[#All],3,0)),"")</f>
        <v/>
      </c>
    </row>
    <row r="2164" spans="1:7" x14ac:dyDescent="0.25">
      <c r="A2164" s="51"/>
      <c r="F2164" s="76" t="str">
        <f>IFERROR(IF(Tabla1[[#This Row],[CONCEPTO mx]]="","",VLOOKUP(Tabla1[[#This Row],[CONCEPTO mx]],Tabla2[#All],2,0)),"")</f>
        <v/>
      </c>
      <c r="G2164" s="76" t="str">
        <f>IFERROR(IF(Tabla1[[#This Row],[CONCEPTO mx]]="","",VLOOKUP(Tabla1[[#This Row],[CONCEPTO mx]],Tabla2[#All],3,0)),"")</f>
        <v/>
      </c>
    </row>
    <row r="2165" spans="1:7" x14ac:dyDescent="0.25">
      <c r="A2165" s="51"/>
      <c r="F2165" s="76" t="str">
        <f>IFERROR(IF(Tabla1[[#This Row],[CONCEPTO mx]]="","",VLOOKUP(Tabla1[[#This Row],[CONCEPTO mx]],Tabla2[#All],2,0)),"")</f>
        <v/>
      </c>
      <c r="G2165" s="76" t="str">
        <f>IFERROR(IF(Tabla1[[#This Row],[CONCEPTO mx]]="","",VLOOKUP(Tabla1[[#This Row],[CONCEPTO mx]],Tabla2[#All],3,0)),"")</f>
        <v/>
      </c>
    </row>
    <row r="2166" spans="1:7" x14ac:dyDescent="0.25">
      <c r="A2166" s="51"/>
      <c r="F2166" s="76" t="str">
        <f>IFERROR(IF(Tabla1[[#This Row],[CONCEPTO mx]]="","",VLOOKUP(Tabla1[[#This Row],[CONCEPTO mx]],Tabla2[#All],2,0)),"")</f>
        <v/>
      </c>
      <c r="G2166" s="76" t="str">
        <f>IFERROR(IF(Tabla1[[#This Row],[CONCEPTO mx]]="","",VLOOKUP(Tabla1[[#This Row],[CONCEPTO mx]],Tabla2[#All],3,0)),"")</f>
        <v/>
      </c>
    </row>
    <row r="2167" spans="1:7" x14ac:dyDescent="0.25">
      <c r="A2167" s="51"/>
      <c r="F2167" s="76" t="str">
        <f>IFERROR(IF(Tabla1[[#This Row],[CONCEPTO mx]]="","",VLOOKUP(Tabla1[[#This Row],[CONCEPTO mx]],Tabla2[#All],2,0)),"")</f>
        <v/>
      </c>
      <c r="G2167" s="76" t="str">
        <f>IFERROR(IF(Tabla1[[#This Row],[CONCEPTO mx]]="","",VLOOKUP(Tabla1[[#This Row],[CONCEPTO mx]],Tabla2[#All],3,0)),"")</f>
        <v/>
      </c>
    </row>
    <row r="2168" spans="1:7" x14ac:dyDescent="0.25">
      <c r="A2168" s="51"/>
      <c r="F2168" s="76" t="str">
        <f>IFERROR(IF(Tabla1[[#This Row],[CONCEPTO mx]]="","",VLOOKUP(Tabla1[[#This Row],[CONCEPTO mx]],Tabla2[#All],2,0)),"")</f>
        <v/>
      </c>
      <c r="G2168" s="76" t="str">
        <f>IFERROR(IF(Tabla1[[#This Row],[CONCEPTO mx]]="","",VLOOKUP(Tabla1[[#This Row],[CONCEPTO mx]],Tabla2[#All],3,0)),"")</f>
        <v/>
      </c>
    </row>
    <row r="2169" spans="1:7" x14ac:dyDescent="0.25">
      <c r="A2169" s="51"/>
      <c r="F2169" s="76" t="str">
        <f>IFERROR(IF(Tabla1[[#This Row],[CONCEPTO mx]]="","",VLOOKUP(Tabla1[[#This Row],[CONCEPTO mx]],Tabla2[#All],2,0)),"")</f>
        <v/>
      </c>
      <c r="G2169" s="76" t="str">
        <f>IFERROR(IF(Tabla1[[#This Row],[CONCEPTO mx]]="","",VLOOKUP(Tabla1[[#This Row],[CONCEPTO mx]],Tabla2[#All],3,0)),"")</f>
        <v/>
      </c>
    </row>
    <row r="2170" spans="1:7" x14ac:dyDescent="0.25">
      <c r="A2170" s="51"/>
      <c r="F2170" s="76" t="str">
        <f>IFERROR(IF(Tabla1[[#This Row],[CONCEPTO mx]]="","",VLOOKUP(Tabla1[[#This Row],[CONCEPTO mx]],Tabla2[#All],2,0)),"")</f>
        <v/>
      </c>
      <c r="G2170" s="76" t="str">
        <f>IFERROR(IF(Tabla1[[#This Row],[CONCEPTO mx]]="","",VLOOKUP(Tabla1[[#This Row],[CONCEPTO mx]],Tabla2[#All],3,0)),"")</f>
        <v/>
      </c>
    </row>
    <row r="2171" spans="1:7" x14ac:dyDescent="0.25">
      <c r="A2171" s="51"/>
      <c r="F2171" s="76" t="str">
        <f>IFERROR(IF(Tabla1[[#This Row],[CONCEPTO mx]]="","",VLOOKUP(Tabla1[[#This Row],[CONCEPTO mx]],Tabla2[#All],2,0)),"")</f>
        <v/>
      </c>
      <c r="G2171" s="76" t="str">
        <f>IFERROR(IF(Tabla1[[#This Row],[CONCEPTO mx]]="","",VLOOKUP(Tabla1[[#This Row],[CONCEPTO mx]],Tabla2[#All],3,0)),"")</f>
        <v/>
      </c>
    </row>
    <row r="2172" spans="1:7" x14ac:dyDescent="0.25">
      <c r="A2172" s="51"/>
      <c r="F2172" s="76" t="str">
        <f>IFERROR(IF(Tabla1[[#This Row],[CONCEPTO mx]]="","",VLOOKUP(Tabla1[[#This Row],[CONCEPTO mx]],Tabla2[#All],2,0)),"")</f>
        <v/>
      </c>
      <c r="G2172" s="76" t="str">
        <f>IFERROR(IF(Tabla1[[#This Row],[CONCEPTO mx]]="","",VLOOKUP(Tabla1[[#This Row],[CONCEPTO mx]],Tabla2[#All],3,0)),"")</f>
        <v/>
      </c>
    </row>
    <row r="2173" spans="1:7" x14ac:dyDescent="0.25">
      <c r="A2173" s="51"/>
      <c r="F2173" s="76" t="str">
        <f>IFERROR(IF(Tabla1[[#This Row],[CONCEPTO mx]]="","",VLOOKUP(Tabla1[[#This Row],[CONCEPTO mx]],Tabla2[#All],2,0)),"")</f>
        <v/>
      </c>
      <c r="G2173" s="76" t="str">
        <f>IFERROR(IF(Tabla1[[#This Row],[CONCEPTO mx]]="","",VLOOKUP(Tabla1[[#This Row],[CONCEPTO mx]],Tabla2[#All],3,0)),"")</f>
        <v/>
      </c>
    </row>
    <row r="2174" spans="1:7" x14ac:dyDescent="0.25">
      <c r="A2174" s="51"/>
      <c r="F2174" s="76" t="str">
        <f>IFERROR(IF(Tabla1[[#This Row],[CONCEPTO mx]]="","",VLOOKUP(Tabla1[[#This Row],[CONCEPTO mx]],Tabla2[#All],2,0)),"")</f>
        <v/>
      </c>
      <c r="G2174" s="76" t="str">
        <f>IFERROR(IF(Tabla1[[#This Row],[CONCEPTO mx]]="","",VLOOKUP(Tabla1[[#This Row],[CONCEPTO mx]],Tabla2[#All],3,0)),"")</f>
        <v/>
      </c>
    </row>
    <row r="2175" spans="1:7" x14ac:dyDescent="0.25">
      <c r="A2175" s="51"/>
      <c r="F2175" s="76" t="str">
        <f>IFERROR(IF(Tabla1[[#This Row],[CONCEPTO mx]]="","",VLOOKUP(Tabla1[[#This Row],[CONCEPTO mx]],Tabla2[#All],2,0)),"")</f>
        <v/>
      </c>
      <c r="G2175" s="76" t="str">
        <f>IFERROR(IF(Tabla1[[#This Row],[CONCEPTO mx]]="","",VLOOKUP(Tabla1[[#This Row],[CONCEPTO mx]],Tabla2[#All],3,0)),"")</f>
        <v/>
      </c>
    </row>
    <row r="2176" spans="1:7" x14ac:dyDescent="0.25">
      <c r="A2176" s="51"/>
      <c r="F2176" s="76" t="str">
        <f>IFERROR(IF(Tabla1[[#This Row],[CONCEPTO mx]]="","",VLOOKUP(Tabla1[[#This Row],[CONCEPTO mx]],Tabla2[#All],2,0)),"")</f>
        <v/>
      </c>
      <c r="G2176" s="76" t="str">
        <f>IFERROR(IF(Tabla1[[#This Row],[CONCEPTO mx]]="","",VLOOKUP(Tabla1[[#This Row],[CONCEPTO mx]],Tabla2[#All],3,0)),"")</f>
        <v/>
      </c>
    </row>
    <row r="2177" spans="1:7" x14ac:dyDescent="0.25">
      <c r="A2177" s="51"/>
      <c r="F2177" s="76" t="str">
        <f>IFERROR(IF(Tabla1[[#This Row],[CONCEPTO mx]]="","",VLOOKUP(Tabla1[[#This Row],[CONCEPTO mx]],Tabla2[#All],2,0)),"")</f>
        <v/>
      </c>
      <c r="G2177" s="76" t="str">
        <f>IFERROR(IF(Tabla1[[#This Row],[CONCEPTO mx]]="","",VLOOKUP(Tabla1[[#This Row],[CONCEPTO mx]],Tabla2[#All],3,0)),"")</f>
        <v/>
      </c>
    </row>
    <row r="2178" spans="1:7" x14ac:dyDescent="0.25">
      <c r="A2178" s="51"/>
      <c r="F2178" s="76" t="str">
        <f>IFERROR(IF(Tabla1[[#This Row],[CONCEPTO mx]]="","",VLOOKUP(Tabla1[[#This Row],[CONCEPTO mx]],Tabla2[#All],2,0)),"")</f>
        <v/>
      </c>
      <c r="G2178" s="76" t="str">
        <f>IFERROR(IF(Tabla1[[#This Row],[CONCEPTO mx]]="","",VLOOKUP(Tabla1[[#This Row],[CONCEPTO mx]],Tabla2[#All],3,0)),"")</f>
        <v/>
      </c>
    </row>
    <row r="2179" spans="1:7" x14ac:dyDescent="0.25">
      <c r="A2179" s="51"/>
      <c r="F2179" s="76" t="str">
        <f>IFERROR(IF(Tabla1[[#This Row],[CONCEPTO mx]]="","",VLOOKUP(Tabla1[[#This Row],[CONCEPTO mx]],Tabla2[#All],2,0)),"")</f>
        <v/>
      </c>
      <c r="G2179" s="76" t="str">
        <f>IFERROR(IF(Tabla1[[#This Row],[CONCEPTO mx]]="","",VLOOKUP(Tabla1[[#This Row],[CONCEPTO mx]],Tabla2[#All],3,0)),"")</f>
        <v/>
      </c>
    </row>
    <row r="2180" spans="1:7" x14ac:dyDescent="0.25">
      <c r="A2180" s="51"/>
      <c r="F2180" s="76" t="str">
        <f>IFERROR(IF(Tabla1[[#This Row],[CONCEPTO mx]]="","",VLOOKUP(Tabla1[[#This Row],[CONCEPTO mx]],Tabla2[#All],2,0)),"")</f>
        <v/>
      </c>
      <c r="G2180" s="76" t="str">
        <f>IFERROR(IF(Tabla1[[#This Row],[CONCEPTO mx]]="","",VLOOKUP(Tabla1[[#This Row],[CONCEPTO mx]],Tabla2[#All],3,0)),"")</f>
        <v/>
      </c>
    </row>
    <row r="2181" spans="1:7" x14ac:dyDescent="0.25">
      <c r="A2181" s="51"/>
      <c r="F2181" s="76" t="str">
        <f>IFERROR(IF(Tabla1[[#This Row],[CONCEPTO mx]]="","",VLOOKUP(Tabla1[[#This Row],[CONCEPTO mx]],Tabla2[#All],2,0)),"")</f>
        <v/>
      </c>
      <c r="G2181" s="76" t="str">
        <f>IFERROR(IF(Tabla1[[#This Row],[CONCEPTO mx]]="","",VLOOKUP(Tabla1[[#This Row],[CONCEPTO mx]],Tabla2[#All],3,0)),"")</f>
        <v/>
      </c>
    </row>
    <row r="2182" spans="1:7" x14ac:dyDescent="0.25">
      <c r="A2182" s="51"/>
      <c r="F2182" s="76" t="str">
        <f>IFERROR(IF(Tabla1[[#This Row],[CONCEPTO mx]]="","",VLOOKUP(Tabla1[[#This Row],[CONCEPTO mx]],Tabla2[#All],2,0)),"")</f>
        <v/>
      </c>
      <c r="G2182" s="76" t="str">
        <f>IFERROR(IF(Tabla1[[#This Row],[CONCEPTO mx]]="","",VLOOKUP(Tabla1[[#This Row],[CONCEPTO mx]],Tabla2[#All],3,0)),"")</f>
        <v/>
      </c>
    </row>
    <row r="2183" spans="1:7" x14ac:dyDescent="0.25">
      <c r="A2183" s="51"/>
      <c r="F2183" s="76" t="str">
        <f>IFERROR(IF(Tabla1[[#This Row],[CONCEPTO mx]]="","",VLOOKUP(Tabla1[[#This Row],[CONCEPTO mx]],Tabla2[#All],2,0)),"")</f>
        <v/>
      </c>
      <c r="G2183" s="76" t="str">
        <f>IFERROR(IF(Tabla1[[#This Row],[CONCEPTO mx]]="","",VLOOKUP(Tabla1[[#This Row],[CONCEPTO mx]],Tabla2[#All],3,0)),"")</f>
        <v/>
      </c>
    </row>
    <row r="2184" spans="1:7" x14ac:dyDescent="0.25">
      <c r="A2184" s="51"/>
      <c r="F2184" s="76" t="str">
        <f>IFERROR(IF(Tabla1[[#This Row],[CONCEPTO mx]]="","",VLOOKUP(Tabla1[[#This Row],[CONCEPTO mx]],Tabla2[#All],2,0)),"")</f>
        <v/>
      </c>
      <c r="G2184" s="76" t="str">
        <f>IFERROR(IF(Tabla1[[#This Row],[CONCEPTO mx]]="","",VLOOKUP(Tabla1[[#This Row],[CONCEPTO mx]],Tabla2[#All],3,0)),"")</f>
        <v/>
      </c>
    </row>
    <row r="2185" spans="1:7" x14ac:dyDescent="0.25">
      <c r="A2185" s="51"/>
      <c r="F2185" s="76" t="str">
        <f>IFERROR(IF(Tabla1[[#This Row],[CONCEPTO mx]]="","",VLOOKUP(Tabla1[[#This Row],[CONCEPTO mx]],Tabla2[#All],2,0)),"")</f>
        <v/>
      </c>
      <c r="G2185" s="76" t="str">
        <f>IFERROR(IF(Tabla1[[#This Row],[CONCEPTO mx]]="","",VLOOKUP(Tabla1[[#This Row],[CONCEPTO mx]],Tabla2[#All],3,0)),"")</f>
        <v/>
      </c>
    </row>
    <row r="2186" spans="1:7" x14ac:dyDescent="0.25">
      <c r="A2186" s="51"/>
      <c r="F2186" s="76" t="str">
        <f>IFERROR(IF(Tabla1[[#This Row],[CONCEPTO mx]]="","",VLOOKUP(Tabla1[[#This Row],[CONCEPTO mx]],Tabla2[#All],2,0)),"")</f>
        <v/>
      </c>
      <c r="G2186" s="76" t="str">
        <f>IFERROR(IF(Tabla1[[#This Row],[CONCEPTO mx]]="","",VLOOKUP(Tabla1[[#This Row],[CONCEPTO mx]],Tabla2[#All],3,0)),"")</f>
        <v/>
      </c>
    </row>
    <row r="2187" spans="1:7" x14ac:dyDescent="0.25">
      <c r="A2187" s="51"/>
      <c r="F2187" s="76" t="str">
        <f>IFERROR(IF(Tabla1[[#This Row],[CONCEPTO mx]]="","",VLOOKUP(Tabla1[[#This Row],[CONCEPTO mx]],Tabla2[#All],2,0)),"")</f>
        <v/>
      </c>
      <c r="G2187" s="76" t="str">
        <f>IFERROR(IF(Tabla1[[#This Row],[CONCEPTO mx]]="","",VLOOKUP(Tabla1[[#This Row],[CONCEPTO mx]],Tabla2[#All],3,0)),"")</f>
        <v/>
      </c>
    </row>
    <row r="2188" spans="1:7" x14ac:dyDescent="0.25">
      <c r="A2188" s="51"/>
      <c r="F2188" s="76" t="str">
        <f>IFERROR(IF(Tabla1[[#This Row],[CONCEPTO mx]]="","",VLOOKUP(Tabla1[[#This Row],[CONCEPTO mx]],Tabla2[#All],2,0)),"")</f>
        <v/>
      </c>
      <c r="G2188" s="76" t="str">
        <f>IFERROR(IF(Tabla1[[#This Row],[CONCEPTO mx]]="","",VLOOKUP(Tabla1[[#This Row],[CONCEPTO mx]],Tabla2[#All],3,0)),"")</f>
        <v/>
      </c>
    </row>
    <row r="2189" spans="1:7" x14ac:dyDescent="0.25">
      <c r="A2189" s="51"/>
      <c r="F2189" s="76" t="str">
        <f>IFERROR(IF(Tabla1[[#This Row],[CONCEPTO mx]]="","",VLOOKUP(Tabla1[[#This Row],[CONCEPTO mx]],Tabla2[#All],2,0)),"")</f>
        <v/>
      </c>
      <c r="G2189" s="76" t="str">
        <f>IFERROR(IF(Tabla1[[#This Row],[CONCEPTO mx]]="","",VLOOKUP(Tabla1[[#This Row],[CONCEPTO mx]],Tabla2[#All],3,0)),"")</f>
        <v/>
      </c>
    </row>
    <row r="2190" spans="1:7" x14ac:dyDescent="0.25">
      <c r="A2190" s="51"/>
      <c r="F2190" s="76" t="str">
        <f>IFERROR(IF(Tabla1[[#This Row],[CONCEPTO mx]]="","",VLOOKUP(Tabla1[[#This Row],[CONCEPTO mx]],Tabla2[#All],2,0)),"")</f>
        <v/>
      </c>
      <c r="G2190" s="76" t="str">
        <f>IFERROR(IF(Tabla1[[#This Row],[CONCEPTO mx]]="","",VLOOKUP(Tabla1[[#This Row],[CONCEPTO mx]],Tabla2[#All],3,0)),"")</f>
        <v/>
      </c>
    </row>
    <row r="2191" spans="1:7" x14ac:dyDescent="0.25">
      <c r="A2191" s="51"/>
      <c r="F2191" s="76" t="str">
        <f>IFERROR(IF(Tabla1[[#This Row],[CONCEPTO mx]]="","",VLOOKUP(Tabla1[[#This Row],[CONCEPTO mx]],Tabla2[#All],2,0)),"")</f>
        <v/>
      </c>
      <c r="G2191" s="76" t="str">
        <f>IFERROR(IF(Tabla1[[#This Row],[CONCEPTO mx]]="","",VLOOKUP(Tabla1[[#This Row],[CONCEPTO mx]],Tabla2[#All],3,0)),"")</f>
        <v/>
      </c>
    </row>
    <row r="2192" spans="1:7" x14ac:dyDescent="0.25">
      <c r="A2192" s="51"/>
      <c r="F2192" s="76" t="str">
        <f>IFERROR(IF(Tabla1[[#This Row],[CONCEPTO mx]]="","",VLOOKUP(Tabla1[[#This Row],[CONCEPTO mx]],Tabla2[#All],2,0)),"")</f>
        <v/>
      </c>
      <c r="G2192" s="76" t="str">
        <f>IFERROR(IF(Tabla1[[#This Row],[CONCEPTO mx]]="","",VLOOKUP(Tabla1[[#This Row],[CONCEPTO mx]],Tabla2[#All],3,0)),"")</f>
        <v/>
      </c>
    </row>
    <row r="2193" spans="1:7" x14ac:dyDescent="0.25">
      <c r="A2193" s="51"/>
      <c r="F2193" s="76" t="str">
        <f>IFERROR(IF(Tabla1[[#This Row],[CONCEPTO mx]]="","",VLOOKUP(Tabla1[[#This Row],[CONCEPTO mx]],Tabla2[#All],2,0)),"")</f>
        <v/>
      </c>
      <c r="G2193" s="76" t="str">
        <f>IFERROR(IF(Tabla1[[#This Row],[CONCEPTO mx]]="","",VLOOKUP(Tabla1[[#This Row],[CONCEPTO mx]],Tabla2[#All],3,0)),"")</f>
        <v/>
      </c>
    </row>
    <row r="2194" spans="1:7" x14ac:dyDescent="0.25">
      <c r="A2194" s="51"/>
      <c r="F2194" s="76" t="str">
        <f>IFERROR(IF(Tabla1[[#This Row],[CONCEPTO mx]]="","",VLOOKUP(Tabla1[[#This Row],[CONCEPTO mx]],Tabla2[#All],2,0)),"")</f>
        <v/>
      </c>
      <c r="G2194" s="76" t="str">
        <f>IFERROR(IF(Tabla1[[#This Row],[CONCEPTO mx]]="","",VLOOKUP(Tabla1[[#This Row],[CONCEPTO mx]],Tabla2[#All],3,0)),"")</f>
        <v/>
      </c>
    </row>
    <row r="2195" spans="1:7" x14ac:dyDescent="0.25">
      <c r="A2195" s="51"/>
      <c r="F2195" s="76" t="str">
        <f>IFERROR(IF(Tabla1[[#This Row],[CONCEPTO mx]]="","",VLOOKUP(Tabla1[[#This Row],[CONCEPTO mx]],Tabla2[#All],2,0)),"")</f>
        <v/>
      </c>
      <c r="G2195" s="76" t="str">
        <f>IFERROR(IF(Tabla1[[#This Row],[CONCEPTO mx]]="","",VLOOKUP(Tabla1[[#This Row],[CONCEPTO mx]],Tabla2[#All],3,0)),"")</f>
        <v/>
      </c>
    </row>
    <row r="2196" spans="1:7" x14ac:dyDescent="0.25">
      <c r="A2196" s="51"/>
      <c r="F2196" s="76" t="str">
        <f>IFERROR(IF(Tabla1[[#This Row],[CONCEPTO mx]]="","",VLOOKUP(Tabla1[[#This Row],[CONCEPTO mx]],Tabla2[#All],2,0)),"")</f>
        <v/>
      </c>
      <c r="G2196" s="76" t="str">
        <f>IFERROR(IF(Tabla1[[#This Row],[CONCEPTO mx]]="","",VLOOKUP(Tabla1[[#This Row],[CONCEPTO mx]],Tabla2[#All],3,0)),"")</f>
        <v/>
      </c>
    </row>
    <row r="2197" spans="1:7" x14ac:dyDescent="0.25">
      <c r="A2197" s="51"/>
      <c r="F2197" s="76" t="str">
        <f>IFERROR(IF(Tabla1[[#This Row],[CONCEPTO mx]]="","",VLOOKUP(Tabla1[[#This Row],[CONCEPTO mx]],Tabla2[#All],2,0)),"")</f>
        <v/>
      </c>
      <c r="G2197" s="76" t="str">
        <f>IFERROR(IF(Tabla1[[#This Row],[CONCEPTO mx]]="","",VLOOKUP(Tabla1[[#This Row],[CONCEPTO mx]],Tabla2[#All],3,0)),"")</f>
        <v/>
      </c>
    </row>
    <row r="2198" spans="1:7" x14ac:dyDescent="0.25">
      <c r="A2198" s="51"/>
      <c r="F2198" s="76" t="str">
        <f>IFERROR(IF(Tabla1[[#This Row],[CONCEPTO mx]]="","",VLOOKUP(Tabla1[[#This Row],[CONCEPTO mx]],Tabla2[#All],2,0)),"")</f>
        <v/>
      </c>
      <c r="G2198" s="76" t="str">
        <f>IFERROR(IF(Tabla1[[#This Row],[CONCEPTO mx]]="","",VLOOKUP(Tabla1[[#This Row],[CONCEPTO mx]],Tabla2[#All],3,0)),"")</f>
        <v/>
      </c>
    </row>
    <row r="2199" spans="1:7" x14ac:dyDescent="0.25">
      <c r="A2199" s="51"/>
      <c r="F2199" s="76" t="str">
        <f>IFERROR(IF(Tabla1[[#This Row],[CONCEPTO mx]]="","",VLOOKUP(Tabla1[[#This Row],[CONCEPTO mx]],Tabla2[#All],2,0)),"")</f>
        <v/>
      </c>
      <c r="G2199" s="76" t="str">
        <f>IFERROR(IF(Tabla1[[#This Row],[CONCEPTO mx]]="","",VLOOKUP(Tabla1[[#This Row],[CONCEPTO mx]],Tabla2[#All],3,0)),"")</f>
        <v/>
      </c>
    </row>
    <row r="2200" spans="1:7" x14ac:dyDescent="0.25">
      <c r="A2200" s="51"/>
      <c r="F2200" s="76" t="str">
        <f>IFERROR(IF(Tabla1[[#This Row],[CONCEPTO mx]]="","",VLOOKUP(Tabla1[[#This Row],[CONCEPTO mx]],Tabla2[#All],2,0)),"")</f>
        <v/>
      </c>
      <c r="G2200" s="76" t="str">
        <f>IFERROR(IF(Tabla1[[#This Row],[CONCEPTO mx]]="","",VLOOKUP(Tabla1[[#This Row],[CONCEPTO mx]],Tabla2[#All],3,0)),"")</f>
        <v/>
      </c>
    </row>
    <row r="2201" spans="1:7" x14ac:dyDescent="0.25">
      <c r="A2201" s="51"/>
      <c r="F2201" s="76" t="str">
        <f>IFERROR(IF(Tabla1[[#This Row],[CONCEPTO mx]]="","",VLOOKUP(Tabla1[[#This Row],[CONCEPTO mx]],Tabla2[#All],2,0)),"")</f>
        <v/>
      </c>
      <c r="G2201" s="76" t="str">
        <f>IFERROR(IF(Tabla1[[#This Row],[CONCEPTO mx]]="","",VLOOKUP(Tabla1[[#This Row],[CONCEPTO mx]],Tabla2[#All],3,0)),"")</f>
        <v/>
      </c>
    </row>
    <row r="2202" spans="1:7" x14ac:dyDescent="0.25">
      <c r="A2202" s="51"/>
      <c r="F2202" s="76" t="str">
        <f>IFERROR(IF(Tabla1[[#This Row],[CONCEPTO mx]]="","",VLOOKUP(Tabla1[[#This Row],[CONCEPTO mx]],Tabla2[#All],2,0)),"")</f>
        <v/>
      </c>
      <c r="G2202" s="76" t="str">
        <f>IFERROR(IF(Tabla1[[#This Row],[CONCEPTO mx]]="","",VLOOKUP(Tabla1[[#This Row],[CONCEPTO mx]],Tabla2[#All],3,0)),"")</f>
        <v/>
      </c>
    </row>
    <row r="2203" spans="1:7" x14ac:dyDescent="0.25">
      <c r="A2203" s="51"/>
      <c r="F2203" s="76" t="str">
        <f>IFERROR(IF(Tabla1[[#This Row],[CONCEPTO mx]]="","",VLOOKUP(Tabla1[[#This Row],[CONCEPTO mx]],Tabla2[#All],2,0)),"")</f>
        <v/>
      </c>
      <c r="G2203" s="76" t="str">
        <f>IFERROR(IF(Tabla1[[#This Row],[CONCEPTO mx]]="","",VLOOKUP(Tabla1[[#This Row],[CONCEPTO mx]],Tabla2[#All],3,0)),"")</f>
        <v/>
      </c>
    </row>
    <row r="2204" spans="1:7" x14ac:dyDescent="0.25">
      <c r="A2204" s="51"/>
      <c r="F2204" s="76" t="str">
        <f>IFERROR(IF(Tabla1[[#This Row],[CONCEPTO mx]]="","",VLOOKUP(Tabla1[[#This Row],[CONCEPTO mx]],Tabla2[#All],2,0)),"")</f>
        <v/>
      </c>
      <c r="G2204" s="76" t="str">
        <f>IFERROR(IF(Tabla1[[#This Row],[CONCEPTO mx]]="","",VLOOKUP(Tabla1[[#This Row],[CONCEPTO mx]],Tabla2[#All],3,0)),"")</f>
        <v/>
      </c>
    </row>
    <row r="2205" spans="1:7" x14ac:dyDescent="0.25">
      <c r="A2205" s="51"/>
      <c r="F2205" s="76" t="str">
        <f>IFERROR(IF(Tabla1[[#This Row],[CONCEPTO mx]]="","",VLOOKUP(Tabla1[[#This Row],[CONCEPTO mx]],Tabla2[#All],2,0)),"")</f>
        <v/>
      </c>
      <c r="G2205" s="76" t="str">
        <f>IFERROR(IF(Tabla1[[#This Row],[CONCEPTO mx]]="","",VLOOKUP(Tabla1[[#This Row],[CONCEPTO mx]],Tabla2[#All],3,0)),"")</f>
        <v/>
      </c>
    </row>
    <row r="2206" spans="1:7" x14ac:dyDescent="0.25">
      <c r="A2206" s="51"/>
      <c r="F2206" s="76" t="str">
        <f>IFERROR(IF(Tabla1[[#This Row],[CONCEPTO mx]]="","",VLOOKUP(Tabla1[[#This Row],[CONCEPTO mx]],Tabla2[#All],2,0)),"")</f>
        <v/>
      </c>
      <c r="G2206" s="76" t="str">
        <f>IFERROR(IF(Tabla1[[#This Row],[CONCEPTO mx]]="","",VLOOKUP(Tabla1[[#This Row],[CONCEPTO mx]],Tabla2[#All],3,0)),"")</f>
        <v/>
      </c>
    </row>
    <row r="2207" spans="1:7" x14ac:dyDescent="0.25">
      <c r="A2207" s="51"/>
      <c r="F2207" s="76" t="str">
        <f>IFERROR(IF(Tabla1[[#This Row],[CONCEPTO mx]]="","",VLOOKUP(Tabla1[[#This Row],[CONCEPTO mx]],Tabla2[#All],2,0)),"")</f>
        <v/>
      </c>
      <c r="G2207" s="76" t="str">
        <f>IFERROR(IF(Tabla1[[#This Row],[CONCEPTO mx]]="","",VLOOKUP(Tabla1[[#This Row],[CONCEPTO mx]],Tabla2[#All],3,0)),"")</f>
        <v/>
      </c>
    </row>
    <row r="2208" spans="1:7" x14ac:dyDescent="0.25">
      <c r="A2208" s="51"/>
      <c r="F2208" s="76" t="str">
        <f>IFERROR(IF(Tabla1[[#This Row],[CONCEPTO mx]]="","",VLOOKUP(Tabla1[[#This Row],[CONCEPTO mx]],Tabla2[#All],2,0)),"")</f>
        <v/>
      </c>
      <c r="G2208" s="76" t="str">
        <f>IFERROR(IF(Tabla1[[#This Row],[CONCEPTO mx]]="","",VLOOKUP(Tabla1[[#This Row],[CONCEPTO mx]],Tabla2[#All],3,0)),"")</f>
        <v/>
      </c>
    </row>
    <row r="2209" spans="1:7" x14ac:dyDescent="0.25">
      <c r="A2209" s="51"/>
      <c r="F2209" s="76" t="str">
        <f>IFERROR(IF(Tabla1[[#This Row],[CONCEPTO mx]]="","",VLOOKUP(Tabla1[[#This Row],[CONCEPTO mx]],Tabla2[#All],2,0)),"")</f>
        <v/>
      </c>
      <c r="G2209" s="76" t="str">
        <f>IFERROR(IF(Tabla1[[#This Row],[CONCEPTO mx]]="","",VLOOKUP(Tabla1[[#This Row],[CONCEPTO mx]],Tabla2[#All],3,0)),"")</f>
        <v/>
      </c>
    </row>
    <row r="2210" spans="1:7" x14ac:dyDescent="0.25">
      <c r="A2210" s="51"/>
      <c r="F2210" s="76" t="str">
        <f>IFERROR(IF(Tabla1[[#This Row],[CONCEPTO mx]]="","",VLOOKUP(Tabla1[[#This Row],[CONCEPTO mx]],Tabla2[#All],2,0)),"")</f>
        <v/>
      </c>
      <c r="G2210" s="76" t="str">
        <f>IFERROR(IF(Tabla1[[#This Row],[CONCEPTO mx]]="","",VLOOKUP(Tabla1[[#This Row],[CONCEPTO mx]],Tabla2[#All],3,0)),"")</f>
        <v/>
      </c>
    </row>
    <row r="2211" spans="1:7" x14ac:dyDescent="0.25">
      <c r="A2211" s="51"/>
      <c r="F2211" s="76" t="str">
        <f>IFERROR(IF(Tabla1[[#This Row],[CONCEPTO mx]]="","",VLOOKUP(Tabla1[[#This Row],[CONCEPTO mx]],Tabla2[#All],2,0)),"")</f>
        <v/>
      </c>
      <c r="G2211" s="76" t="str">
        <f>IFERROR(IF(Tabla1[[#This Row],[CONCEPTO mx]]="","",VLOOKUP(Tabla1[[#This Row],[CONCEPTO mx]],Tabla2[#All],3,0)),"")</f>
        <v/>
      </c>
    </row>
    <row r="2212" spans="1:7" x14ac:dyDescent="0.25">
      <c r="A2212" s="51"/>
      <c r="F2212" s="76" t="str">
        <f>IFERROR(IF(Tabla1[[#This Row],[CONCEPTO mx]]="","",VLOOKUP(Tabla1[[#This Row],[CONCEPTO mx]],Tabla2[#All],2,0)),"")</f>
        <v/>
      </c>
      <c r="G2212" s="76" t="str">
        <f>IFERROR(IF(Tabla1[[#This Row],[CONCEPTO mx]]="","",VLOOKUP(Tabla1[[#This Row],[CONCEPTO mx]],Tabla2[#All],3,0)),"")</f>
        <v/>
      </c>
    </row>
    <row r="2213" spans="1:7" x14ac:dyDescent="0.25">
      <c r="A2213" s="51"/>
      <c r="F2213" s="76" t="str">
        <f>IFERROR(IF(Tabla1[[#This Row],[CONCEPTO mx]]="","",VLOOKUP(Tabla1[[#This Row],[CONCEPTO mx]],Tabla2[#All],2,0)),"")</f>
        <v/>
      </c>
      <c r="G2213" s="76" t="str">
        <f>IFERROR(IF(Tabla1[[#This Row],[CONCEPTO mx]]="","",VLOOKUP(Tabla1[[#This Row],[CONCEPTO mx]],Tabla2[#All],3,0)),"")</f>
        <v/>
      </c>
    </row>
    <row r="2214" spans="1:7" x14ac:dyDescent="0.25">
      <c r="A2214" s="51"/>
      <c r="F2214" s="76" t="str">
        <f>IFERROR(IF(Tabla1[[#This Row],[CONCEPTO mx]]="","",VLOOKUP(Tabla1[[#This Row],[CONCEPTO mx]],Tabla2[#All],2,0)),"")</f>
        <v/>
      </c>
      <c r="G2214" s="76" t="str">
        <f>IFERROR(IF(Tabla1[[#This Row],[CONCEPTO mx]]="","",VLOOKUP(Tabla1[[#This Row],[CONCEPTO mx]],Tabla2[#All],3,0)),"")</f>
        <v/>
      </c>
    </row>
    <row r="2215" spans="1:7" x14ac:dyDescent="0.25">
      <c r="A2215" s="51"/>
      <c r="F2215" s="76" t="str">
        <f>IFERROR(IF(Tabla1[[#This Row],[CONCEPTO mx]]="","",VLOOKUP(Tabla1[[#This Row],[CONCEPTO mx]],Tabla2[#All],2,0)),"")</f>
        <v/>
      </c>
      <c r="G2215" s="76" t="str">
        <f>IFERROR(IF(Tabla1[[#This Row],[CONCEPTO mx]]="","",VLOOKUP(Tabla1[[#This Row],[CONCEPTO mx]],Tabla2[#All],3,0)),"")</f>
        <v/>
      </c>
    </row>
    <row r="2216" spans="1:7" x14ac:dyDescent="0.25">
      <c r="A2216" s="51"/>
      <c r="F2216" s="76" t="str">
        <f>IFERROR(IF(Tabla1[[#This Row],[CONCEPTO mx]]="","",VLOOKUP(Tabla1[[#This Row],[CONCEPTO mx]],Tabla2[#All],2,0)),"")</f>
        <v/>
      </c>
      <c r="G2216" s="76" t="str">
        <f>IFERROR(IF(Tabla1[[#This Row],[CONCEPTO mx]]="","",VLOOKUP(Tabla1[[#This Row],[CONCEPTO mx]],Tabla2[#All],3,0)),"")</f>
        <v/>
      </c>
    </row>
    <row r="2217" spans="1:7" x14ac:dyDescent="0.25">
      <c r="A2217" s="51"/>
      <c r="F2217" s="76" t="str">
        <f>IFERROR(IF(Tabla1[[#This Row],[CONCEPTO mx]]="","",VLOOKUP(Tabla1[[#This Row],[CONCEPTO mx]],Tabla2[#All],2,0)),"")</f>
        <v/>
      </c>
      <c r="G2217" s="76" t="str">
        <f>IFERROR(IF(Tabla1[[#This Row],[CONCEPTO mx]]="","",VLOOKUP(Tabla1[[#This Row],[CONCEPTO mx]],Tabla2[#All],3,0)),"")</f>
        <v/>
      </c>
    </row>
    <row r="2218" spans="1:7" x14ac:dyDescent="0.25">
      <c r="A2218" s="51"/>
      <c r="F2218" s="76" t="str">
        <f>IFERROR(IF(Tabla1[[#This Row],[CONCEPTO mx]]="","",VLOOKUP(Tabla1[[#This Row],[CONCEPTO mx]],Tabla2[#All],2,0)),"")</f>
        <v/>
      </c>
      <c r="G2218" s="76" t="str">
        <f>IFERROR(IF(Tabla1[[#This Row],[CONCEPTO mx]]="","",VLOOKUP(Tabla1[[#This Row],[CONCEPTO mx]],Tabla2[#All],3,0)),"")</f>
        <v/>
      </c>
    </row>
    <row r="2219" spans="1:7" x14ac:dyDescent="0.25">
      <c r="A2219" s="51"/>
      <c r="F2219" s="76" t="str">
        <f>IFERROR(IF(Tabla1[[#This Row],[CONCEPTO mx]]="","",VLOOKUP(Tabla1[[#This Row],[CONCEPTO mx]],Tabla2[#All],2,0)),"")</f>
        <v/>
      </c>
      <c r="G2219" s="76" t="str">
        <f>IFERROR(IF(Tabla1[[#This Row],[CONCEPTO mx]]="","",VLOOKUP(Tabla1[[#This Row],[CONCEPTO mx]],Tabla2[#All],3,0)),"")</f>
        <v/>
      </c>
    </row>
    <row r="2220" spans="1:7" x14ac:dyDescent="0.25">
      <c r="A2220" s="51"/>
      <c r="F2220" s="76" t="str">
        <f>IFERROR(IF(Tabla1[[#This Row],[CONCEPTO mx]]="","",VLOOKUP(Tabla1[[#This Row],[CONCEPTO mx]],Tabla2[#All],2,0)),"")</f>
        <v/>
      </c>
      <c r="G2220" s="76" t="str">
        <f>IFERROR(IF(Tabla1[[#This Row],[CONCEPTO mx]]="","",VLOOKUP(Tabla1[[#This Row],[CONCEPTO mx]],Tabla2[#All],3,0)),"")</f>
        <v/>
      </c>
    </row>
    <row r="2221" spans="1:7" x14ac:dyDescent="0.25">
      <c r="A2221" s="51"/>
      <c r="F2221" s="76" t="str">
        <f>IFERROR(IF(Tabla1[[#This Row],[CONCEPTO mx]]="","",VLOOKUP(Tabla1[[#This Row],[CONCEPTO mx]],Tabla2[#All],2,0)),"")</f>
        <v/>
      </c>
      <c r="G2221" s="76" t="str">
        <f>IFERROR(IF(Tabla1[[#This Row],[CONCEPTO mx]]="","",VLOOKUP(Tabla1[[#This Row],[CONCEPTO mx]],Tabla2[#All],3,0)),"")</f>
        <v/>
      </c>
    </row>
    <row r="2222" spans="1:7" x14ac:dyDescent="0.25">
      <c r="A2222" s="51"/>
      <c r="F2222" s="76" t="str">
        <f>IFERROR(IF(Tabla1[[#This Row],[CONCEPTO mx]]="","",VLOOKUP(Tabla1[[#This Row],[CONCEPTO mx]],Tabla2[#All],2,0)),"")</f>
        <v/>
      </c>
      <c r="G2222" s="76" t="str">
        <f>IFERROR(IF(Tabla1[[#This Row],[CONCEPTO mx]]="","",VLOOKUP(Tabla1[[#This Row],[CONCEPTO mx]],Tabla2[#All],3,0)),"")</f>
        <v/>
      </c>
    </row>
    <row r="2223" spans="1:7" x14ac:dyDescent="0.25">
      <c r="A2223" s="51"/>
      <c r="F2223" s="76" t="str">
        <f>IFERROR(IF(Tabla1[[#This Row],[CONCEPTO mx]]="","",VLOOKUP(Tabla1[[#This Row],[CONCEPTO mx]],Tabla2[#All],2,0)),"")</f>
        <v/>
      </c>
      <c r="G2223" s="76" t="str">
        <f>IFERROR(IF(Tabla1[[#This Row],[CONCEPTO mx]]="","",VLOOKUP(Tabla1[[#This Row],[CONCEPTO mx]],Tabla2[#All],3,0)),"")</f>
        <v/>
      </c>
    </row>
    <row r="2224" spans="1:7" x14ac:dyDescent="0.25">
      <c r="A2224" s="51"/>
      <c r="F2224" s="76" t="str">
        <f>IFERROR(IF(Tabla1[[#This Row],[CONCEPTO mx]]="","",VLOOKUP(Tabla1[[#This Row],[CONCEPTO mx]],Tabla2[#All],2,0)),"")</f>
        <v/>
      </c>
      <c r="G2224" s="76" t="str">
        <f>IFERROR(IF(Tabla1[[#This Row],[CONCEPTO mx]]="","",VLOOKUP(Tabla1[[#This Row],[CONCEPTO mx]],Tabla2[#All],3,0)),"")</f>
        <v/>
      </c>
    </row>
    <row r="2225" spans="1:7" x14ac:dyDescent="0.25">
      <c r="A2225" s="51"/>
      <c r="F2225" s="76" t="str">
        <f>IFERROR(IF(Tabla1[[#This Row],[CONCEPTO mx]]="","",VLOOKUP(Tabla1[[#This Row],[CONCEPTO mx]],Tabla2[#All],2,0)),"")</f>
        <v/>
      </c>
      <c r="G2225" s="76" t="str">
        <f>IFERROR(IF(Tabla1[[#This Row],[CONCEPTO mx]]="","",VLOOKUP(Tabla1[[#This Row],[CONCEPTO mx]],Tabla2[#All],3,0)),"")</f>
        <v/>
      </c>
    </row>
    <row r="2226" spans="1:7" x14ac:dyDescent="0.25">
      <c r="A2226" s="51"/>
      <c r="F2226" s="76" t="str">
        <f>IFERROR(IF(Tabla1[[#This Row],[CONCEPTO mx]]="","",VLOOKUP(Tabla1[[#This Row],[CONCEPTO mx]],Tabla2[#All],2,0)),"")</f>
        <v/>
      </c>
      <c r="G2226" s="76" t="str">
        <f>IFERROR(IF(Tabla1[[#This Row],[CONCEPTO mx]]="","",VLOOKUP(Tabla1[[#This Row],[CONCEPTO mx]],Tabla2[#All],3,0)),"")</f>
        <v/>
      </c>
    </row>
    <row r="2227" spans="1:7" x14ac:dyDescent="0.25">
      <c r="A2227" s="51"/>
      <c r="F2227" s="76" t="str">
        <f>IFERROR(IF(Tabla1[[#This Row],[CONCEPTO mx]]="","",VLOOKUP(Tabla1[[#This Row],[CONCEPTO mx]],Tabla2[#All],2,0)),"")</f>
        <v/>
      </c>
      <c r="G2227" s="76" t="str">
        <f>IFERROR(IF(Tabla1[[#This Row],[CONCEPTO mx]]="","",VLOOKUP(Tabla1[[#This Row],[CONCEPTO mx]],Tabla2[#All],3,0)),"")</f>
        <v/>
      </c>
    </row>
    <row r="2228" spans="1:7" x14ac:dyDescent="0.25">
      <c r="A2228" s="51"/>
      <c r="F2228" s="76" t="str">
        <f>IFERROR(IF(Tabla1[[#This Row],[CONCEPTO mx]]="","",VLOOKUP(Tabla1[[#This Row],[CONCEPTO mx]],Tabla2[#All],2,0)),"")</f>
        <v/>
      </c>
      <c r="G2228" s="76" t="str">
        <f>IFERROR(IF(Tabla1[[#This Row],[CONCEPTO mx]]="","",VLOOKUP(Tabla1[[#This Row],[CONCEPTO mx]],Tabla2[#All],3,0)),"")</f>
        <v/>
      </c>
    </row>
    <row r="2229" spans="1:7" x14ac:dyDescent="0.25">
      <c r="A2229" s="51"/>
      <c r="F2229" s="76" t="str">
        <f>IFERROR(IF(Tabla1[[#This Row],[CONCEPTO mx]]="","",VLOOKUP(Tabla1[[#This Row],[CONCEPTO mx]],Tabla2[#All],2,0)),"")</f>
        <v/>
      </c>
      <c r="G2229" s="76" t="str">
        <f>IFERROR(IF(Tabla1[[#This Row],[CONCEPTO mx]]="","",VLOOKUP(Tabla1[[#This Row],[CONCEPTO mx]],Tabla2[#All],3,0)),"")</f>
        <v/>
      </c>
    </row>
    <row r="2230" spans="1:7" x14ac:dyDescent="0.25">
      <c r="A2230" s="51"/>
      <c r="F2230" s="76" t="str">
        <f>IFERROR(IF(Tabla1[[#This Row],[CONCEPTO mx]]="","",VLOOKUP(Tabla1[[#This Row],[CONCEPTO mx]],Tabla2[#All],2,0)),"")</f>
        <v/>
      </c>
      <c r="G2230" s="76" t="str">
        <f>IFERROR(IF(Tabla1[[#This Row],[CONCEPTO mx]]="","",VLOOKUP(Tabla1[[#This Row],[CONCEPTO mx]],Tabla2[#All],3,0)),"")</f>
        <v/>
      </c>
    </row>
    <row r="2231" spans="1:7" x14ac:dyDescent="0.25">
      <c r="A2231" s="51"/>
      <c r="F2231" s="76" t="str">
        <f>IFERROR(IF(Tabla1[[#This Row],[CONCEPTO mx]]="","",VLOOKUP(Tabla1[[#This Row],[CONCEPTO mx]],Tabla2[#All],2,0)),"")</f>
        <v/>
      </c>
      <c r="G2231" s="76" t="str">
        <f>IFERROR(IF(Tabla1[[#This Row],[CONCEPTO mx]]="","",VLOOKUP(Tabla1[[#This Row],[CONCEPTO mx]],Tabla2[#All],3,0)),"")</f>
        <v/>
      </c>
    </row>
    <row r="2232" spans="1:7" x14ac:dyDescent="0.25">
      <c r="A2232" s="51"/>
      <c r="F2232" s="76" t="str">
        <f>IFERROR(IF(Tabla1[[#This Row],[CONCEPTO mx]]="","",VLOOKUP(Tabla1[[#This Row],[CONCEPTO mx]],Tabla2[#All],2,0)),"")</f>
        <v/>
      </c>
      <c r="G2232" s="76" t="str">
        <f>IFERROR(IF(Tabla1[[#This Row],[CONCEPTO mx]]="","",VLOOKUP(Tabla1[[#This Row],[CONCEPTO mx]],Tabla2[#All],3,0)),"")</f>
        <v/>
      </c>
    </row>
    <row r="2233" spans="1:7" x14ac:dyDescent="0.25">
      <c r="A2233" s="51"/>
      <c r="F2233" s="76" t="str">
        <f>IFERROR(IF(Tabla1[[#This Row],[CONCEPTO mx]]="","",VLOOKUP(Tabla1[[#This Row],[CONCEPTO mx]],Tabla2[#All],2,0)),"")</f>
        <v/>
      </c>
      <c r="G2233" s="76" t="str">
        <f>IFERROR(IF(Tabla1[[#This Row],[CONCEPTO mx]]="","",VLOOKUP(Tabla1[[#This Row],[CONCEPTO mx]],Tabla2[#All],3,0)),"")</f>
        <v/>
      </c>
    </row>
    <row r="2234" spans="1:7" x14ac:dyDescent="0.25">
      <c r="A2234" s="51"/>
      <c r="F2234" s="76" t="str">
        <f>IFERROR(IF(Tabla1[[#This Row],[CONCEPTO mx]]="","",VLOOKUP(Tabla1[[#This Row],[CONCEPTO mx]],Tabla2[#All],2,0)),"")</f>
        <v/>
      </c>
      <c r="G2234" s="76" t="str">
        <f>IFERROR(IF(Tabla1[[#This Row],[CONCEPTO mx]]="","",VLOOKUP(Tabla1[[#This Row],[CONCEPTO mx]],Tabla2[#All],3,0)),"")</f>
        <v/>
      </c>
    </row>
    <row r="2235" spans="1:7" x14ac:dyDescent="0.25">
      <c r="A2235" s="51"/>
      <c r="F2235" s="76" t="str">
        <f>IFERROR(IF(Tabla1[[#This Row],[CONCEPTO mx]]="","",VLOOKUP(Tabla1[[#This Row],[CONCEPTO mx]],Tabla2[#All],2,0)),"")</f>
        <v/>
      </c>
      <c r="G2235" s="76" t="str">
        <f>IFERROR(IF(Tabla1[[#This Row],[CONCEPTO mx]]="","",VLOOKUP(Tabla1[[#This Row],[CONCEPTO mx]],Tabla2[#All],3,0)),"")</f>
        <v/>
      </c>
    </row>
    <row r="2236" spans="1:7" x14ac:dyDescent="0.25">
      <c r="A2236" s="51"/>
      <c r="F2236" s="76" t="str">
        <f>IFERROR(IF(Tabla1[[#This Row],[CONCEPTO mx]]="","",VLOOKUP(Tabla1[[#This Row],[CONCEPTO mx]],Tabla2[#All],2,0)),"")</f>
        <v/>
      </c>
      <c r="G2236" s="76" t="str">
        <f>IFERROR(IF(Tabla1[[#This Row],[CONCEPTO mx]]="","",VLOOKUP(Tabla1[[#This Row],[CONCEPTO mx]],Tabla2[#All],3,0)),"")</f>
        <v/>
      </c>
    </row>
    <row r="2237" spans="1:7" x14ac:dyDescent="0.25">
      <c r="A2237" s="51"/>
      <c r="F2237" s="76" t="str">
        <f>IFERROR(IF(Tabla1[[#This Row],[CONCEPTO mx]]="","",VLOOKUP(Tabla1[[#This Row],[CONCEPTO mx]],Tabla2[#All],2,0)),"")</f>
        <v/>
      </c>
      <c r="G2237" s="76" t="str">
        <f>IFERROR(IF(Tabla1[[#This Row],[CONCEPTO mx]]="","",VLOOKUP(Tabla1[[#This Row],[CONCEPTO mx]],Tabla2[#All],3,0)),"")</f>
        <v/>
      </c>
    </row>
    <row r="2238" spans="1:7" x14ac:dyDescent="0.25">
      <c r="A2238" s="51"/>
      <c r="F2238" s="76" t="str">
        <f>IFERROR(IF(Tabla1[[#This Row],[CONCEPTO mx]]="","",VLOOKUP(Tabla1[[#This Row],[CONCEPTO mx]],Tabla2[#All],2,0)),"")</f>
        <v/>
      </c>
      <c r="G2238" s="76" t="str">
        <f>IFERROR(IF(Tabla1[[#This Row],[CONCEPTO mx]]="","",VLOOKUP(Tabla1[[#This Row],[CONCEPTO mx]],Tabla2[#All],3,0)),"")</f>
        <v/>
      </c>
    </row>
    <row r="2239" spans="1:7" x14ac:dyDescent="0.25">
      <c r="A2239" s="51"/>
      <c r="F2239" s="76" t="str">
        <f>IFERROR(IF(Tabla1[[#This Row],[CONCEPTO mx]]="","",VLOOKUP(Tabla1[[#This Row],[CONCEPTO mx]],Tabla2[#All],2,0)),"")</f>
        <v/>
      </c>
      <c r="G2239" s="76" t="str">
        <f>IFERROR(IF(Tabla1[[#This Row],[CONCEPTO mx]]="","",VLOOKUP(Tabla1[[#This Row],[CONCEPTO mx]],Tabla2[#All],3,0)),"")</f>
        <v/>
      </c>
    </row>
    <row r="2240" spans="1:7" x14ac:dyDescent="0.25">
      <c r="A2240" s="51"/>
      <c r="F2240" s="76" t="str">
        <f>IFERROR(IF(Tabla1[[#This Row],[CONCEPTO mx]]="","",VLOOKUP(Tabla1[[#This Row],[CONCEPTO mx]],Tabla2[#All],2,0)),"")</f>
        <v/>
      </c>
      <c r="G2240" s="76" t="str">
        <f>IFERROR(IF(Tabla1[[#This Row],[CONCEPTO mx]]="","",VLOOKUP(Tabla1[[#This Row],[CONCEPTO mx]],Tabla2[#All],3,0)),"")</f>
        <v/>
      </c>
    </row>
    <row r="2241" spans="1:7" x14ac:dyDescent="0.25">
      <c r="A2241" s="51"/>
      <c r="F2241" s="76" t="str">
        <f>IFERROR(IF(Tabla1[[#This Row],[CONCEPTO mx]]="","",VLOOKUP(Tabla1[[#This Row],[CONCEPTO mx]],Tabla2[#All],2,0)),"")</f>
        <v/>
      </c>
      <c r="G2241" s="76" t="str">
        <f>IFERROR(IF(Tabla1[[#This Row],[CONCEPTO mx]]="","",VLOOKUP(Tabla1[[#This Row],[CONCEPTO mx]],Tabla2[#All],3,0)),"")</f>
        <v/>
      </c>
    </row>
    <row r="2242" spans="1:7" x14ac:dyDescent="0.25">
      <c r="A2242" s="51"/>
      <c r="F2242" s="76" t="str">
        <f>IFERROR(IF(Tabla1[[#This Row],[CONCEPTO mx]]="","",VLOOKUP(Tabla1[[#This Row],[CONCEPTO mx]],Tabla2[#All],2,0)),"")</f>
        <v/>
      </c>
      <c r="G2242" s="76" t="str">
        <f>IFERROR(IF(Tabla1[[#This Row],[CONCEPTO mx]]="","",VLOOKUP(Tabla1[[#This Row],[CONCEPTO mx]],Tabla2[#All],3,0)),"")</f>
        <v/>
      </c>
    </row>
    <row r="2243" spans="1:7" x14ac:dyDescent="0.25">
      <c r="A2243" s="51"/>
      <c r="F2243" s="76" t="str">
        <f>IFERROR(IF(Tabla1[[#This Row],[CONCEPTO mx]]="","",VLOOKUP(Tabla1[[#This Row],[CONCEPTO mx]],Tabla2[#All],2,0)),"")</f>
        <v/>
      </c>
      <c r="G2243" s="76" t="str">
        <f>IFERROR(IF(Tabla1[[#This Row],[CONCEPTO mx]]="","",VLOOKUP(Tabla1[[#This Row],[CONCEPTO mx]],Tabla2[#All],3,0)),"")</f>
        <v/>
      </c>
    </row>
    <row r="2244" spans="1:7" x14ac:dyDescent="0.25">
      <c r="A2244" s="51"/>
      <c r="F2244" s="76" t="str">
        <f>IFERROR(IF(Tabla1[[#This Row],[CONCEPTO mx]]="","",VLOOKUP(Tabla1[[#This Row],[CONCEPTO mx]],Tabla2[#All],2,0)),"")</f>
        <v/>
      </c>
      <c r="G2244" s="76" t="str">
        <f>IFERROR(IF(Tabla1[[#This Row],[CONCEPTO mx]]="","",VLOOKUP(Tabla1[[#This Row],[CONCEPTO mx]],Tabla2[#All],3,0)),"")</f>
        <v/>
      </c>
    </row>
    <row r="2245" spans="1:7" x14ac:dyDescent="0.25">
      <c r="A2245" s="51"/>
      <c r="F2245" s="76" t="str">
        <f>IFERROR(IF(Tabla1[[#This Row],[CONCEPTO mx]]="","",VLOOKUP(Tabla1[[#This Row],[CONCEPTO mx]],Tabla2[#All],2,0)),"")</f>
        <v/>
      </c>
      <c r="G2245" s="76" t="str">
        <f>IFERROR(IF(Tabla1[[#This Row],[CONCEPTO mx]]="","",VLOOKUP(Tabla1[[#This Row],[CONCEPTO mx]],Tabla2[#All],3,0)),"")</f>
        <v/>
      </c>
    </row>
    <row r="2246" spans="1:7" x14ac:dyDescent="0.25">
      <c r="A2246" s="51"/>
      <c r="F2246" s="76" t="str">
        <f>IFERROR(IF(Tabla1[[#This Row],[CONCEPTO mx]]="","",VLOOKUP(Tabla1[[#This Row],[CONCEPTO mx]],Tabla2[#All],2,0)),"")</f>
        <v/>
      </c>
      <c r="G2246" s="76" t="str">
        <f>IFERROR(IF(Tabla1[[#This Row],[CONCEPTO mx]]="","",VLOOKUP(Tabla1[[#This Row],[CONCEPTO mx]],Tabla2[#All],3,0)),"")</f>
        <v/>
      </c>
    </row>
    <row r="2247" spans="1:7" x14ac:dyDescent="0.25">
      <c r="A2247" s="51"/>
      <c r="F2247" s="76" t="str">
        <f>IFERROR(IF(Tabla1[[#This Row],[CONCEPTO mx]]="","",VLOOKUP(Tabla1[[#This Row],[CONCEPTO mx]],Tabla2[#All],2,0)),"")</f>
        <v/>
      </c>
      <c r="G2247" s="76" t="str">
        <f>IFERROR(IF(Tabla1[[#This Row],[CONCEPTO mx]]="","",VLOOKUP(Tabla1[[#This Row],[CONCEPTO mx]],Tabla2[#All],3,0)),"")</f>
        <v/>
      </c>
    </row>
    <row r="2248" spans="1:7" x14ac:dyDescent="0.25">
      <c r="A2248" s="51"/>
      <c r="F2248" s="76" t="str">
        <f>IFERROR(IF(Tabla1[[#This Row],[CONCEPTO mx]]="","",VLOOKUP(Tabla1[[#This Row],[CONCEPTO mx]],Tabla2[#All],2,0)),"")</f>
        <v/>
      </c>
      <c r="G2248" s="76" t="str">
        <f>IFERROR(IF(Tabla1[[#This Row],[CONCEPTO mx]]="","",VLOOKUP(Tabla1[[#This Row],[CONCEPTO mx]],Tabla2[#All],3,0)),"")</f>
        <v/>
      </c>
    </row>
    <row r="2249" spans="1:7" x14ac:dyDescent="0.25">
      <c r="A2249" s="51"/>
      <c r="F2249" s="76" t="str">
        <f>IFERROR(IF(Tabla1[[#This Row],[CONCEPTO mx]]="","",VLOOKUP(Tabla1[[#This Row],[CONCEPTO mx]],Tabla2[#All],2,0)),"")</f>
        <v/>
      </c>
      <c r="G2249" s="76" t="str">
        <f>IFERROR(IF(Tabla1[[#This Row],[CONCEPTO mx]]="","",VLOOKUP(Tabla1[[#This Row],[CONCEPTO mx]],Tabla2[#All],3,0)),"")</f>
        <v/>
      </c>
    </row>
    <row r="2250" spans="1:7" x14ac:dyDescent="0.25">
      <c r="A2250" s="51"/>
      <c r="F2250" s="76" t="str">
        <f>IFERROR(IF(Tabla1[[#This Row],[CONCEPTO mx]]="","",VLOOKUP(Tabla1[[#This Row],[CONCEPTO mx]],Tabla2[#All],2,0)),"")</f>
        <v/>
      </c>
      <c r="G2250" s="76" t="str">
        <f>IFERROR(IF(Tabla1[[#This Row],[CONCEPTO mx]]="","",VLOOKUP(Tabla1[[#This Row],[CONCEPTO mx]],Tabla2[#All],3,0)),"")</f>
        <v/>
      </c>
    </row>
    <row r="2251" spans="1:7" x14ac:dyDescent="0.25">
      <c r="A2251" s="51"/>
      <c r="F2251" s="76" t="str">
        <f>IFERROR(IF(Tabla1[[#This Row],[CONCEPTO mx]]="","",VLOOKUP(Tabla1[[#This Row],[CONCEPTO mx]],Tabla2[#All],2,0)),"")</f>
        <v/>
      </c>
      <c r="G2251" s="76" t="str">
        <f>IFERROR(IF(Tabla1[[#This Row],[CONCEPTO mx]]="","",VLOOKUP(Tabla1[[#This Row],[CONCEPTO mx]],Tabla2[#All],3,0)),"")</f>
        <v/>
      </c>
    </row>
    <row r="2252" spans="1:7" x14ac:dyDescent="0.25">
      <c r="A2252" s="51"/>
      <c r="F2252" s="76" t="str">
        <f>IFERROR(IF(Tabla1[[#This Row],[CONCEPTO mx]]="","",VLOOKUP(Tabla1[[#This Row],[CONCEPTO mx]],Tabla2[#All],2,0)),"")</f>
        <v/>
      </c>
      <c r="G2252" s="76" t="str">
        <f>IFERROR(IF(Tabla1[[#This Row],[CONCEPTO mx]]="","",VLOOKUP(Tabla1[[#This Row],[CONCEPTO mx]],Tabla2[#All],3,0)),"")</f>
        <v/>
      </c>
    </row>
    <row r="2253" spans="1:7" x14ac:dyDescent="0.25">
      <c r="A2253" s="51"/>
      <c r="F2253" s="76" t="str">
        <f>IFERROR(IF(Tabla1[[#This Row],[CONCEPTO mx]]="","",VLOOKUP(Tabla1[[#This Row],[CONCEPTO mx]],Tabla2[#All],2,0)),"")</f>
        <v/>
      </c>
      <c r="G2253" s="76" t="str">
        <f>IFERROR(IF(Tabla1[[#This Row],[CONCEPTO mx]]="","",VLOOKUP(Tabla1[[#This Row],[CONCEPTO mx]],Tabla2[#All],3,0)),"")</f>
        <v/>
      </c>
    </row>
    <row r="2254" spans="1:7" x14ac:dyDescent="0.25">
      <c r="A2254" s="51"/>
      <c r="F2254" s="76" t="str">
        <f>IFERROR(IF(Tabla1[[#This Row],[CONCEPTO mx]]="","",VLOOKUP(Tabla1[[#This Row],[CONCEPTO mx]],Tabla2[#All],2,0)),"")</f>
        <v/>
      </c>
      <c r="G2254" s="76" t="str">
        <f>IFERROR(IF(Tabla1[[#This Row],[CONCEPTO mx]]="","",VLOOKUP(Tabla1[[#This Row],[CONCEPTO mx]],Tabla2[#All],3,0)),"")</f>
        <v/>
      </c>
    </row>
    <row r="2255" spans="1:7" x14ac:dyDescent="0.25">
      <c r="A2255" s="51"/>
      <c r="F2255" s="76" t="str">
        <f>IFERROR(IF(Tabla1[[#This Row],[CONCEPTO mx]]="","",VLOOKUP(Tabla1[[#This Row],[CONCEPTO mx]],Tabla2[#All],2,0)),"")</f>
        <v/>
      </c>
      <c r="G2255" s="76" t="str">
        <f>IFERROR(IF(Tabla1[[#This Row],[CONCEPTO mx]]="","",VLOOKUP(Tabla1[[#This Row],[CONCEPTO mx]],Tabla2[#All],3,0)),"")</f>
        <v/>
      </c>
    </row>
    <row r="2256" spans="1:7" x14ac:dyDescent="0.25">
      <c r="A2256" s="51"/>
      <c r="F2256" s="76" t="str">
        <f>IFERROR(IF(Tabla1[[#This Row],[CONCEPTO mx]]="","",VLOOKUP(Tabla1[[#This Row],[CONCEPTO mx]],Tabla2[#All],2,0)),"")</f>
        <v/>
      </c>
      <c r="G2256" s="76" t="str">
        <f>IFERROR(IF(Tabla1[[#This Row],[CONCEPTO mx]]="","",VLOOKUP(Tabla1[[#This Row],[CONCEPTO mx]],Tabla2[#All],3,0)),"")</f>
        <v/>
      </c>
    </row>
    <row r="2257" spans="1:7" x14ac:dyDescent="0.25">
      <c r="A2257" s="51"/>
      <c r="F2257" s="76" t="str">
        <f>IFERROR(IF(Tabla1[[#This Row],[CONCEPTO mx]]="","",VLOOKUP(Tabla1[[#This Row],[CONCEPTO mx]],Tabla2[#All],2,0)),"")</f>
        <v/>
      </c>
      <c r="G2257" s="76" t="str">
        <f>IFERROR(IF(Tabla1[[#This Row],[CONCEPTO mx]]="","",VLOOKUP(Tabla1[[#This Row],[CONCEPTO mx]],Tabla2[#All],3,0)),"")</f>
        <v/>
      </c>
    </row>
    <row r="2258" spans="1:7" x14ac:dyDescent="0.25">
      <c r="A2258" s="51"/>
      <c r="F2258" s="76" t="str">
        <f>IFERROR(IF(Tabla1[[#This Row],[CONCEPTO mx]]="","",VLOOKUP(Tabla1[[#This Row],[CONCEPTO mx]],Tabla2[#All],2,0)),"")</f>
        <v/>
      </c>
      <c r="G2258" s="76" t="str">
        <f>IFERROR(IF(Tabla1[[#This Row],[CONCEPTO mx]]="","",VLOOKUP(Tabla1[[#This Row],[CONCEPTO mx]],Tabla2[#All],3,0)),"")</f>
        <v/>
      </c>
    </row>
    <row r="2259" spans="1:7" x14ac:dyDescent="0.25">
      <c r="A2259" s="51"/>
      <c r="F2259" s="76" t="str">
        <f>IFERROR(IF(Tabla1[[#This Row],[CONCEPTO mx]]="","",VLOOKUP(Tabla1[[#This Row],[CONCEPTO mx]],Tabla2[#All],2,0)),"")</f>
        <v/>
      </c>
      <c r="G2259" s="76" t="str">
        <f>IFERROR(IF(Tabla1[[#This Row],[CONCEPTO mx]]="","",VLOOKUP(Tabla1[[#This Row],[CONCEPTO mx]],Tabla2[#All],3,0)),"")</f>
        <v/>
      </c>
    </row>
    <row r="2260" spans="1:7" x14ac:dyDescent="0.25">
      <c r="A2260" s="51"/>
      <c r="F2260" s="76" t="str">
        <f>IFERROR(IF(Tabla1[[#This Row],[CONCEPTO mx]]="","",VLOOKUP(Tabla1[[#This Row],[CONCEPTO mx]],Tabla2[#All],2,0)),"")</f>
        <v/>
      </c>
      <c r="G2260" s="76" t="str">
        <f>IFERROR(IF(Tabla1[[#This Row],[CONCEPTO mx]]="","",VLOOKUP(Tabla1[[#This Row],[CONCEPTO mx]],Tabla2[#All],3,0)),"")</f>
        <v/>
      </c>
    </row>
    <row r="2261" spans="1:7" x14ac:dyDescent="0.25">
      <c r="A2261" s="51"/>
      <c r="F2261" s="76" t="str">
        <f>IFERROR(IF(Tabla1[[#This Row],[CONCEPTO mx]]="","",VLOOKUP(Tabla1[[#This Row],[CONCEPTO mx]],Tabla2[#All],2,0)),"")</f>
        <v/>
      </c>
      <c r="G2261" s="76" t="str">
        <f>IFERROR(IF(Tabla1[[#This Row],[CONCEPTO mx]]="","",VLOOKUP(Tabla1[[#This Row],[CONCEPTO mx]],Tabla2[#All],3,0)),"")</f>
        <v/>
      </c>
    </row>
    <row r="2262" spans="1:7" x14ac:dyDescent="0.25">
      <c r="A2262" s="51"/>
      <c r="F2262" s="76" t="str">
        <f>IFERROR(IF(Tabla1[[#This Row],[CONCEPTO mx]]="","",VLOOKUP(Tabla1[[#This Row],[CONCEPTO mx]],Tabla2[#All],2,0)),"")</f>
        <v/>
      </c>
      <c r="G2262" s="76" t="str">
        <f>IFERROR(IF(Tabla1[[#This Row],[CONCEPTO mx]]="","",VLOOKUP(Tabla1[[#This Row],[CONCEPTO mx]],Tabla2[#All],3,0)),"")</f>
        <v/>
      </c>
    </row>
    <row r="2263" spans="1:7" x14ac:dyDescent="0.25">
      <c r="A2263" s="51"/>
      <c r="F2263" s="76" t="str">
        <f>IFERROR(IF(Tabla1[[#This Row],[CONCEPTO mx]]="","",VLOOKUP(Tabla1[[#This Row],[CONCEPTO mx]],Tabla2[#All],2,0)),"")</f>
        <v/>
      </c>
      <c r="G2263" s="76" t="str">
        <f>IFERROR(IF(Tabla1[[#This Row],[CONCEPTO mx]]="","",VLOOKUP(Tabla1[[#This Row],[CONCEPTO mx]],Tabla2[#All],3,0)),"")</f>
        <v/>
      </c>
    </row>
    <row r="2264" spans="1:7" x14ac:dyDescent="0.25">
      <c r="A2264" s="51"/>
      <c r="F2264" s="76" t="str">
        <f>IFERROR(IF(Tabla1[[#This Row],[CONCEPTO mx]]="","",VLOOKUP(Tabla1[[#This Row],[CONCEPTO mx]],Tabla2[#All],2,0)),"")</f>
        <v/>
      </c>
      <c r="G2264" s="76" t="str">
        <f>IFERROR(IF(Tabla1[[#This Row],[CONCEPTO mx]]="","",VLOOKUP(Tabla1[[#This Row],[CONCEPTO mx]],Tabla2[#All],3,0)),"")</f>
        <v/>
      </c>
    </row>
    <row r="2265" spans="1:7" x14ac:dyDescent="0.25">
      <c r="A2265" s="51"/>
      <c r="F2265" s="76" t="str">
        <f>IFERROR(IF(Tabla1[[#This Row],[CONCEPTO mx]]="","",VLOOKUP(Tabla1[[#This Row],[CONCEPTO mx]],Tabla2[#All],2,0)),"")</f>
        <v/>
      </c>
      <c r="G2265" s="76" t="str">
        <f>IFERROR(IF(Tabla1[[#This Row],[CONCEPTO mx]]="","",VLOOKUP(Tabla1[[#This Row],[CONCEPTO mx]],Tabla2[#All],3,0)),"")</f>
        <v/>
      </c>
    </row>
    <row r="2266" spans="1:7" x14ac:dyDescent="0.25">
      <c r="A2266" s="51"/>
      <c r="F2266" s="76" t="str">
        <f>IFERROR(IF(Tabla1[[#This Row],[CONCEPTO mx]]="","",VLOOKUP(Tabla1[[#This Row],[CONCEPTO mx]],Tabla2[#All],2,0)),"")</f>
        <v/>
      </c>
      <c r="G2266" s="76" t="str">
        <f>IFERROR(IF(Tabla1[[#This Row],[CONCEPTO mx]]="","",VLOOKUP(Tabla1[[#This Row],[CONCEPTO mx]],Tabla2[#All],3,0)),"")</f>
        <v/>
      </c>
    </row>
    <row r="2267" spans="1:7" x14ac:dyDescent="0.25">
      <c r="A2267" s="51"/>
      <c r="F2267" s="76" t="str">
        <f>IFERROR(IF(Tabla1[[#This Row],[CONCEPTO mx]]="","",VLOOKUP(Tabla1[[#This Row],[CONCEPTO mx]],Tabla2[#All],2,0)),"")</f>
        <v/>
      </c>
      <c r="G2267" s="76" t="str">
        <f>IFERROR(IF(Tabla1[[#This Row],[CONCEPTO mx]]="","",VLOOKUP(Tabla1[[#This Row],[CONCEPTO mx]],Tabla2[#All],3,0)),"")</f>
        <v/>
      </c>
    </row>
    <row r="2268" spans="1:7" x14ac:dyDescent="0.25">
      <c r="A2268" s="51"/>
      <c r="F2268" s="76" t="str">
        <f>IFERROR(IF(Tabla1[[#This Row],[CONCEPTO mx]]="","",VLOOKUP(Tabla1[[#This Row],[CONCEPTO mx]],Tabla2[#All],2,0)),"")</f>
        <v/>
      </c>
      <c r="G2268" s="76" t="str">
        <f>IFERROR(IF(Tabla1[[#This Row],[CONCEPTO mx]]="","",VLOOKUP(Tabla1[[#This Row],[CONCEPTO mx]],Tabla2[#All],3,0)),"")</f>
        <v/>
      </c>
    </row>
    <row r="2269" spans="1:7" x14ac:dyDescent="0.25">
      <c r="A2269" s="51"/>
      <c r="F2269" s="76" t="str">
        <f>IFERROR(IF(Tabla1[[#This Row],[CONCEPTO mx]]="","",VLOOKUP(Tabla1[[#This Row],[CONCEPTO mx]],Tabla2[#All],2,0)),"")</f>
        <v/>
      </c>
      <c r="G2269" s="76" t="str">
        <f>IFERROR(IF(Tabla1[[#This Row],[CONCEPTO mx]]="","",VLOOKUP(Tabla1[[#This Row],[CONCEPTO mx]],Tabla2[#All],3,0)),"")</f>
        <v/>
      </c>
    </row>
    <row r="2270" spans="1:7" x14ac:dyDescent="0.25">
      <c r="A2270" s="51"/>
      <c r="F2270" s="76" t="str">
        <f>IFERROR(IF(Tabla1[[#This Row],[CONCEPTO mx]]="","",VLOOKUP(Tabla1[[#This Row],[CONCEPTO mx]],Tabla2[#All],2,0)),"")</f>
        <v/>
      </c>
      <c r="G2270" s="76" t="str">
        <f>IFERROR(IF(Tabla1[[#This Row],[CONCEPTO mx]]="","",VLOOKUP(Tabla1[[#This Row],[CONCEPTO mx]],Tabla2[#All],3,0)),"")</f>
        <v/>
      </c>
    </row>
    <row r="2271" spans="1:7" x14ac:dyDescent="0.25">
      <c r="A2271" s="51"/>
      <c r="F2271" s="76" t="str">
        <f>IFERROR(IF(Tabla1[[#This Row],[CONCEPTO mx]]="","",VLOOKUP(Tabla1[[#This Row],[CONCEPTO mx]],Tabla2[#All],2,0)),"")</f>
        <v/>
      </c>
      <c r="G2271" s="76" t="str">
        <f>IFERROR(IF(Tabla1[[#This Row],[CONCEPTO mx]]="","",VLOOKUP(Tabla1[[#This Row],[CONCEPTO mx]],Tabla2[#All],3,0)),"")</f>
        <v/>
      </c>
    </row>
    <row r="2272" spans="1:7" x14ac:dyDescent="0.25">
      <c r="A2272" s="51"/>
      <c r="F2272" s="76" t="str">
        <f>IFERROR(IF(Tabla1[[#This Row],[CONCEPTO mx]]="","",VLOOKUP(Tabla1[[#This Row],[CONCEPTO mx]],Tabla2[#All],2,0)),"")</f>
        <v/>
      </c>
      <c r="G2272" s="76" t="str">
        <f>IFERROR(IF(Tabla1[[#This Row],[CONCEPTO mx]]="","",VLOOKUP(Tabla1[[#This Row],[CONCEPTO mx]],Tabla2[#All],3,0)),"")</f>
        <v/>
      </c>
    </row>
    <row r="2273" spans="1:7" x14ac:dyDescent="0.25">
      <c r="A2273" s="51"/>
      <c r="F2273" s="76" t="str">
        <f>IFERROR(IF(Tabla1[[#This Row],[CONCEPTO mx]]="","",VLOOKUP(Tabla1[[#This Row],[CONCEPTO mx]],Tabla2[#All],2,0)),"")</f>
        <v/>
      </c>
      <c r="G2273" s="76" t="str">
        <f>IFERROR(IF(Tabla1[[#This Row],[CONCEPTO mx]]="","",VLOOKUP(Tabla1[[#This Row],[CONCEPTO mx]],Tabla2[#All],3,0)),"")</f>
        <v/>
      </c>
    </row>
    <row r="2274" spans="1:7" x14ac:dyDescent="0.25">
      <c r="A2274" s="51"/>
      <c r="F2274" s="76" t="str">
        <f>IFERROR(IF(Tabla1[[#This Row],[CONCEPTO mx]]="","",VLOOKUP(Tabla1[[#This Row],[CONCEPTO mx]],Tabla2[#All],2,0)),"")</f>
        <v/>
      </c>
      <c r="G2274" s="76" t="str">
        <f>IFERROR(IF(Tabla1[[#This Row],[CONCEPTO mx]]="","",VLOOKUP(Tabla1[[#This Row],[CONCEPTO mx]],Tabla2[#All],3,0)),"")</f>
        <v/>
      </c>
    </row>
    <row r="2275" spans="1:7" x14ac:dyDescent="0.25">
      <c r="A2275" s="51"/>
      <c r="F2275" s="76" t="str">
        <f>IFERROR(IF(Tabla1[[#This Row],[CONCEPTO mx]]="","",VLOOKUP(Tabla1[[#This Row],[CONCEPTO mx]],Tabla2[#All],2,0)),"")</f>
        <v/>
      </c>
      <c r="G2275" s="76" t="str">
        <f>IFERROR(IF(Tabla1[[#This Row],[CONCEPTO mx]]="","",VLOOKUP(Tabla1[[#This Row],[CONCEPTO mx]],Tabla2[#All],3,0)),"")</f>
        <v/>
      </c>
    </row>
    <row r="2276" spans="1:7" x14ac:dyDescent="0.25">
      <c r="A2276" s="51"/>
      <c r="F2276" s="76" t="str">
        <f>IFERROR(IF(Tabla1[[#This Row],[CONCEPTO mx]]="","",VLOOKUP(Tabla1[[#This Row],[CONCEPTO mx]],Tabla2[#All],2,0)),"")</f>
        <v/>
      </c>
      <c r="G2276" s="76" t="str">
        <f>IFERROR(IF(Tabla1[[#This Row],[CONCEPTO mx]]="","",VLOOKUP(Tabla1[[#This Row],[CONCEPTO mx]],Tabla2[#All],3,0)),"")</f>
        <v/>
      </c>
    </row>
    <row r="2277" spans="1:7" x14ac:dyDescent="0.25">
      <c r="A2277" s="51"/>
      <c r="F2277" s="76" t="str">
        <f>IFERROR(IF(Tabla1[[#This Row],[CONCEPTO mx]]="","",VLOOKUP(Tabla1[[#This Row],[CONCEPTO mx]],Tabla2[#All],2,0)),"")</f>
        <v/>
      </c>
      <c r="G2277" s="76" t="str">
        <f>IFERROR(IF(Tabla1[[#This Row],[CONCEPTO mx]]="","",VLOOKUP(Tabla1[[#This Row],[CONCEPTO mx]],Tabla2[#All],3,0)),"")</f>
        <v/>
      </c>
    </row>
    <row r="2278" spans="1:7" x14ac:dyDescent="0.25">
      <c r="A2278" s="51"/>
      <c r="F2278" s="76" t="str">
        <f>IFERROR(IF(Tabla1[[#This Row],[CONCEPTO mx]]="","",VLOOKUP(Tabla1[[#This Row],[CONCEPTO mx]],Tabla2[#All],2,0)),"")</f>
        <v/>
      </c>
      <c r="G2278" s="76" t="str">
        <f>IFERROR(IF(Tabla1[[#This Row],[CONCEPTO mx]]="","",VLOOKUP(Tabla1[[#This Row],[CONCEPTO mx]],Tabla2[#All],3,0)),"")</f>
        <v/>
      </c>
    </row>
    <row r="2279" spans="1:7" x14ac:dyDescent="0.25">
      <c r="A2279" s="51"/>
      <c r="F2279" s="76" t="str">
        <f>IFERROR(IF(Tabla1[[#This Row],[CONCEPTO mx]]="","",VLOOKUP(Tabla1[[#This Row],[CONCEPTO mx]],Tabla2[#All],2,0)),"")</f>
        <v/>
      </c>
      <c r="G2279" s="76" t="str">
        <f>IFERROR(IF(Tabla1[[#This Row],[CONCEPTO mx]]="","",VLOOKUP(Tabla1[[#This Row],[CONCEPTO mx]],Tabla2[#All],3,0)),"")</f>
        <v/>
      </c>
    </row>
    <row r="2280" spans="1:7" x14ac:dyDescent="0.25">
      <c r="A2280" s="51"/>
      <c r="F2280" s="76" t="str">
        <f>IFERROR(IF(Tabla1[[#This Row],[CONCEPTO mx]]="","",VLOOKUP(Tabla1[[#This Row],[CONCEPTO mx]],Tabla2[#All],2,0)),"")</f>
        <v/>
      </c>
      <c r="G2280" s="76" t="str">
        <f>IFERROR(IF(Tabla1[[#This Row],[CONCEPTO mx]]="","",VLOOKUP(Tabla1[[#This Row],[CONCEPTO mx]],Tabla2[#All],3,0)),"")</f>
        <v/>
      </c>
    </row>
    <row r="2281" spans="1:7" x14ac:dyDescent="0.25">
      <c r="A2281" s="51"/>
      <c r="F2281" s="76" t="str">
        <f>IFERROR(IF(Tabla1[[#This Row],[CONCEPTO mx]]="","",VLOOKUP(Tabla1[[#This Row],[CONCEPTO mx]],Tabla2[#All],2,0)),"")</f>
        <v/>
      </c>
      <c r="G2281" s="76" t="str">
        <f>IFERROR(IF(Tabla1[[#This Row],[CONCEPTO mx]]="","",VLOOKUP(Tabla1[[#This Row],[CONCEPTO mx]],Tabla2[#All],3,0)),"")</f>
        <v/>
      </c>
    </row>
    <row r="2282" spans="1:7" x14ac:dyDescent="0.25">
      <c r="A2282" s="51"/>
      <c r="F2282" s="76" t="str">
        <f>IFERROR(IF(Tabla1[[#This Row],[CONCEPTO mx]]="","",VLOOKUP(Tabla1[[#This Row],[CONCEPTO mx]],Tabla2[#All],2,0)),"")</f>
        <v/>
      </c>
      <c r="G2282" s="76" t="str">
        <f>IFERROR(IF(Tabla1[[#This Row],[CONCEPTO mx]]="","",VLOOKUP(Tabla1[[#This Row],[CONCEPTO mx]],Tabla2[#All],3,0)),"")</f>
        <v/>
      </c>
    </row>
    <row r="2283" spans="1:7" x14ac:dyDescent="0.25">
      <c r="A2283" s="51"/>
      <c r="F2283" s="76" t="str">
        <f>IFERROR(IF(Tabla1[[#This Row],[CONCEPTO mx]]="","",VLOOKUP(Tabla1[[#This Row],[CONCEPTO mx]],Tabla2[#All],2,0)),"")</f>
        <v/>
      </c>
      <c r="G2283" s="76" t="str">
        <f>IFERROR(IF(Tabla1[[#This Row],[CONCEPTO mx]]="","",VLOOKUP(Tabla1[[#This Row],[CONCEPTO mx]],Tabla2[#All],3,0)),"")</f>
        <v/>
      </c>
    </row>
    <row r="2284" spans="1:7" x14ac:dyDescent="0.25">
      <c r="A2284" s="51"/>
      <c r="F2284" s="76" t="str">
        <f>IFERROR(IF(Tabla1[[#This Row],[CONCEPTO mx]]="","",VLOOKUP(Tabla1[[#This Row],[CONCEPTO mx]],Tabla2[#All],2,0)),"")</f>
        <v/>
      </c>
      <c r="G2284" s="76" t="str">
        <f>IFERROR(IF(Tabla1[[#This Row],[CONCEPTO mx]]="","",VLOOKUP(Tabla1[[#This Row],[CONCEPTO mx]],Tabla2[#All],3,0)),"")</f>
        <v/>
      </c>
    </row>
    <row r="2285" spans="1:7" x14ac:dyDescent="0.25">
      <c r="A2285" s="51"/>
      <c r="F2285" s="76" t="str">
        <f>IFERROR(IF(Tabla1[[#This Row],[CONCEPTO mx]]="","",VLOOKUP(Tabla1[[#This Row],[CONCEPTO mx]],Tabla2[#All],2,0)),"")</f>
        <v/>
      </c>
      <c r="G2285" s="76" t="str">
        <f>IFERROR(IF(Tabla1[[#This Row],[CONCEPTO mx]]="","",VLOOKUP(Tabla1[[#This Row],[CONCEPTO mx]],Tabla2[#All],3,0)),"")</f>
        <v/>
      </c>
    </row>
    <row r="2286" spans="1:7" x14ac:dyDescent="0.25">
      <c r="A2286" s="51"/>
      <c r="F2286" s="76" t="str">
        <f>IFERROR(IF(Tabla1[[#This Row],[CONCEPTO mx]]="","",VLOOKUP(Tabla1[[#This Row],[CONCEPTO mx]],Tabla2[#All],2,0)),"")</f>
        <v/>
      </c>
      <c r="G2286" s="76" t="str">
        <f>IFERROR(IF(Tabla1[[#This Row],[CONCEPTO mx]]="","",VLOOKUP(Tabla1[[#This Row],[CONCEPTO mx]],Tabla2[#All],3,0)),"")</f>
        <v/>
      </c>
    </row>
    <row r="2287" spans="1:7" x14ac:dyDescent="0.25">
      <c r="A2287" s="51"/>
      <c r="F2287" s="76" t="str">
        <f>IFERROR(IF(Tabla1[[#This Row],[CONCEPTO mx]]="","",VLOOKUP(Tabla1[[#This Row],[CONCEPTO mx]],Tabla2[#All],2,0)),"")</f>
        <v/>
      </c>
      <c r="G2287" s="76" t="str">
        <f>IFERROR(IF(Tabla1[[#This Row],[CONCEPTO mx]]="","",VLOOKUP(Tabla1[[#This Row],[CONCEPTO mx]],Tabla2[#All],3,0)),"")</f>
        <v/>
      </c>
    </row>
    <row r="2288" spans="1:7" x14ac:dyDescent="0.25">
      <c r="A2288" s="51"/>
      <c r="F2288" s="76" t="str">
        <f>IFERROR(IF(Tabla1[[#This Row],[CONCEPTO mx]]="","",VLOOKUP(Tabla1[[#This Row],[CONCEPTO mx]],Tabla2[#All],2,0)),"")</f>
        <v/>
      </c>
      <c r="G2288" s="76" t="str">
        <f>IFERROR(IF(Tabla1[[#This Row],[CONCEPTO mx]]="","",VLOOKUP(Tabla1[[#This Row],[CONCEPTO mx]],Tabla2[#All],3,0)),"")</f>
        <v/>
      </c>
    </row>
    <row r="2289" spans="1:7" x14ac:dyDescent="0.25">
      <c r="A2289" s="51"/>
      <c r="F2289" s="76" t="str">
        <f>IFERROR(IF(Tabla1[[#This Row],[CONCEPTO mx]]="","",VLOOKUP(Tabla1[[#This Row],[CONCEPTO mx]],Tabla2[#All],2,0)),"")</f>
        <v/>
      </c>
      <c r="G2289" s="76" t="str">
        <f>IFERROR(IF(Tabla1[[#This Row],[CONCEPTO mx]]="","",VLOOKUP(Tabla1[[#This Row],[CONCEPTO mx]],Tabla2[#All],3,0)),"")</f>
        <v/>
      </c>
    </row>
    <row r="2290" spans="1:7" x14ac:dyDescent="0.25">
      <c r="A2290" s="51"/>
      <c r="F2290" s="76" t="str">
        <f>IFERROR(IF(Tabla1[[#This Row],[CONCEPTO mx]]="","",VLOOKUP(Tabla1[[#This Row],[CONCEPTO mx]],Tabla2[#All],2,0)),"")</f>
        <v/>
      </c>
      <c r="G2290" s="76" t="str">
        <f>IFERROR(IF(Tabla1[[#This Row],[CONCEPTO mx]]="","",VLOOKUP(Tabla1[[#This Row],[CONCEPTO mx]],Tabla2[#All],3,0)),"")</f>
        <v/>
      </c>
    </row>
    <row r="2291" spans="1:7" x14ac:dyDescent="0.25">
      <c r="A2291" s="51"/>
      <c r="F2291" s="76" t="str">
        <f>IFERROR(IF(Tabla1[[#This Row],[CONCEPTO mx]]="","",VLOOKUP(Tabla1[[#This Row],[CONCEPTO mx]],Tabla2[#All],2,0)),"")</f>
        <v/>
      </c>
      <c r="G2291" s="76" t="str">
        <f>IFERROR(IF(Tabla1[[#This Row],[CONCEPTO mx]]="","",VLOOKUP(Tabla1[[#This Row],[CONCEPTO mx]],Tabla2[#All],3,0)),"")</f>
        <v/>
      </c>
    </row>
    <row r="2292" spans="1:7" x14ac:dyDescent="0.25">
      <c r="A2292" s="51"/>
      <c r="F2292" s="76" t="str">
        <f>IFERROR(IF(Tabla1[[#This Row],[CONCEPTO mx]]="","",VLOOKUP(Tabla1[[#This Row],[CONCEPTO mx]],Tabla2[#All],2,0)),"")</f>
        <v/>
      </c>
      <c r="G2292" s="76" t="str">
        <f>IFERROR(IF(Tabla1[[#This Row],[CONCEPTO mx]]="","",VLOOKUP(Tabla1[[#This Row],[CONCEPTO mx]],Tabla2[#All],3,0)),"")</f>
        <v/>
      </c>
    </row>
    <row r="2293" spans="1:7" x14ac:dyDescent="0.25">
      <c r="A2293" s="51"/>
      <c r="F2293" s="76" t="str">
        <f>IFERROR(IF(Tabla1[[#This Row],[CONCEPTO mx]]="","",VLOOKUP(Tabla1[[#This Row],[CONCEPTO mx]],Tabla2[#All],2,0)),"")</f>
        <v/>
      </c>
      <c r="G2293" s="76" t="str">
        <f>IFERROR(IF(Tabla1[[#This Row],[CONCEPTO mx]]="","",VLOOKUP(Tabla1[[#This Row],[CONCEPTO mx]],Tabla2[#All],3,0)),"")</f>
        <v/>
      </c>
    </row>
    <row r="2294" spans="1:7" x14ac:dyDescent="0.25">
      <c r="A2294" s="51"/>
      <c r="F2294" s="76" t="str">
        <f>IFERROR(IF(Tabla1[[#This Row],[CONCEPTO mx]]="","",VLOOKUP(Tabla1[[#This Row],[CONCEPTO mx]],Tabla2[#All],2,0)),"")</f>
        <v/>
      </c>
      <c r="G2294" s="76" t="str">
        <f>IFERROR(IF(Tabla1[[#This Row],[CONCEPTO mx]]="","",VLOOKUP(Tabla1[[#This Row],[CONCEPTO mx]],Tabla2[#All],3,0)),"")</f>
        <v/>
      </c>
    </row>
    <row r="2295" spans="1:7" x14ac:dyDescent="0.25">
      <c r="A2295" s="51"/>
      <c r="F2295" s="76" t="str">
        <f>IFERROR(IF(Tabla1[[#This Row],[CONCEPTO mx]]="","",VLOOKUP(Tabla1[[#This Row],[CONCEPTO mx]],Tabla2[#All],2,0)),"")</f>
        <v/>
      </c>
      <c r="G2295" s="76" t="str">
        <f>IFERROR(IF(Tabla1[[#This Row],[CONCEPTO mx]]="","",VLOOKUP(Tabla1[[#This Row],[CONCEPTO mx]],Tabla2[#All],3,0)),"")</f>
        <v/>
      </c>
    </row>
    <row r="2296" spans="1:7" x14ac:dyDescent="0.25">
      <c r="A2296" s="51"/>
      <c r="F2296" s="76" t="str">
        <f>IFERROR(IF(Tabla1[[#This Row],[CONCEPTO mx]]="","",VLOOKUP(Tabla1[[#This Row],[CONCEPTO mx]],Tabla2[#All],2,0)),"")</f>
        <v/>
      </c>
      <c r="G2296" s="76" t="str">
        <f>IFERROR(IF(Tabla1[[#This Row],[CONCEPTO mx]]="","",VLOOKUP(Tabla1[[#This Row],[CONCEPTO mx]],Tabla2[#All],3,0)),"")</f>
        <v/>
      </c>
    </row>
    <row r="2297" spans="1:7" x14ac:dyDescent="0.25">
      <c r="A2297" s="51"/>
      <c r="F2297" s="76" t="str">
        <f>IFERROR(IF(Tabla1[[#This Row],[CONCEPTO mx]]="","",VLOOKUP(Tabla1[[#This Row],[CONCEPTO mx]],Tabla2[#All],2,0)),"")</f>
        <v/>
      </c>
      <c r="G2297" s="76" t="str">
        <f>IFERROR(IF(Tabla1[[#This Row],[CONCEPTO mx]]="","",VLOOKUP(Tabla1[[#This Row],[CONCEPTO mx]],Tabla2[#All],3,0)),"")</f>
        <v/>
      </c>
    </row>
    <row r="2298" spans="1:7" x14ac:dyDescent="0.25">
      <c r="A2298" s="51"/>
      <c r="F2298" s="76" t="str">
        <f>IFERROR(IF(Tabla1[[#This Row],[CONCEPTO mx]]="","",VLOOKUP(Tabla1[[#This Row],[CONCEPTO mx]],Tabla2[#All],2,0)),"")</f>
        <v/>
      </c>
      <c r="G2298" s="76" t="str">
        <f>IFERROR(IF(Tabla1[[#This Row],[CONCEPTO mx]]="","",VLOOKUP(Tabla1[[#This Row],[CONCEPTO mx]],Tabla2[#All],3,0)),"")</f>
        <v/>
      </c>
    </row>
    <row r="2299" spans="1:7" x14ac:dyDescent="0.25">
      <c r="A2299" s="51"/>
      <c r="F2299" s="76" t="str">
        <f>IFERROR(IF(Tabla1[[#This Row],[CONCEPTO mx]]="","",VLOOKUP(Tabla1[[#This Row],[CONCEPTO mx]],Tabla2[#All],2,0)),"")</f>
        <v/>
      </c>
      <c r="G2299" s="76" t="str">
        <f>IFERROR(IF(Tabla1[[#This Row],[CONCEPTO mx]]="","",VLOOKUP(Tabla1[[#This Row],[CONCEPTO mx]],Tabla2[#All],3,0)),"")</f>
        <v/>
      </c>
    </row>
    <row r="2300" spans="1:7" x14ac:dyDescent="0.25">
      <c r="A2300" s="51"/>
      <c r="F2300" s="76" t="str">
        <f>IFERROR(IF(Tabla1[[#This Row],[CONCEPTO mx]]="","",VLOOKUP(Tabla1[[#This Row],[CONCEPTO mx]],Tabla2[#All],2,0)),"")</f>
        <v/>
      </c>
      <c r="G2300" s="76" t="str">
        <f>IFERROR(IF(Tabla1[[#This Row],[CONCEPTO mx]]="","",VLOOKUP(Tabla1[[#This Row],[CONCEPTO mx]],Tabla2[#All],3,0)),"")</f>
        <v/>
      </c>
    </row>
    <row r="2301" spans="1:7" x14ac:dyDescent="0.25">
      <c r="A2301" s="51"/>
      <c r="F2301" s="76" t="str">
        <f>IFERROR(IF(Tabla1[[#This Row],[CONCEPTO mx]]="","",VLOOKUP(Tabla1[[#This Row],[CONCEPTO mx]],Tabla2[#All],2,0)),"")</f>
        <v/>
      </c>
      <c r="G2301" s="76" t="str">
        <f>IFERROR(IF(Tabla1[[#This Row],[CONCEPTO mx]]="","",VLOOKUP(Tabla1[[#This Row],[CONCEPTO mx]],Tabla2[#All],3,0)),"")</f>
        <v/>
      </c>
    </row>
    <row r="2302" spans="1:7" x14ac:dyDescent="0.25">
      <c r="A2302" s="51"/>
      <c r="F2302" s="76" t="str">
        <f>IFERROR(IF(Tabla1[[#This Row],[CONCEPTO mx]]="","",VLOOKUP(Tabla1[[#This Row],[CONCEPTO mx]],Tabla2[#All],2,0)),"")</f>
        <v/>
      </c>
      <c r="G2302" s="76" t="str">
        <f>IFERROR(IF(Tabla1[[#This Row],[CONCEPTO mx]]="","",VLOOKUP(Tabla1[[#This Row],[CONCEPTO mx]],Tabla2[#All],3,0)),"")</f>
        <v/>
      </c>
    </row>
    <row r="2303" spans="1:7" x14ac:dyDescent="0.25">
      <c r="A2303" s="51"/>
      <c r="F2303" s="76" t="str">
        <f>IFERROR(IF(Tabla1[[#This Row],[CONCEPTO mx]]="","",VLOOKUP(Tabla1[[#This Row],[CONCEPTO mx]],Tabla2[#All],2,0)),"")</f>
        <v/>
      </c>
      <c r="G2303" s="76" t="str">
        <f>IFERROR(IF(Tabla1[[#This Row],[CONCEPTO mx]]="","",VLOOKUP(Tabla1[[#This Row],[CONCEPTO mx]],Tabla2[#All],3,0)),"")</f>
        <v/>
      </c>
    </row>
    <row r="2304" spans="1:7" x14ac:dyDescent="0.25">
      <c r="A2304" s="51"/>
      <c r="F2304" s="76" t="str">
        <f>IFERROR(IF(Tabla1[[#This Row],[CONCEPTO mx]]="","",VLOOKUP(Tabla1[[#This Row],[CONCEPTO mx]],Tabla2[#All],2,0)),"")</f>
        <v/>
      </c>
      <c r="G2304" s="76" t="str">
        <f>IFERROR(IF(Tabla1[[#This Row],[CONCEPTO mx]]="","",VLOOKUP(Tabla1[[#This Row],[CONCEPTO mx]],Tabla2[#All],3,0)),"")</f>
        <v/>
      </c>
    </row>
    <row r="2305" spans="1:7" x14ac:dyDescent="0.25">
      <c r="A2305" s="51"/>
      <c r="F2305" s="76" t="str">
        <f>IFERROR(IF(Tabla1[[#This Row],[CONCEPTO mx]]="","",VLOOKUP(Tabla1[[#This Row],[CONCEPTO mx]],Tabla2[#All],2,0)),"")</f>
        <v/>
      </c>
      <c r="G2305" s="76" t="str">
        <f>IFERROR(IF(Tabla1[[#This Row],[CONCEPTO mx]]="","",VLOOKUP(Tabla1[[#This Row],[CONCEPTO mx]],Tabla2[#All],3,0)),"")</f>
        <v/>
      </c>
    </row>
    <row r="2306" spans="1:7" x14ac:dyDescent="0.25">
      <c r="A2306" s="51"/>
      <c r="F2306" s="76" t="str">
        <f>IFERROR(IF(Tabla1[[#This Row],[CONCEPTO mx]]="","",VLOOKUP(Tabla1[[#This Row],[CONCEPTO mx]],Tabla2[#All],2,0)),"")</f>
        <v/>
      </c>
      <c r="G2306" s="76" t="str">
        <f>IFERROR(IF(Tabla1[[#This Row],[CONCEPTO mx]]="","",VLOOKUP(Tabla1[[#This Row],[CONCEPTO mx]],Tabla2[#All],3,0)),"")</f>
        <v/>
      </c>
    </row>
    <row r="2307" spans="1:7" x14ac:dyDescent="0.25">
      <c r="A2307" s="51"/>
      <c r="F2307" s="76" t="str">
        <f>IFERROR(IF(Tabla1[[#This Row],[CONCEPTO mx]]="","",VLOOKUP(Tabla1[[#This Row],[CONCEPTO mx]],Tabla2[#All],2,0)),"")</f>
        <v/>
      </c>
      <c r="G2307" s="76" t="str">
        <f>IFERROR(IF(Tabla1[[#This Row],[CONCEPTO mx]]="","",VLOOKUP(Tabla1[[#This Row],[CONCEPTO mx]],Tabla2[#All],3,0)),"")</f>
        <v/>
      </c>
    </row>
    <row r="2308" spans="1:7" x14ac:dyDescent="0.25">
      <c r="A2308" s="51"/>
      <c r="F2308" s="76" t="str">
        <f>IFERROR(IF(Tabla1[[#This Row],[CONCEPTO mx]]="","",VLOOKUP(Tabla1[[#This Row],[CONCEPTO mx]],Tabla2[#All],2,0)),"")</f>
        <v/>
      </c>
      <c r="G2308" s="76" t="str">
        <f>IFERROR(IF(Tabla1[[#This Row],[CONCEPTO mx]]="","",VLOOKUP(Tabla1[[#This Row],[CONCEPTO mx]],Tabla2[#All],3,0)),"")</f>
        <v/>
      </c>
    </row>
    <row r="2309" spans="1:7" x14ac:dyDescent="0.25">
      <c r="A2309" s="51"/>
      <c r="F2309" s="76" t="str">
        <f>IFERROR(IF(Tabla1[[#This Row],[CONCEPTO mx]]="","",VLOOKUP(Tabla1[[#This Row],[CONCEPTO mx]],Tabla2[#All],2,0)),"")</f>
        <v/>
      </c>
      <c r="G2309" s="76" t="str">
        <f>IFERROR(IF(Tabla1[[#This Row],[CONCEPTO mx]]="","",VLOOKUP(Tabla1[[#This Row],[CONCEPTO mx]],Tabla2[#All],3,0)),"")</f>
        <v/>
      </c>
    </row>
    <row r="2310" spans="1:7" x14ac:dyDescent="0.25">
      <c r="A2310" s="51"/>
      <c r="F2310" s="76" t="str">
        <f>IFERROR(IF(Tabla1[[#This Row],[CONCEPTO mx]]="","",VLOOKUP(Tabla1[[#This Row],[CONCEPTO mx]],Tabla2[#All],2,0)),"")</f>
        <v/>
      </c>
      <c r="G2310" s="76" t="str">
        <f>IFERROR(IF(Tabla1[[#This Row],[CONCEPTO mx]]="","",VLOOKUP(Tabla1[[#This Row],[CONCEPTO mx]],Tabla2[#All],3,0)),"")</f>
        <v/>
      </c>
    </row>
    <row r="2311" spans="1:7" x14ac:dyDescent="0.25">
      <c r="A2311" s="51"/>
      <c r="F2311" s="76" t="str">
        <f>IFERROR(IF(Tabla1[[#This Row],[CONCEPTO mx]]="","",VLOOKUP(Tabla1[[#This Row],[CONCEPTO mx]],Tabla2[#All],2,0)),"")</f>
        <v/>
      </c>
      <c r="G2311" s="76" t="str">
        <f>IFERROR(IF(Tabla1[[#This Row],[CONCEPTO mx]]="","",VLOOKUP(Tabla1[[#This Row],[CONCEPTO mx]],Tabla2[#All],3,0)),"")</f>
        <v/>
      </c>
    </row>
    <row r="2312" spans="1:7" x14ac:dyDescent="0.25">
      <c r="A2312" s="51"/>
      <c r="F2312" s="76" t="str">
        <f>IFERROR(IF(Tabla1[[#This Row],[CONCEPTO mx]]="","",VLOOKUP(Tabla1[[#This Row],[CONCEPTO mx]],Tabla2[#All],2,0)),"")</f>
        <v/>
      </c>
      <c r="G2312" s="76" t="str">
        <f>IFERROR(IF(Tabla1[[#This Row],[CONCEPTO mx]]="","",VLOOKUP(Tabla1[[#This Row],[CONCEPTO mx]],Tabla2[#All],3,0)),"")</f>
        <v/>
      </c>
    </row>
    <row r="2313" spans="1:7" x14ac:dyDescent="0.25">
      <c r="A2313" s="51"/>
      <c r="F2313" s="76" t="str">
        <f>IFERROR(IF(Tabla1[[#This Row],[CONCEPTO mx]]="","",VLOOKUP(Tabla1[[#This Row],[CONCEPTO mx]],Tabla2[#All],2,0)),"")</f>
        <v/>
      </c>
      <c r="G2313" s="76" t="str">
        <f>IFERROR(IF(Tabla1[[#This Row],[CONCEPTO mx]]="","",VLOOKUP(Tabla1[[#This Row],[CONCEPTO mx]],Tabla2[#All],3,0)),"")</f>
        <v/>
      </c>
    </row>
    <row r="2314" spans="1:7" x14ac:dyDescent="0.25">
      <c r="A2314" s="51"/>
      <c r="F2314" s="76" t="str">
        <f>IFERROR(IF(Tabla1[[#This Row],[CONCEPTO mx]]="","",VLOOKUP(Tabla1[[#This Row],[CONCEPTO mx]],Tabla2[#All],2,0)),"")</f>
        <v/>
      </c>
      <c r="G2314" s="76" t="str">
        <f>IFERROR(IF(Tabla1[[#This Row],[CONCEPTO mx]]="","",VLOOKUP(Tabla1[[#This Row],[CONCEPTO mx]],Tabla2[#All],3,0)),"")</f>
        <v/>
      </c>
    </row>
    <row r="2315" spans="1:7" x14ac:dyDescent="0.25">
      <c r="A2315" s="51"/>
      <c r="F2315" s="76" t="str">
        <f>IFERROR(IF(Tabla1[[#This Row],[CONCEPTO mx]]="","",VLOOKUP(Tabla1[[#This Row],[CONCEPTO mx]],Tabla2[#All],2,0)),"")</f>
        <v/>
      </c>
      <c r="G2315" s="76" t="str">
        <f>IFERROR(IF(Tabla1[[#This Row],[CONCEPTO mx]]="","",VLOOKUP(Tabla1[[#This Row],[CONCEPTO mx]],Tabla2[#All],3,0)),"")</f>
        <v/>
      </c>
    </row>
    <row r="2316" spans="1:7" x14ac:dyDescent="0.25">
      <c r="A2316" s="51"/>
      <c r="F2316" s="76" t="str">
        <f>IFERROR(IF(Tabla1[[#This Row],[CONCEPTO mx]]="","",VLOOKUP(Tabla1[[#This Row],[CONCEPTO mx]],Tabla2[#All],2,0)),"")</f>
        <v/>
      </c>
      <c r="G2316" s="76" t="str">
        <f>IFERROR(IF(Tabla1[[#This Row],[CONCEPTO mx]]="","",VLOOKUP(Tabla1[[#This Row],[CONCEPTO mx]],Tabla2[#All],3,0)),"")</f>
        <v/>
      </c>
    </row>
    <row r="2317" spans="1:7" x14ac:dyDescent="0.25">
      <c r="A2317" s="51"/>
      <c r="F2317" s="76" t="str">
        <f>IFERROR(IF(Tabla1[[#This Row],[CONCEPTO mx]]="","",VLOOKUP(Tabla1[[#This Row],[CONCEPTO mx]],Tabla2[#All],2,0)),"")</f>
        <v/>
      </c>
      <c r="G2317" s="76" t="str">
        <f>IFERROR(IF(Tabla1[[#This Row],[CONCEPTO mx]]="","",VLOOKUP(Tabla1[[#This Row],[CONCEPTO mx]],Tabla2[#All],3,0)),"")</f>
        <v/>
      </c>
    </row>
    <row r="2318" spans="1:7" x14ac:dyDescent="0.25">
      <c r="A2318" s="51"/>
      <c r="F2318" s="76" t="str">
        <f>IFERROR(IF(Tabla1[[#This Row],[CONCEPTO mx]]="","",VLOOKUP(Tabla1[[#This Row],[CONCEPTO mx]],Tabla2[#All],2,0)),"")</f>
        <v/>
      </c>
      <c r="G2318" s="76" t="str">
        <f>IFERROR(IF(Tabla1[[#This Row],[CONCEPTO mx]]="","",VLOOKUP(Tabla1[[#This Row],[CONCEPTO mx]],Tabla2[#All],3,0)),"")</f>
        <v/>
      </c>
    </row>
    <row r="2319" spans="1:7" x14ac:dyDescent="0.25">
      <c r="A2319" s="51"/>
      <c r="F2319" s="76" t="str">
        <f>IFERROR(IF(Tabla1[[#This Row],[CONCEPTO mx]]="","",VLOOKUP(Tabla1[[#This Row],[CONCEPTO mx]],Tabla2[#All],2,0)),"")</f>
        <v/>
      </c>
      <c r="G2319" s="76" t="str">
        <f>IFERROR(IF(Tabla1[[#This Row],[CONCEPTO mx]]="","",VLOOKUP(Tabla1[[#This Row],[CONCEPTO mx]],Tabla2[#All],3,0)),"")</f>
        <v/>
      </c>
    </row>
    <row r="2320" spans="1:7" x14ac:dyDescent="0.25">
      <c r="A2320" s="51"/>
      <c r="F2320" s="76" t="str">
        <f>IFERROR(IF(Tabla1[[#This Row],[CONCEPTO mx]]="","",VLOOKUP(Tabla1[[#This Row],[CONCEPTO mx]],Tabla2[#All],2,0)),"")</f>
        <v/>
      </c>
      <c r="G2320" s="76" t="str">
        <f>IFERROR(IF(Tabla1[[#This Row],[CONCEPTO mx]]="","",VLOOKUP(Tabla1[[#This Row],[CONCEPTO mx]],Tabla2[#All],3,0)),"")</f>
        <v/>
      </c>
    </row>
    <row r="2321" spans="1:7" x14ac:dyDescent="0.25">
      <c r="A2321" s="51"/>
      <c r="F2321" s="76" t="str">
        <f>IFERROR(IF(Tabla1[[#This Row],[CONCEPTO mx]]="","",VLOOKUP(Tabla1[[#This Row],[CONCEPTO mx]],Tabla2[#All],2,0)),"")</f>
        <v/>
      </c>
      <c r="G2321" s="76" t="str">
        <f>IFERROR(IF(Tabla1[[#This Row],[CONCEPTO mx]]="","",VLOOKUP(Tabla1[[#This Row],[CONCEPTO mx]],Tabla2[#All],3,0)),"")</f>
        <v/>
      </c>
    </row>
    <row r="2322" spans="1:7" x14ac:dyDescent="0.25">
      <c r="A2322" s="51"/>
      <c r="F2322" s="76" t="str">
        <f>IFERROR(IF(Tabla1[[#This Row],[CONCEPTO mx]]="","",VLOOKUP(Tabla1[[#This Row],[CONCEPTO mx]],Tabla2[#All],2,0)),"")</f>
        <v/>
      </c>
      <c r="G2322" s="76" t="str">
        <f>IFERROR(IF(Tabla1[[#This Row],[CONCEPTO mx]]="","",VLOOKUP(Tabla1[[#This Row],[CONCEPTO mx]],Tabla2[#All],3,0)),"")</f>
        <v/>
      </c>
    </row>
    <row r="2323" spans="1:7" x14ac:dyDescent="0.25">
      <c r="A2323" s="51"/>
      <c r="F2323" s="76" t="str">
        <f>IFERROR(IF(Tabla1[[#This Row],[CONCEPTO mx]]="","",VLOOKUP(Tabla1[[#This Row],[CONCEPTO mx]],Tabla2[#All],2,0)),"")</f>
        <v/>
      </c>
      <c r="G2323" s="76" t="str">
        <f>IFERROR(IF(Tabla1[[#This Row],[CONCEPTO mx]]="","",VLOOKUP(Tabla1[[#This Row],[CONCEPTO mx]],Tabla2[#All],3,0)),"")</f>
        <v/>
      </c>
    </row>
    <row r="2324" spans="1:7" x14ac:dyDescent="0.25">
      <c r="A2324" s="51"/>
      <c r="F2324" s="76" t="str">
        <f>IFERROR(IF(Tabla1[[#This Row],[CONCEPTO mx]]="","",VLOOKUP(Tabla1[[#This Row],[CONCEPTO mx]],Tabla2[#All],2,0)),"")</f>
        <v/>
      </c>
      <c r="G2324" s="76" t="str">
        <f>IFERROR(IF(Tabla1[[#This Row],[CONCEPTO mx]]="","",VLOOKUP(Tabla1[[#This Row],[CONCEPTO mx]],Tabla2[#All],3,0)),"")</f>
        <v/>
      </c>
    </row>
    <row r="2325" spans="1:7" x14ac:dyDescent="0.25">
      <c r="A2325" s="51"/>
      <c r="F2325" s="76" t="str">
        <f>IFERROR(IF(Tabla1[[#This Row],[CONCEPTO mx]]="","",VLOOKUP(Tabla1[[#This Row],[CONCEPTO mx]],Tabla2[#All],2,0)),"")</f>
        <v/>
      </c>
      <c r="G2325" s="76" t="str">
        <f>IFERROR(IF(Tabla1[[#This Row],[CONCEPTO mx]]="","",VLOOKUP(Tabla1[[#This Row],[CONCEPTO mx]],Tabla2[#All],3,0)),"")</f>
        <v/>
      </c>
    </row>
    <row r="2326" spans="1:7" x14ac:dyDescent="0.25">
      <c r="A2326" s="51"/>
      <c r="F2326" s="76" t="str">
        <f>IFERROR(IF(Tabla1[[#This Row],[CONCEPTO mx]]="","",VLOOKUP(Tabla1[[#This Row],[CONCEPTO mx]],Tabla2[#All],2,0)),"")</f>
        <v/>
      </c>
      <c r="G2326" s="76" t="str">
        <f>IFERROR(IF(Tabla1[[#This Row],[CONCEPTO mx]]="","",VLOOKUP(Tabla1[[#This Row],[CONCEPTO mx]],Tabla2[#All],3,0)),"")</f>
        <v/>
      </c>
    </row>
    <row r="2327" spans="1:7" x14ac:dyDescent="0.25">
      <c r="A2327" s="51"/>
      <c r="F2327" s="76" t="str">
        <f>IFERROR(IF(Tabla1[[#This Row],[CONCEPTO mx]]="","",VLOOKUP(Tabla1[[#This Row],[CONCEPTO mx]],Tabla2[#All],2,0)),"")</f>
        <v/>
      </c>
      <c r="G2327" s="76" t="str">
        <f>IFERROR(IF(Tabla1[[#This Row],[CONCEPTO mx]]="","",VLOOKUP(Tabla1[[#This Row],[CONCEPTO mx]],Tabla2[#All],3,0)),"")</f>
        <v/>
      </c>
    </row>
    <row r="2328" spans="1:7" x14ac:dyDescent="0.25">
      <c r="A2328" s="51"/>
      <c r="F2328" s="76" t="str">
        <f>IFERROR(IF(Tabla1[[#This Row],[CONCEPTO mx]]="","",VLOOKUP(Tabla1[[#This Row],[CONCEPTO mx]],Tabla2[#All],2,0)),"")</f>
        <v/>
      </c>
      <c r="G2328" s="76" t="str">
        <f>IFERROR(IF(Tabla1[[#This Row],[CONCEPTO mx]]="","",VLOOKUP(Tabla1[[#This Row],[CONCEPTO mx]],Tabla2[#All],3,0)),"")</f>
        <v/>
      </c>
    </row>
    <row r="2329" spans="1:7" x14ac:dyDescent="0.25">
      <c r="A2329" s="51"/>
      <c r="F2329" s="76" t="str">
        <f>IFERROR(IF(Tabla1[[#This Row],[CONCEPTO mx]]="","",VLOOKUP(Tabla1[[#This Row],[CONCEPTO mx]],Tabla2[#All],2,0)),"")</f>
        <v/>
      </c>
      <c r="G2329" s="76" t="str">
        <f>IFERROR(IF(Tabla1[[#This Row],[CONCEPTO mx]]="","",VLOOKUP(Tabla1[[#This Row],[CONCEPTO mx]],Tabla2[#All],3,0)),"")</f>
        <v/>
      </c>
    </row>
    <row r="2330" spans="1:7" x14ac:dyDescent="0.25">
      <c r="A2330" s="51"/>
      <c r="F2330" s="76" t="str">
        <f>IFERROR(IF(Tabla1[[#This Row],[CONCEPTO mx]]="","",VLOOKUP(Tabla1[[#This Row],[CONCEPTO mx]],Tabla2[#All],2,0)),"")</f>
        <v/>
      </c>
      <c r="G2330" s="76" t="str">
        <f>IFERROR(IF(Tabla1[[#This Row],[CONCEPTO mx]]="","",VLOOKUP(Tabla1[[#This Row],[CONCEPTO mx]],Tabla2[#All],3,0)),"")</f>
        <v/>
      </c>
    </row>
    <row r="2331" spans="1:7" x14ac:dyDescent="0.25">
      <c r="A2331" s="51"/>
      <c r="F2331" s="76" t="str">
        <f>IFERROR(IF(Tabla1[[#This Row],[CONCEPTO mx]]="","",VLOOKUP(Tabla1[[#This Row],[CONCEPTO mx]],Tabla2[#All],2,0)),"")</f>
        <v/>
      </c>
      <c r="G2331" s="76" t="str">
        <f>IFERROR(IF(Tabla1[[#This Row],[CONCEPTO mx]]="","",VLOOKUP(Tabla1[[#This Row],[CONCEPTO mx]],Tabla2[#All],3,0)),"")</f>
        <v/>
      </c>
    </row>
    <row r="2332" spans="1:7" x14ac:dyDescent="0.25">
      <c r="A2332" s="51"/>
      <c r="F2332" s="76" t="str">
        <f>IFERROR(IF(Tabla1[[#This Row],[CONCEPTO mx]]="","",VLOOKUP(Tabla1[[#This Row],[CONCEPTO mx]],Tabla2[#All],2,0)),"")</f>
        <v/>
      </c>
      <c r="G2332" s="76" t="str">
        <f>IFERROR(IF(Tabla1[[#This Row],[CONCEPTO mx]]="","",VLOOKUP(Tabla1[[#This Row],[CONCEPTO mx]],Tabla2[#All],3,0)),"")</f>
        <v/>
      </c>
    </row>
    <row r="2333" spans="1:7" x14ac:dyDescent="0.25">
      <c r="A2333" s="51"/>
      <c r="F2333" s="76" t="str">
        <f>IFERROR(IF(Tabla1[[#This Row],[CONCEPTO mx]]="","",VLOOKUP(Tabla1[[#This Row],[CONCEPTO mx]],Tabla2[#All],2,0)),"")</f>
        <v/>
      </c>
      <c r="G2333" s="76" t="str">
        <f>IFERROR(IF(Tabla1[[#This Row],[CONCEPTO mx]]="","",VLOOKUP(Tabla1[[#This Row],[CONCEPTO mx]],Tabla2[#All],3,0)),"")</f>
        <v/>
      </c>
    </row>
    <row r="2334" spans="1:7" x14ac:dyDescent="0.25">
      <c r="A2334" s="51"/>
      <c r="F2334" s="76" t="str">
        <f>IFERROR(IF(Tabla1[[#This Row],[CONCEPTO mx]]="","",VLOOKUP(Tabla1[[#This Row],[CONCEPTO mx]],Tabla2[#All],2,0)),"")</f>
        <v/>
      </c>
      <c r="G2334" s="76" t="str">
        <f>IFERROR(IF(Tabla1[[#This Row],[CONCEPTO mx]]="","",VLOOKUP(Tabla1[[#This Row],[CONCEPTO mx]],Tabla2[#All],3,0)),"")</f>
        <v/>
      </c>
    </row>
    <row r="2335" spans="1:7" x14ac:dyDescent="0.25">
      <c r="A2335" s="51"/>
      <c r="F2335" s="76" t="str">
        <f>IFERROR(IF(Tabla1[[#This Row],[CONCEPTO mx]]="","",VLOOKUP(Tabla1[[#This Row],[CONCEPTO mx]],Tabla2[#All],2,0)),"")</f>
        <v/>
      </c>
      <c r="G2335" s="76" t="str">
        <f>IFERROR(IF(Tabla1[[#This Row],[CONCEPTO mx]]="","",VLOOKUP(Tabla1[[#This Row],[CONCEPTO mx]],Tabla2[#All],3,0)),"")</f>
        <v/>
      </c>
    </row>
    <row r="2336" spans="1:7" x14ac:dyDescent="0.25">
      <c r="A2336" s="51"/>
      <c r="F2336" s="76" t="str">
        <f>IFERROR(IF(Tabla1[[#This Row],[CONCEPTO mx]]="","",VLOOKUP(Tabla1[[#This Row],[CONCEPTO mx]],Tabla2[#All],2,0)),"")</f>
        <v/>
      </c>
      <c r="G2336" s="76" t="str">
        <f>IFERROR(IF(Tabla1[[#This Row],[CONCEPTO mx]]="","",VLOOKUP(Tabla1[[#This Row],[CONCEPTO mx]],Tabla2[#All],3,0)),"")</f>
        <v/>
      </c>
    </row>
    <row r="2337" spans="1:7" x14ac:dyDescent="0.25">
      <c r="A2337" s="51"/>
      <c r="F2337" s="76" t="str">
        <f>IFERROR(IF(Tabla1[[#This Row],[CONCEPTO mx]]="","",VLOOKUP(Tabla1[[#This Row],[CONCEPTO mx]],Tabla2[#All],2,0)),"")</f>
        <v/>
      </c>
      <c r="G2337" s="76" t="str">
        <f>IFERROR(IF(Tabla1[[#This Row],[CONCEPTO mx]]="","",VLOOKUP(Tabla1[[#This Row],[CONCEPTO mx]],Tabla2[#All],3,0)),"")</f>
        <v/>
      </c>
    </row>
    <row r="2338" spans="1:7" x14ac:dyDescent="0.25">
      <c r="A2338" s="51"/>
      <c r="F2338" s="76" t="str">
        <f>IFERROR(IF(Tabla1[[#This Row],[CONCEPTO mx]]="","",VLOOKUP(Tabla1[[#This Row],[CONCEPTO mx]],Tabla2[#All],2,0)),"")</f>
        <v/>
      </c>
      <c r="G2338" s="76" t="str">
        <f>IFERROR(IF(Tabla1[[#This Row],[CONCEPTO mx]]="","",VLOOKUP(Tabla1[[#This Row],[CONCEPTO mx]],Tabla2[#All],3,0)),"")</f>
        <v/>
      </c>
    </row>
    <row r="2339" spans="1:7" x14ac:dyDescent="0.25">
      <c r="A2339" s="51"/>
      <c r="F2339" s="76" t="str">
        <f>IFERROR(IF(Tabla1[[#This Row],[CONCEPTO mx]]="","",VLOOKUP(Tabla1[[#This Row],[CONCEPTO mx]],Tabla2[#All],2,0)),"")</f>
        <v/>
      </c>
      <c r="G2339" s="76" t="str">
        <f>IFERROR(IF(Tabla1[[#This Row],[CONCEPTO mx]]="","",VLOOKUP(Tabla1[[#This Row],[CONCEPTO mx]],Tabla2[#All],3,0)),"")</f>
        <v/>
      </c>
    </row>
    <row r="2340" spans="1:7" x14ac:dyDescent="0.25">
      <c r="A2340" s="51"/>
      <c r="F2340" s="76" t="str">
        <f>IFERROR(IF(Tabla1[[#This Row],[CONCEPTO mx]]="","",VLOOKUP(Tabla1[[#This Row],[CONCEPTO mx]],Tabla2[#All],2,0)),"")</f>
        <v/>
      </c>
      <c r="G2340" s="76" t="str">
        <f>IFERROR(IF(Tabla1[[#This Row],[CONCEPTO mx]]="","",VLOOKUP(Tabla1[[#This Row],[CONCEPTO mx]],Tabla2[#All],3,0)),"")</f>
        <v/>
      </c>
    </row>
    <row r="2341" spans="1:7" x14ac:dyDescent="0.25">
      <c r="A2341" s="51"/>
      <c r="F2341" s="76" t="str">
        <f>IFERROR(IF(Tabla1[[#This Row],[CONCEPTO mx]]="","",VLOOKUP(Tabla1[[#This Row],[CONCEPTO mx]],Tabla2[#All],2,0)),"")</f>
        <v/>
      </c>
      <c r="G2341" s="76" t="str">
        <f>IFERROR(IF(Tabla1[[#This Row],[CONCEPTO mx]]="","",VLOOKUP(Tabla1[[#This Row],[CONCEPTO mx]],Tabla2[#All],3,0)),"")</f>
        <v/>
      </c>
    </row>
    <row r="2342" spans="1:7" x14ac:dyDescent="0.25">
      <c r="A2342" s="51"/>
      <c r="F2342" s="76" t="str">
        <f>IFERROR(IF(Tabla1[[#This Row],[CONCEPTO mx]]="","",VLOOKUP(Tabla1[[#This Row],[CONCEPTO mx]],Tabla2[#All],2,0)),"")</f>
        <v/>
      </c>
      <c r="G2342" s="76" t="str">
        <f>IFERROR(IF(Tabla1[[#This Row],[CONCEPTO mx]]="","",VLOOKUP(Tabla1[[#This Row],[CONCEPTO mx]],Tabla2[#All],3,0)),"")</f>
        <v/>
      </c>
    </row>
    <row r="2343" spans="1:7" x14ac:dyDescent="0.25">
      <c r="A2343" s="51"/>
      <c r="F2343" s="76" t="str">
        <f>IFERROR(IF(Tabla1[[#This Row],[CONCEPTO mx]]="","",VLOOKUP(Tabla1[[#This Row],[CONCEPTO mx]],Tabla2[#All],2,0)),"")</f>
        <v/>
      </c>
      <c r="G2343" s="76" t="str">
        <f>IFERROR(IF(Tabla1[[#This Row],[CONCEPTO mx]]="","",VLOOKUP(Tabla1[[#This Row],[CONCEPTO mx]],Tabla2[#All],3,0)),"")</f>
        <v/>
      </c>
    </row>
    <row r="2344" spans="1:7" x14ac:dyDescent="0.25">
      <c r="A2344" s="51"/>
      <c r="F2344" s="76" t="str">
        <f>IFERROR(IF(Tabla1[[#This Row],[CONCEPTO mx]]="","",VLOOKUP(Tabla1[[#This Row],[CONCEPTO mx]],Tabla2[#All],2,0)),"")</f>
        <v/>
      </c>
      <c r="G2344" s="76" t="str">
        <f>IFERROR(IF(Tabla1[[#This Row],[CONCEPTO mx]]="","",VLOOKUP(Tabla1[[#This Row],[CONCEPTO mx]],Tabla2[#All],3,0)),"")</f>
        <v/>
      </c>
    </row>
    <row r="2345" spans="1:7" x14ac:dyDescent="0.25">
      <c r="A2345" s="51"/>
      <c r="F2345" s="76" t="str">
        <f>IFERROR(IF(Tabla1[[#This Row],[CONCEPTO mx]]="","",VLOOKUP(Tabla1[[#This Row],[CONCEPTO mx]],Tabla2[#All],2,0)),"")</f>
        <v/>
      </c>
      <c r="G2345" s="76" t="str">
        <f>IFERROR(IF(Tabla1[[#This Row],[CONCEPTO mx]]="","",VLOOKUP(Tabla1[[#This Row],[CONCEPTO mx]],Tabla2[#All],3,0)),"")</f>
        <v/>
      </c>
    </row>
    <row r="2346" spans="1:7" x14ac:dyDescent="0.25">
      <c r="A2346" s="51"/>
      <c r="F2346" s="76" t="str">
        <f>IFERROR(IF(Tabla1[[#This Row],[CONCEPTO mx]]="","",VLOOKUP(Tabla1[[#This Row],[CONCEPTO mx]],Tabla2[#All],2,0)),"")</f>
        <v/>
      </c>
      <c r="G2346" s="76" t="str">
        <f>IFERROR(IF(Tabla1[[#This Row],[CONCEPTO mx]]="","",VLOOKUP(Tabla1[[#This Row],[CONCEPTO mx]],Tabla2[#All],3,0)),"")</f>
        <v/>
      </c>
    </row>
    <row r="2347" spans="1:7" x14ac:dyDescent="0.25">
      <c r="A2347" s="51"/>
      <c r="F2347" s="76" t="str">
        <f>IFERROR(IF(Tabla1[[#This Row],[CONCEPTO mx]]="","",VLOOKUP(Tabla1[[#This Row],[CONCEPTO mx]],Tabla2[#All],2,0)),"")</f>
        <v/>
      </c>
      <c r="G2347" s="76" t="str">
        <f>IFERROR(IF(Tabla1[[#This Row],[CONCEPTO mx]]="","",VLOOKUP(Tabla1[[#This Row],[CONCEPTO mx]],Tabla2[#All],3,0)),"")</f>
        <v/>
      </c>
    </row>
    <row r="2348" spans="1:7" x14ac:dyDescent="0.25">
      <c r="A2348" s="51"/>
      <c r="F2348" s="76" t="str">
        <f>IFERROR(IF(Tabla1[[#This Row],[CONCEPTO mx]]="","",VLOOKUP(Tabla1[[#This Row],[CONCEPTO mx]],Tabla2[#All],2,0)),"")</f>
        <v/>
      </c>
      <c r="G2348" s="76" t="str">
        <f>IFERROR(IF(Tabla1[[#This Row],[CONCEPTO mx]]="","",VLOOKUP(Tabla1[[#This Row],[CONCEPTO mx]],Tabla2[#All],3,0)),"")</f>
        <v/>
      </c>
    </row>
    <row r="2349" spans="1:7" x14ac:dyDescent="0.25">
      <c r="A2349" s="51"/>
      <c r="F2349" s="76" t="str">
        <f>IFERROR(IF(Tabla1[[#This Row],[CONCEPTO mx]]="","",VLOOKUP(Tabla1[[#This Row],[CONCEPTO mx]],Tabla2[#All],2,0)),"")</f>
        <v/>
      </c>
      <c r="G2349" s="76" t="str">
        <f>IFERROR(IF(Tabla1[[#This Row],[CONCEPTO mx]]="","",VLOOKUP(Tabla1[[#This Row],[CONCEPTO mx]],Tabla2[#All],3,0)),"")</f>
        <v/>
      </c>
    </row>
    <row r="2350" spans="1:7" x14ac:dyDescent="0.25">
      <c r="A2350" s="51"/>
      <c r="F2350" s="76" t="str">
        <f>IFERROR(IF(Tabla1[[#This Row],[CONCEPTO mx]]="","",VLOOKUP(Tabla1[[#This Row],[CONCEPTO mx]],Tabla2[#All],2,0)),"")</f>
        <v/>
      </c>
      <c r="G2350" s="76" t="str">
        <f>IFERROR(IF(Tabla1[[#This Row],[CONCEPTO mx]]="","",VLOOKUP(Tabla1[[#This Row],[CONCEPTO mx]],Tabla2[#All],3,0)),"")</f>
        <v/>
      </c>
    </row>
    <row r="2351" spans="1:7" x14ac:dyDescent="0.25">
      <c r="A2351" s="51"/>
      <c r="F2351" s="76" t="str">
        <f>IFERROR(IF(Tabla1[[#This Row],[CONCEPTO mx]]="","",VLOOKUP(Tabla1[[#This Row],[CONCEPTO mx]],Tabla2[#All],2,0)),"")</f>
        <v/>
      </c>
      <c r="G2351" s="76" t="str">
        <f>IFERROR(IF(Tabla1[[#This Row],[CONCEPTO mx]]="","",VLOOKUP(Tabla1[[#This Row],[CONCEPTO mx]],Tabla2[#All],3,0)),"")</f>
        <v/>
      </c>
    </row>
    <row r="2352" spans="1:7" x14ac:dyDescent="0.25">
      <c r="A2352" s="51"/>
      <c r="F2352" s="76" t="str">
        <f>IFERROR(IF(Tabla1[[#This Row],[CONCEPTO mx]]="","",VLOOKUP(Tabla1[[#This Row],[CONCEPTO mx]],Tabla2[#All],2,0)),"")</f>
        <v/>
      </c>
      <c r="G2352" s="76" t="str">
        <f>IFERROR(IF(Tabla1[[#This Row],[CONCEPTO mx]]="","",VLOOKUP(Tabla1[[#This Row],[CONCEPTO mx]],Tabla2[#All],3,0)),"")</f>
        <v/>
      </c>
    </row>
    <row r="2353" spans="1:7" x14ac:dyDescent="0.25">
      <c r="A2353" s="51"/>
      <c r="F2353" s="76" t="str">
        <f>IFERROR(IF(Tabla1[[#This Row],[CONCEPTO mx]]="","",VLOOKUP(Tabla1[[#This Row],[CONCEPTO mx]],Tabla2[#All],2,0)),"")</f>
        <v/>
      </c>
      <c r="G2353" s="76" t="str">
        <f>IFERROR(IF(Tabla1[[#This Row],[CONCEPTO mx]]="","",VLOOKUP(Tabla1[[#This Row],[CONCEPTO mx]],Tabla2[#All],3,0)),"")</f>
        <v/>
      </c>
    </row>
    <row r="2354" spans="1:7" x14ac:dyDescent="0.25">
      <c r="A2354" s="51"/>
      <c r="F2354" s="76" t="str">
        <f>IFERROR(IF(Tabla1[[#This Row],[CONCEPTO mx]]="","",VLOOKUP(Tabla1[[#This Row],[CONCEPTO mx]],Tabla2[#All],2,0)),"")</f>
        <v/>
      </c>
      <c r="G2354" s="76" t="str">
        <f>IFERROR(IF(Tabla1[[#This Row],[CONCEPTO mx]]="","",VLOOKUP(Tabla1[[#This Row],[CONCEPTO mx]],Tabla2[#All],3,0)),"")</f>
        <v/>
      </c>
    </row>
    <row r="2355" spans="1:7" x14ac:dyDescent="0.25">
      <c r="A2355" s="51"/>
      <c r="F2355" s="76" t="str">
        <f>IFERROR(IF(Tabla1[[#This Row],[CONCEPTO mx]]="","",VLOOKUP(Tabla1[[#This Row],[CONCEPTO mx]],Tabla2[#All],2,0)),"")</f>
        <v/>
      </c>
      <c r="G2355" s="76" t="str">
        <f>IFERROR(IF(Tabla1[[#This Row],[CONCEPTO mx]]="","",VLOOKUP(Tabla1[[#This Row],[CONCEPTO mx]],Tabla2[#All],3,0)),"")</f>
        <v/>
      </c>
    </row>
    <row r="2356" spans="1:7" x14ac:dyDescent="0.25">
      <c r="A2356" s="51"/>
      <c r="F2356" s="76" t="str">
        <f>IFERROR(IF(Tabla1[[#This Row],[CONCEPTO mx]]="","",VLOOKUP(Tabla1[[#This Row],[CONCEPTO mx]],Tabla2[#All],2,0)),"")</f>
        <v/>
      </c>
      <c r="G2356" s="76" t="str">
        <f>IFERROR(IF(Tabla1[[#This Row],[CONCEPTO mx]]="","",VLOOKUP(Tabla1[[#This Row],[CONCEPTO mx]],Tabla2[#All],3,0)),"")</f>
        <v/>
      </c>
    </row>
    <row r="2357" spans="1:7" x14ac:dyDescent="0.25">
      <c r="A2357" s="51"/>
      <c r="F2357" s="76" t="str">
        <f>IFERROR(IF(Tabla1[[#This Row],[CONCEPTO mx]]="","",VLOOKUP(Tabla1[[#This Row],[CONCEPTO mx]],Tabla2[#All],2,0)),"")</f>
        <v/>
      </c>
      <c r="G2357" s="76" t="str">
        <f>IFERROR(IF(Tabla1[[#This Row],[CONCEPTO mx]]="","",VLOOKUP(Tabla1[[#This Row],[CONCEPTO mx]],Tabla2[#All],3,0)),"")</f>
        <v/>
      </c>
    </row>
    <row r="2358" spans="1:7" x14ac:dyDescent="0.25">
      <c r="A2358" s="51"/>
      <c r="F2358" s="76" t="str">
        <f>IFERROR(IF(Tabla1[[#This Row],[CONCEPTO mx]]="","",VLOOKUP(Tabla1[[#This Row],[CONCEPTO mx]],Tabla2[#All],2,0)),"")</f>
        <v/>
      </c>
      <c r="G2358" s="76" t="str">
        <f>IFERROR(IF(Tabla1[[#This Row],[CONCEPTO mx]]="","",VLOOKUP(Tabla1[[#This Row],[CONCEPTO mx]],Tabla2[#All],3,0)),"")</f>
        <v/>
      </c>
    </row>
    <row r="2359" spans="1:7" x14ac:dyDescent="0.25">
      <c r="A2359" s="51"/>
      <c r="F2359" s="76" t="str">
        <f>IFERROR(IF(Tabla1[[#This Row],[CONCEPTO mx]]="","",VLOOKUP(Tabla1[[#This Row],[CONCEPTO mx]],Tabla2[#All],2,0)),"")</f>
        <v/>
      </c>
      <c r="G2359" s="76" t="str">
        <f>IFERROR(IF(Tabla1[[#This Row],[CONCEPTO mx]]="","",VLOOKUP(Tabla1[[#This Row],[CONCEPTO mx]],Tabla2[#All],3,0)),"")</f>
        <v/>
      </c>
    </row>
    <row r="2360" spans="1:7" x14ac:dyDescent="0.25">
      <c r="A2360" s="51"/>
      <c r="F2360" s="76" t="str">
        <f>IFERROR(IF(Tabla1[[#This Row],[CONCEPTO mx]]="","",VLOOKUP(Tabla1[[#This Row],[CONCEPTO mx]],Tabla2[#All],2,0)),"")</f>
        <v/>
      </c>
      <c r="G2360" s="76" t="str">
        <f>IFERROR(IF(Tabla1[[#This Row],[CONCEPTO mx]]="","",VLOOKUP(Tabla1[[#This Row],[CONCEPTO mx]],Tabla2[#All],3,0)),"")</f>
        <v/>
      </c>
    </row>
    <row r="2361" spans="1:7" x14ac:dyDescent="0.25">
      <c r="A2361" s="51"/>
      <c r="F2361" s="76" t="str">
        <f>IFERROR(IF(Tabla1[[#This Row],[CONCEPTO mx]]="","",VLOOKUP(Tabla1[[#This Row],[CONCEPTO mx]],Tabla2[#All],2,0)),"")</f>
        <v/>
      </c>
      <c r="G2361" s="76" t="str">
        <f>IFERROR(IF(Tabla1[[#This Row],[CONCEPTO mx]]="","",VLOOKUP(Tabla1[[#This Row],[CONCEPTO mx]],Tabla2[#All],3,0)),"")</f>
        <v/>
      </c>
    </row>
    <row r="2362" spans="1:7" x14ac:dyDescent="0.25">
      <c r="A2362" s="51"/>
      <c r="F2362" s="76" t="str">
        <f>IFERROR(IF(Tabla1[[#This Row],[CONCEPTO mx]]="","",VLOOKUP(Tabla1[[#This Row],[CONCEPTO mx]],Tabla2[#All],2,0)),"")</f>
        <v/>
      </c>
      <c r="G2362" s="76" t="str">
        <f>IFERROR(IF(Tabla1[[#This Row],[CONCEPTO mx]]="","",VLOOKUP(Tabla1[[#This Row],[CONCEPTO mx]],Tabla2[#All],3,0)),"")</f>
        <v/>
      </c>
    </row>
    <row r="2363" spans="1:7" x14ac:dyDescent="0.25">
      <c r="A2363" s="51"/>
      <c r="F2363" s="76" t="str">
        <f>IFERROR(IF(Tabla1[[#This Row],[CONCEPTO mx]]="","",VLOOKUP(Tabla1[[#This Row],[CONCEPTO mx]],Tabla2[#All],2,0)),"")</f>
        <v/>
      </c>
      <c r="G2363" s="76" t="str">
        <f>IFERROR(IF(Tabla1[[#This Row],[CONCEPTO mx]]="","",VLOOKUP(Tabla1[[#This Row],[CONCEPTO mx]],Tabla2[#All],3,0)),"")</f>
        <v/>
      </c>
    </row>
    <row r="2364" spans="1:7" x14ac:dyDescent="0.25">
      <c r="A2364" s="51"/>
      <c r="F2364" s="76" t="str">
        <f>IFERROR(IF(Tabla1[[#This Row],[CONCEPTO mx]]="","",VLOOKUP(Tabla1[[#This Row],[CONCEPTO mx]],Tabla2[#All],2,0)),"")</f>
        <v/>
      </c>
      <c r="G2364" s="76" t="str">
        <f>IFERROR(IF(Tabla1[[#This Row],[CONCEPTO mx]]="","",VLOOKUP(Tabla1[[#This Row],[CONCEPTO mx]],Tabla2[#All],3,0)),"")</f>
        <v/>
      </c>
    </row>
    <row r="2365" spans="1:7" x14ac:dyDescent="0.25">
      <c r="A2365" s="51"/>
      <c r="F2365" s="76" t="str">
        <f>IFERROR(IF(Tabla1[[#This Row],[CONCEPTO mx]]="","",VLOOKUP(Tabla1[[#This Row],[CONCEPTO mx]],Tabla2[#All],2,0)),"")</f>
        <v/>
      </c>
      <c r="G2365" s="76" t="str">
        <f>IFERROR(IF(Tabla1[[#This Row],[CONCEPTO mx]]="","",VLOOKUP(Tabla1[[#This Row],[CONCEPTO mx]],Tabla2[#All],3,0)),"")</f>
        <v/>
      </c>
    </row>
    <row r="2366" spans="1:7" x14ac:dyDescent="0.25">
      <c r="A2366" s="51"/>
      <c r="F2366" s="76" t="str">
        <f>IFERROR(IF(Tabla1[[#This Row],[CONCEPTO mx]]="","",VLOOKUP(Tabla1[[#This Row],[CONCEPTO mx]],Tabla2[#All],2,0)),"")</f>
        <v/>
      </c>
      <c r="G2366" s="76" t="str">
        <f>IFERROR(IF(Tabla1[[#This Row],[CONCEPTO mx]]="","",VLOOKUP(Tabla1[[#This Row],[CONCEPTO mx]],Tabla2[#All],3,0)),"")</f>
        <v/>
      </c>
    </row>
    <row r="2367" spans="1:7" x14ac:dyDescent="0.25">
      <c r="A2367" s="51"/>
      <c r="F2367" s="76" t="str">
        <f>IFERROR(IF(Tabla1[[#This Row],[CONCEPTO mx]]="","",VLOOKUP(Tabla1[[#This Row],[CONCEPTO mx]],Tabla2[#All],2,0)),"")</f>
        <v/>
      </c>
      <c r="G2367" s="76" t="str">
        <f>IFERROR(IF(Tabla1[[#This Row],[CONCEPTO mx]]="","",VLOOKUP(Tabla1[[#This Row],[CONCEPTO mx]],Tabla2[#All],3,0)),"")</f>
        <v/>
      </c>
    </row>
    <row r="2368" spans="1:7" x14ac:dyDescent="0.25">
      <c r="A2368" s="51"/>
      <c r="F2368" s="76" t="str">
        <f>IFERROR(IF(Tabla1[[#This Row],[CONCEPTO mx]]="","",VLOOKUP(Tabla1[[#This Row],[CONCEPTO mx]],Tabla2[#All],2,0)),"")</f>
        <v/>
      </c>
      <c r="G2368" s="76" t="str">
        <f>IFERROR(IF(Tabla1[[#This Row],[CONCEPTO mx]]="","",VLOOKUP(Tabla1[[#This Row],[CONCEPTO mx]],Tabla2[#All],3,0)),"")</f>
        <v/>
      </c>
    </row>
    <row r="2369" spans="1:7" x14ac:dyDescent="0.25">
      <c r="A2369" s="51"/>
      <c r="F2369" s="76" t="str">
        <f>IFERROR(IF(Tabla1[[#This Row],[CONCEPTO mx]]="","",VLOOKUP(Tabla1[[#This Row],[CONCEPTO mx]],Tabla2[#All],2,0)),"")</f>
        <v/>
      </c>
      <c r="G2369" s="76" t="str">
        <f>IFERROR(IF(Tabla1[[#This Row],[CONCEPTO mx]]="","",VLOOKUP(Tabla1[[#This Row],[CONCEPTO mx]],Tabla2[#All],3,0)),"")</f>
        <v/>
      </c>
    </row>
    <row r="2370" spans="1:7" x14ac:dyDescent="0.25">
      <c r="A2370" s="51"/>
      <c r="F2370" s="76" t="str">
        <f>IFERROR(IF(Tabla1[[#This Row],[CONCEPTO mx]]="","",VLOOKUP(Tabla1[[#This Row],[CONCEPTO mx]],Tabla2[#All],2,0)),"")</f>
        <v/>
      </c>
      <c r="G2370" s="76" t="str">
        <f>IFERROR(IF(Tabla1[[#This Row],[CONCEPTO mx]]="","",VLOOKUP(Tabla1[[#This Row],[CONCEPTO mx]],Tabla2[#All],3,0)),"")</f>
        <v/>
      </c>
    </row>
    <row r="2371" spans="1:7" x14ac:dyDescent="0.25">
      <c r="A2371" s="51"/>
      <c r="F2371" s="76" t="str">
        <f>IFERROR(IF(Tabla1[[#This Row],[CONCEPTO mx]]="","",VLOOKUP(Tabla1[[#This Row],[CONCEPTO mx]],Tabla2[#All],2,0)),"")</f>
        <v/>
      </c>
      <c r="G2371" s="76" t="str">
        <f>IFERROR(IF(Tabla1[[#This Row],[CONCEPTO mx]]="","",VLOOKUP(Tabla1[[#This Row],[CONCEPTO mx]],Tabla2[#All],3,0)),"")</f>
        <v/>
      </c>
    </row>
    <row r="2372" spans="1:7" x14ac:dyDescent="0.25">
      <c r="A2372" s="51"/>
      <c r="F2372" s="76" t="str">
        <f>IFERROR(IF(Tabla1[[#This Row],[CONCEPTO mx]]="","",VLOOKUP(Tabla1[[#This Row],[CONCEPTO mx]],Tabla2[#All],2,0)),"")</f>
        <v/>
      </c>
      <c r="G2372" s="76" t="str">
        <f>IFERROR(IF(Tabla1[[#This Row],[CONCEPTO mx]]="","",VLOOKUP(Tabla1[[#This Row],[CONCEPTO mx]],Tabla2[#All],3,0)),"")</f>
        <v/>
      </c>
    </row>
    <row r="2373" spans="1:7" x14ac:dyDescent="0.25">
      <c r="A2373" s="51"/>
      <c r="F2373" s="76" t="str">
        <f>IFERROR(IF(Tabla1[[#This Row],[CONCEPTO mx]]="","",VLOOKUP(Tabla1[[#This Row],[CONCEPTO mx]],Tabla2[#All],2,0)),"")</f>
        <v/>
      </c>
      <c r="G2373" s="76" t="str">
        <f>IFERROR(IF(Tabla1[[#This Row],[CONCEPTO mx]]="","",VLOOKUP(Tabla1[[#This Row],[CONCEPTO mx]],Tabla2[#All],3,0)),"")</f>
        <v/>
      </c>
    </row>
    <row r="2374" spans="1:7" x14ac:dyDescent="0.25">
      <c r="A2374" s="51"/>
      <c r="F2374" s="76" t="str">
        <f>IFERROR(IF(Tabla1[[#This Row],[CONCEPTO mx]]="","",VLOOKUP(Tabla1[[#This Row],[CONCEPTO mx]],Tabla2[#All],2,0)),"")</f>
        <v/>
      </c>
      <c r="G2374" s="76" t="str">
        <f>IFERROR(IF(Tabla1[[#This Row],[CONCEPTO mx]]="","",VLOOKUP(Tabla1[[#This Row],[CONCEPTO mx]],Tabla2[#All],3,0)),"")</f>
        <v/>
      </c>
    </row>
    <row r="2375" spans="1:7" x14ac:dyDescent="0.25">
      <c r="A2375" s="51"/>
      <c r="F2375" s="76" t="str">
        <f>IFERROR(IF(Tabla1[[#This Row],[CONCEPTO mx]]="","",VLOOKUP(Tabla1[[#This Row],[CONCEPTO mx]],Tabla2[#All],2,0)),"")</f>
        <v/>
      </c>
      <c r="G2375" s="76" t="str">
        <f>IFERROR(IF(Tabla1[[#This Row],[CONCEPTO mx]]="","",VLOOKUP(Tabla1[[#This Row],[CONCEPTO mx]],Tabla2[#All],3,0)),"")</f>
        <v/>
      </c>
    </row>
    <row r="2376" spans="1:7" x14ac:dyDescent="0.25">
      <c r="A2376" s="51"/>
      <c r="F2376" s="76" t="str">
        <f>IFERROR(IF(Tabla1[[#This Row],[CONCEPTO mx]]="","",VLOOKUP(Tabla1[[#This Row],[CONCEPTO mx]],Tabla2[#All],2,0)),"")</f>
        <v/>
      </c>
      <c r="G2376" s="76" t="str">
        <f>IFERROR(IF(Tabla1[[#This Row],[CONCEPTO mx]]="","",VLOOKUP(Tabla1[[#This Row],[CONCEPTO mx]],Tabla2[#All],3,0)),"")</f>
        <v/>
      </c>
    </row>
    <row r="2377" spans="1:7" x14ac:dyDescent="0.25">
      <c r="A2377" s="51"/>
      <c r="F2377" s="76" t="str">
        <f>IFERROR(IF(Tabla1[[#This Row],[CONCEPTO mx]]="","",VLOOKUP(Tabla1[[#This Row],[CONCEPTO mx]],Tabla2[#All],2,0)),"")</f>
        <v/>
      </c>
      <c r="G2377" s="76" t="str">
        <f>IFERROR(IF(Tabla1[[#This Row],[CONCEPTO mx]]="","",VLOOKUP(Tabla1[[#This Row],[CONCEPTO mx]],Tabla2[#All],3,0)),"")</f>
        <v/>
      </c>
    </row>
    <row r="2378" spans="1:7" x14ac:dyDescent="0.25">
      <c r="A2378" s="51"/>
      <c r="F2378" s="76" t="str">
        <f>IFERROR(IF(Tabla1[[#This Row],[CONCEPTO mx]]="","",VLOOKUP(Tabla1[[#This Row],[CONCEPTO mx]],Tabla2[#All],2,0)),"")</f>
        <v/>
      </c>
      <c r="G2378" s="76" t="str">
        <f>IFERROR(IF(Tabla1[[#This Row],[CONCEPTO mx]]="","",VLOOKUP(Tabla1[[#This Row],[CONCEPTO mx]],Tabla2[#All],3,0)),"")</f>
        <v/>
      </c>
    </row>
    <row r="2379" spans="1:7" x14ac:dyDescent="0.25">
      <c r="A2379" s="51"/>
      <c r="F2379" s="76" t="str">
        <f>IFERROR(IF(Tabla1[[#This Row],[CONCEPTO mx]]="","",VLOOKUP(Tabla1[[#This Row],[CONCEPTO mx]],Tabla2[#All],2,0)),"")</f>
        <v/>
      </c>
      <c r="G2379" s="76" t="str">
        <f>IFERROR(IF(Tabla1[[#This Row],[CONCEPTO mx]]="","",VLOOKUP(Tabla1[[#This Row],[CONCEPTO mx]],Tabla2[#All],3,0)),"")</f>
        <v/>
      </c>
    </row>
    <row r="2380" spans="1:7" x14ac:dyDescent="0.25">
      <c r="A2380" s="51"/>
      <c r="F2380" s="76" t="str">
        <f>IFERROR(IF(Tabla1[[#This Row],[CONCEPTO mx]]="","",VLOOKUP(Tabla1[[#This Row],[CONCEPTO mx]],Tabla2[#All],2,0)),"")</f>
        <v/>
      </c>
      <c r="G2380" s="76" t="str">
        <f>IFERROR(IF(Tabla1[[#This Row],[CONCEPTO mx]]="","",VLOOKUP(Tabla1[[#This Row],[CONCEPTO mx]],Tabla2[#All],3,0)),"")</f>
        <v/>
      </c>
    </row>
    <row r="2381" spans="1:7" x14ac:dyDescent="0.25">
      <c r="A2381" s="51"/>
      <c r="F2381" s="76" t="str">
        <f>IFERROR(IF(Tabla1[[#This Row],[CONCEPTO mx]]="","",VLOOKUP(Tabla1[[#This Row],[CONCEPTO mx]],Tabla2[#All],2,0)),"")</f>
        <v/>
      </c>
      <c r="G2381" s="76" t="str">
        <f>IFERROR(IF(Tabla1[[#This Row],[CONCEPTO mx]]="","",VLOOKUP(Tabla1[[#This Row],[CONCEPTO mx]],Tabla2[#All],3,0)),"")</f>
        <v/>
      </c>
    </row>
    <row r="2382" spans="1:7" x14ac:dyDescent="0.25">
      <c r="A2382" s="51"/>
      <c r="F2382" s="76" t="str">
        <f>IFERROR(IF(Tabla1[[#This Row],[CONCEPTO mx]]="","",VLOOKUP(Tabla1[[#This Row],[CONCEPTO mx]],Tabla2[#All],2,0)),"")</f>
        <v/>
      </c>
      <c r="G2382" s="76" t="str">
        <f>IFERROR(IF(Tabla1[[#This Row],[CONCEPTO mx]]="","",VLOOKUP(Tabla1[[#This Row],[CONCEPTO mx]],Tabla2[#All],3,0)),"")</f>
        <v/>
      </c>
    </row>
    <row r="2383" spans="1:7" x14ac:dyDescent="0.25">
      <c r="A2383" s="51"/>
      <c r="F2383" s="76" t="str">
        <f>IFERROR(IF(Tabla1[[#This Row],[CONCEPTO mx]]="","",VLOOKUP(Tabla1[[#This Row],[CONCEPTO mx]],Tabla2[#All],2,0)),"")</f>
        <v/>
      </c>
      <c r="G2383" s="76" t="str">
        <f>IFERROR(IF(Tabla1[[#This Row],[CONCEPTO mx]]="","",VLOOKUP(Tabla1[[#This Row],[CONCEPTO mx]],Tabla2[#All],3,0)),"")</f>
        <v/>
      </c>
    </row>
    <row r="2384" spans="1:7" x14ac:dyDescent="0.25">
      <c r="A2384" s="51"/>
      <c r="F2384" s="76" t="str">
        <f>IFERROR(IF(Tabla1[[#This Row],[CONCEPTO mx]]="","",VLOOKUP(Tabla1[[#This Row],[CONCEPTO mx]],Tabla2[#All],2,0)),"")</f>
        <v/>
      </c>
      <c r="G2384" s="76" t="str">
        <f>IFERROR(IF(Tabla1[[#This Row],[CONCEPTO mx]]="","",VLOOKUP(Tabla1[[#This Row],[CONCEPTO mx]],Tabla2[#All],3,0)),"")</f>
        <v/>
      </c>
    </row>
    <row r="2385" spans="1:7" x14ac:dyDescent="0.25">
      <c r="A2385" s="51"/>
      <c r="F2385" s="76" t="str">
        <f>IFERROR(IF(Tabla1[[#This Row],[CONCEPTO mx]]="","",VLOOKUP(Tabla1[[#This Row],[CONCEPTO mx]],Tabla2[#All],2,0)),"")</f>
        <v/>
      </c>
      <c r="G2385" s="76" t="str">
        <f>IFERROR(IF(Tabla1[[#This Row],[CONCEPTO mx]]="","",VLOOKUP(Tabla1[[#This Row],[CONCEPTO mx]],Tabla2[#All],3,0)),"")</f>
        <v/>
      </c>
    </row>
    <row r="2386" spans="1:7" x14ac:dyDescent="0.25">
      <c r="A2386" s="51"/>
      <c r="F2386" s="76" t="str">
        <f>IFERROR(IF(Tabla1[[#This Row],[CONCEPTO mx]]="","",VLOOKUP(Tabla1[[#This Row],[CONCEPTO mx]],Tabla2[#All],2,0)),"")</f>
        <v/>
      </c>
      <c r="G2386" s="76" t="str">
        <f>IFERROR(IF(Tabla1[[#This Row],[CONCEPTO mx]]="","",VLOOKUP(Tabla1[[#This Row],[CONCEPTO mx]],Tabla2[#All],3,0)),"")</f>
        <v/>
      </c>
    </row>
    <row r="2387" spans="1:7" x14ac:dyDescent="0.25">
      <c r="A2387" s="51"/>
      <c r="F2387" s="76" t="str">
        <f>IFERROR(IF(Tabla1[[#This Row],[CONCEPTO mx]]="","",VLOOKUP(Tabla1[[#This Row],[CONCEPTO mx]],Tabla2[#All],2,0)),"")</f>
        <v/>
      </c>
      <c r="G2387" s="76" t="str">
        <f>IFERROR(IF(Tabla1[[#This Row],[CONCEPTO mx]]="","",VLOOKUP(Tabla1[[#This Row],[CONCEPTO mx]],Tabla2[#All],3,0)),"")</f>
        <v/>
      </c>
    </row>
    <row r="2388" spans="1:7" x14ac:dyDescent="0.25">
      <c r="A2388" s="51"/>
      <c r="F2388" s="76" t="str">
        <f>IFERROR(IF(Tabla1[[#This Row],[CONCEPTO mx]]="","",VLOOKUP(Tabla1[[#This Row],[CONCEPTO mx]],Tabla2[#All],2,0)),"")</f>
        <v/>
      </c>
      <c r="G2388" s="76" t="str">
        <f>IFERROR(IF(Tabla1[[#This Row],[CONCEPTO mx]]="","",VLOOKUP(Tabla1[[#This Row],[CONCEPTO mx]],Tabla2[#All],3,0)),"")</f>
        <v/>
      </c>
    </row>
    <row r="2389" spans="1:7" x14ac:dyDescent="0.25">
      <c r="A2389" s="51"/>
      <c r="F2389" s="76" t="str">
        <f>IFERROR(IF(Tabla1[[#This Row],[CONCEPTO mx]]="","",VLOOKUP(Tabla1[[#This Row],[CONCEPTO mx]],Tabla2[#All],2,0)),"")</f>
        <v/>
      </c>
      <c r="G2389" s="76" t="str">
        <f>IFERROR(IF(Tabla1[[#This Row],[CONCEPTO mx]]="","",VLOOKUP(Tabla1[[#This Row],[CONCEPTO mx]],Tabla2[#All],3,0)),"")</f>
        <v/>
      </c>
    </row>
    <row r="2390" spans="1:7" x14ac:dyDescent="0.25">
      <c r="A2390" s="51"/>
      <c r="F2390" s="76" t="str">
        <f>IFERROR(IF(Tabla1[[#This Row],[CONCEPTO mx]]="","",VLOOKUP(Tabla1[[#This Row],[CONCEPTO mx]],Tabla2[#All],2,0)),"")</f>
        <v/>
      </c>
      <c r="G2390" s="76" t="str">
        <f>IFERROR(IF(Tabla1[[#This Row],[CONCEPTO mx]]="","",VLOOKUP(Tabla1[[#This Row],[CONCEPTO mx]],Tabla2[#All],3,0)),"")</f>
        <v/>
      </c>
    </row>
    <row r="2391" spans="1:7" x14ac:dyDescent="0.25">
      <c r="A2391" s="51"/>
      <c r="F2391" s="76" t="str">
        <f>IFERROR(IF(Tabla1[[#This Row],[CONCEPTO mx]]="","",VLOOKUP(Tabla1[[#This Row],[CONCEPTO mx]],Tabla2[#All],2,0)),"")</f>
        <v/>
      </c>
      <c r="G2391" s="76" t="str">
        <f>IFERROR(IF(Tabla1[[#This Row],[CONCEPTO mx]]="","",VLOOKUP(Tabla1[[#This Row],[CONCEPTO mx]],Tabla2[#All],3,0)),"")</f>
        <v/>
      </c>
    </row>
    <row r="2392" spans="1:7" x14ac:dyDescent="0.25">
      <c r="A2392" s="51"/>
      <c r="F2392" s="76" t="str">
        <f>IFERROR(IF(Tabla1[[#This Row],[CONCEPTO mx]]="","",VLOOKUP(Tabla1[[#This Row],[CONCEPTO mx]],Tabla2[#All],2,0)),"")</f>
        <v/>
      </c>
      <c r="G2392" s="76" t="str">
        <f>IFERROR(IF(Tabla1[[#This Row],[CONCEPTO mx]]="","",VLOOKUP(Tabla1[[#This Row],[CONCEPTO mx]],Tabla2[#All],3,0)),"")</f>
        <v/>
      </c>
    </row>
    <row r="2393" spans="1:7" x14ac:dyDescent="0.25">
      <c r="A2393" s="51"/>
      <c r="F2393" s="76" t="str">
        <f>IFERROR(IF(Tabla1[[#This Row],[CONCEPTO mx]]="","",VLOOKUP(Tabla1[[#This Row],[CONCEPTO mx]],Tabla2[#All],2,0)),"")</f>
        <v/>
      </c>
      <c r="G2393" s="76" t="str">
        <f>IFERROR(IF(Tabla1[[#This Row],[CONCEPTO mx]]="","",VLOOKUP(Tabla1[[#This Row],[CONCEPTO mx]],Tabla2[#All],3,0)),"")</f>
        <v/>
      </c>
    </row>
    <row r="2394" spans="1:7" x14ac:dyDescent="0.25">
      <c r="A2394" s="51"/>
      <c r="F2394" s="76" t="str">
        <f>IFERROR(IF(Tabla1[[#This Row],[CONCEPTO mx]]="","",VLOOKUP(Tabla1[[#This Row],[CONCEPTO mx]],Tabla2[#All],2,0)),"")</f>
        <v/>
      </c>
      <c r="G2394" s="76" t="str">
        <f>IFERROR(IF(Tabla1[[#This Row],[CONCEPTO mx]]="","",VLOOKUP(Tabla1[[#This Row],[CONCEPTO mx]],Tabla2[#All],3,0)),"")</f>
        <v/>
      </c>
    </row>
    <row r="2395" spans="1:7" x14ac:dyDescent="0.25">
      <c r="A2395" s="51"/>
      <c r="F2395" s="76" t="str">
        <f>IFERROR(IF(Tabla1[[#This Row],[CONCEPTO mx]]="","",VLOOKUP(Tabla1[[#This Row],[CONCEPTO mx]],Tabla2[#All],2,0)),"")</f>
        <v/>
      </c>
      <c r="G2395" s="76" t="str">
        <f>IFERROR(IF(Tabla1[[#This Row],[CONCEPTO mx]]="","",VLOOKUP(Tabla1[[#This Row],[CONCEPTO mx]],Tabla2[#All],3,0)),"")</f>
        <v/>
      </c>
    </row>
    <row r="2396" spans="1:7" x14ac:dyDescent="0.25">
      <c r="A2396" s="51"/>
      <c r="F2396" s="76" t="str">
        <f>IFERROR(IF(Tabla1[[#This Row],[CONCEPTO mx]]="","",VLOOKUP(Tabla1[[#This Row],[CONCEPTO mx]],Tabla2[#All],2,0)),"")</f>
        <v/>
      </c>
      <c r="G2396" s="76" t="str">
        <f>IFERROR(IF(Tabla1[[#This Row],[CONCEPTO mx]]="","",VLOOKUP(Tabla1[[#This Row],[CONCEPTO mx]],Tabla2[#All],3,0)),"")</f>
        <v/>
      </c>
    </row>
    <row r="2397" spans="1:7" x14ac:dyDescent="0.25">
      <c r="A2397" s="51"/>
      <c r="F2397" s="76" t="str">
        <f>IFERROR(IF(Tabla1[[#This Row],[CONCEPTO mx]]="","",VLOOKUP(Tabla1[[#This Row],[CONCEPTO mx]],Tabla2[#All],2,0)),"")</f>
        <v/>
      </c>
      <c r="G2397" s="76" t="str">
        <f>IFERROR(IF(Tabla1[[#This Row],[CONCEPTO mx]]="","",VLOOKUP(Tabla1[[#This Row],[CONCEPTO mx]],Tabla2[#All],3,0)),"")</f>
        <v/>
      </c>
    </row>
    <row r="2398" spans="1:7" x14ac:dyDescent="0.25">
      <c r="A2398" s="51"/>
      <c r="F2398" s="76" t="str">
        <f>IFERROR(IF(Tabla1[[#This Row],[CONCEPTO mx]]="","",VLOOKUP(Tabla1[[#This Row],[CONCEPTO mx]],Tabla2[#All],2,0)),"")</f>
        <v/>
      </c>
      <c r="G2398" s="76" t="str">
        <f>IFERROR(IF(Tabla1[[#This Row],[CONCEPTO mx]]="","",VLOOKUP(Tabla1[[#This Row],[CONCEPTO mx]],Tabla2[#All],3,0)),"")</f>
        <v/>
      </c>
    </row>
    <row r="2399" spans="1:7" x14ac:dyDescent="0.25">
      <c r="A2399" s="51"/>
      <c r="F2399" s="76" t="str">
        <f>IFERROR(IF(Tabla1[[#This Row],[CONCEPTO mx]]="","",VLOOKUP(Tabla1[[#This Row],[CONCEPTO mx]],Tabla2[#All],2,0)),"")</f>
        <v/>
      </c>
      <c r="G2399" s="76" t="str">
        <f>IFERROR(IF(Tabla1[[#This Row],[CONCEPTO mx]]="","",VLOOKUP(Tabla1[[#This Row],[CONCEPTO mx]],Tabla2[#All],3,0)),"")</f>
        <v/>
      </c>
    </row>
    <row r="2400" spans="1:7" x14ac:dyDescent="0.25">
      <c r="A2400" s="51"/>
      <c r="F2400" s="76" t="str">
        <f>IFERROR(IF(Tabla1[[#This Row],[CONCEPTO mx]]="","",VLOOKUP(Tabla1[[#This Row],[CONCEPTO mx]],Tabla2[#All],2,0)),"")</f>
        <v/>
      </c>
      <c r="G2400" s="76" t="str">
        <f>IFERROR(IF(Tabla1[[#This Row],[CONCEPTO mx]]="","",VLOOKUP(Tabla1[[#This Row],[CONCEPTO mx]],Tabla2[#All],3,0)),"")</f>
        <v/>
      </c>
    </row>
    <row r="2401" spans="1:7" x14ac:dyDescent="0.25">
      <c r="A2401" s="51"/>
      <c r="F2401" s="76" t="str">
        <f>IFERROR(IF(Tabla1[[#This Row],[CONCEPTO mx]]="","",VLOOKUP(Tabla1[[#This Row],[CONCEPTO mx]],Tabla2[#All],2,0)),"")</f>
        <v/>
      </c>
      <c r="G2401" s="76" t="str">
        <f>IFERROR(IF(Tabla1[[#This Row],[CONCEPTO mx]]="","",VLOOKUP(Tabla1[[#This Row],[CONCEPTO mx]],Tabla2[#All],3,0)),"")</f>
        <v/>
      </c>
    </row>
    <row r="2402" spans="1:7" x14ac:dyDescent="0.25">
      <c r="A2402" s="51"/>
      <c r="F2402" s="76" t="str">
        <f>IFERROR(IF(Tabla1[[#This Row],[CONCEPTO mx]]="","",VLOOKUP(Tabla1[[#This Row],[CONCEPTO mx]],Tabla2[#All],2,0)),"")</f>
        <v/>
      </c>
      <c r="G2402" s="76" t="str">
        <f>IFERROR(IF(Tabla1[[#This Row],[CONCEPTO mx]]="","",VLOOKUP(Tabla1[[#This Row],[CONCEPTO mx]],Tabla2[#All],3,0)),"")</f>
        <v/>
      </c>
    </row>
    <row r="2403" spans="1:7" x14ac:dyDescent="0.25">
      <c r="A2403" s="51"/>
      <c r="F2403" s="76" t="str">
        <f>IFERROR(IF(Tabla1[[#This Row],[CONCEPTO mx]]="","",VLOOKUP(Tabla1[[#This Row],[CONCEPTO mx]],Tabla2[#All],2,0)),"")</f>
        <v/>
      </c>
      <c r="G2403" s="76" t="str">
        <f>IFERROR(IF(Tabla1[[#This Row],[CONCEPTO mx]]="","",VLOOKUP(Tabla1[[#This Row],[CONCEPTO mx]],Tabla2[#All],3,0)),"")</f>
        <v/>
      </c>
    </row>
    <row r="2404" spans="1:7" x14ac:dyDescent="0.25">
      <c r="A2404" s="51"/>
      <c r="F2404" s="76" t="str">
        <f>IFERROR(IF(Tabla1[[#This Row],[CONCEPTO mx]]="","",VLOOKUP(Tabla1[[#This Row],[CONCEPTO mx]],Tabla2[#All],2,0)),"")</f>
        <v/>
      </c>
      <c r="G2404" s="76" t="str">
        <f>IFERROR(IF(Tabla1[[#This Row],[CONCEPTO mx]]="","",VLOOKUP(Tabla1[[#This Row],[CONCEPTO mx]],Tabla2[#All],3,0)),"")</f>
        <v/>
      </c>
    </row>
    <row r="2405" spans="1:7" x14ac:dyDescent="0.25">
      <c r="A2405" s="51"/>
      <c r="F2405" s="76" t="str">
        <f>IFERROR(IF(Tabla1[[#This Row],[CONCEPTO mx]]="","",VLOOKUP(Tabla1[[#This Row],[CONCEPTO mx]],Tabla2[#All],2,0)),"")</f>
        <v/>
      </c>
      <c r="G2405" s="76" t="str">
        <f>IFERROR(IF(Tabla1[[#This Row],[CONCEPTO mx]]="","",VLOOKUP(Tabla1[[#This Row],[CONCEPTO mx]],Tabla2[#All],3,0)),"")</f>
        <v/>
      </c>
    </row>
    <row r="2406" spans="1:7" x14ac:dyDescent="0.25">
      <c r="A2406" s="51"/>
      <c r="F2406" s="76" t="str">
        <f>IFERROR(IF(Tabla1[[#This Row],[CONCEPTO mx]]="","",VLOOKUP(Tabla1[[#This Row],[CONCEPTO mx]],Tabla2[#All],2,0)),"")</f>
        <v/>
      </c>
      <c r="G2406" s="76" t="str">
        <f>IFERROR(IF(Tabla1[[#This Row],[CONCEPTO mx]]="","",VLOOKUP(Tabla1[[#This Row],[CONCEPTO mx]],Tabla2[#All],3,0)),"")</f>
        <v/>
      </c>
    </row>
    <row r="2407" spans="1:7" x14ac:dyDescent="0.25">
      <c r="A2407" s="51"/>
      <c r="F2407" s="76" t="str">
        <f>IFERROR(IF(Tabla1[[#This Row],[CONCEPTO mx]]="","",VLOOKUP(Tabla1[[#This Row],[CONCEPTO mx]],Tabla2[#All],2,0)),"")</f>
        <v/>
      </c>
      <c r="G2407" s="76" t="str">
        <f>IFERROR(IF(Tabla1[[#This Row],[CONCEPTO mx]]="","",VLOOKUP(Tabla1[[#This Row],[CONCEPTO mx]],Tabla2[#All],3,0)),"")</f>
        <v/>
      </c>
    </row>
    <row r="2408" spans="1:7" x14ac:dyDescent="0.25">
      <c r="A2408" s="51"/>
      <c r="F2408" s="76" t="str">
        <f>IFERROR(IF(Tabla1[[#This Row],[CONCEPTO mx]]="","",VLOOKUP(Tabla1[[#This Row],[CONCEPTO mx]],Tabla2[#All],2,0)),"")</f>
        <v/>
      </c>
      <c r="G2408" s="76" t="str">
        <f>IFERROR(IF(Tabla1[[#This Row],[CONCEPTO mx]]="","",VLOOKUP(Tabla1[[#This Row],[CONCEPTO mx]],Tabla2[#All],3,0)),"")</f>
        <v/>
      </c>
    </row>
    <row r="2409" spans="1:7" ht="12.75" customHeight="1" x14ac:dyDescent="0.25">
      <c r="A2409" s="51"/>
      <c r="F2409" s="76" t="str">
        <f>IFERROR(IF(Tabla1[[#This Row],[CONCEPTO mx]]="","",VLOOKUP(Tabla1[[#This Row],[CONCEPTO mx]],Tabla2[#All],2,0)),"")</f>
        <v/>
      </c>
      <c r="G2409" s="76" t="str">
        <f>IFERROR(IF(Tabla1[[#This Row],[CONCEPTO mx]]="","",VLOOKUP(Tabla1[[#This Row],[CONCEPTO mx]],Tabla2[#All],3,0)),"")</f>
        <v/>
      </c>
    </row>
  </sheetData>
  <dataValidations count="2">
    <dataValidation type="list" allowBlank="1" showInputMessage="1" showErrorMessage="1" sqref="K1179 D2:D2410">
      <formula1>"SI,NO"</formula1>
    </dataValidation>
    <dataValidation allowBlank="1" showInputMessage="1" showErrorMessage="1" errorTitle="C.I Tropical" error="Por favor seleccione un elemento de la lista, esta intentando insertar un cocepto no permitido." sqref="F2:G1963"/>
  </dataValidations>
  <hyperlinks>
    <hyperlink ref="C1322" r:id="rId1" display="callto:1038822323"/>
    <hyperlink ref="B1323" r:id="rId2" display="callto:1148435493"/>
    <hyperlink ref="C1318" r:id="rId3" display="callto:1040356839"/>
    <hyperlink ref="C1324" r:id="rId4" display="callto:1040360743"/>
    <hyperlink ref="C1327" r:id="rId5" display="callto:1027945402"/>
    <hyperlink ref="B1516" r:id="rId6" display="callto:1001023421"/>
    <hyperlink ref="B1521" r:id="rId7" display="callto:1028028238"/>
    <hyperlink ref="B1503" r:id="rId8" display="callto:1040357562"/>
    <hyperlink ref="B1513" r:id="rId9" display="callto:1040360105"/>
    <hyperlink ref="B1555" r:id="rId10" display="callto:1027960542"/>
    <hyperlink ref="B1520" r:id="rId11" display="callto:1028040030"/>
    <hyperlink ref="B1507" r:id="rId12" display="callto:1028007196"/>
    <hyperlink ref="B1515" r:id="rId13" display="callto:1103107210"/>
    <hyperlink ref="B1506" r:id="rId14" display="callto:1028040804"/>
    <hyperlink ref="B1504" r:id="rId15" display="callto:1038126982"/>
    <hyperlink ref="B1524" r:id="rId16" display="callto:1027998263"/>
    <hyperlink ref="B1517" r:id="rId17" display="callto:1038820918"/>
    <hyperlink ref="B1514" r:id="rId18" display="callto:1028028377"/>
    <hyperlink ref="B1502" r:id="rId19" display="callto:1003241315"/>
    <hyperlink ref="B1512" r:id="rId20" display="callto:1040367683"/>
    <hyperlink ref="B1509" r:id="rId21" display="callto:1027964579"/>
    <hyperlink ref="B1508" r:id="rId22" display="callto:1045502238"/>
    <hyperlink ref="B1511" r:id="rId23" display="callto:1102233617"/>
    <hyperlink ref="B1574" r:id="rId24" display="callto:1007439894"/>
    <hyperlink ref="B1589" r:id="rId25" display="callto:1028039323"/>
    <hyperlink ref="B1588" r:id="rId26" display="callto:1027999973"/>
    <hyperlink ref="B1580" r:id="rId27" display="callto:1028019416"/>
    <hyperlink ref="B1650" r:id="rId28" display="callto:1028026038"/>
    <hyperlink ref="B1590" r:id="rId29" display="callto:1028014386"/>
    <hyperlink ref="B1585" r:id="rId30" display="callto:1047236958"/>
    <hyperlink ref="B1587" r:id="rId31" display="callto:1041257419"/>
    <hyperlink ref="B1572" r:id="rId32" display="callto:1147934423"/>
    <hyperlink ref="B1591" r:id="rId33" display="callto:1028038602"/>
    <hyperlink ref="B1583" r:id="rId34" display="callto:1040380539"/>
    <hyperlink ref="B1573" r:id="rId35" display="callto:1045501678"/>
    <hyperlink ref="B1578" r:id="rId36" display="callto:1026149045"/>
    <hyperlink ref="B1577" r:id="rId37" display="callto:1003070526"/>
    <hyperlink ref="B1581" r:id="rId38" display="callto:1077449876"/>
    <hyperlink ref="B1576" r:id="rId39" display="callto:1118871049"/>
    <hyperlink ref="B1575" r:id="rId40" display="callto:1045521234"/>
    <hyperlink ref="B1806" r:id="rId41" display="callto:1040352502"/>
  </hyperlinks>
  <pageMargins left="0.70866141732283472" right="0.70866141732283472" top="0.74803149606299213" bottom="0.74803149606299213" header="0.31496062992125984" footer="0.31496062992125984"/>
  <pageSetup scale="61" fitToHeight="4" orientation="portrait" r:id="rId42"/>
  <legacyDrawing r:id="rId43"/>
  <tableParts count="1">
    <tablePart r:id="rId4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Fincas!$A$2:$A$27</xm:f>
          </x14:formula1>
          <xm:sqref>H2:H1972</xm:sqref>
        </x14:dataValidation>
        <x14:dataValidation type="list" allowBlank="1" showInputMessage="1" showErrorMessage="1" errorTitle="C.I Tropical" error="Por favor seleccione un elemento de la lista, esta intentando insertar un cocepto no permitido.">
          <x14:formula1>
            <xm:f>'Conceptos Medicos'!$A$2:$A$48</xm:f>
          </x14:formula1>
          <xm:sqref>E2:E2410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48"/>
  <sheetViews>
    <sheetView showGridLines="0" tabSelected="1" workbookViewId="0">
      <pane ySplit="1" topLeftCell="A23" activePane="bottomLeft" state="frozen"/>
      <selection pane="bottomLeft" sqref="A1:C1"/>
    </sheetView>
  </sheetViews>
  <sheetFormatPr baseColWidth="10" defaultRowHeight="15" x14ac:dyDescent="0.25"/>
  <cols>
    <col min="1" max="1" width="71.42578125" style="47" bestFit="1" customWidth="1"/>
    <col min="2" max="2" width="11.42578125" style="47"/>
    <col min="3" max="3" width="16.140625" style="47" bestFit="1" customWidth="1"/>
    <col min="4" max="16384" width="11.42578125" style="47"/>
  </cols>
  <sheetData>
    <row r="1" spans="1:3" x14ac:dyDescent="0.25">
      <c r="A1" s="47" t="s">
        <v>3236</v>
      </c>
      <c r="B1" s="47" t="s">
        <v>3237</v>
      </c>
      <c r="C1" s="47" t="s">
        <v>3238</v>
      </c>
    </row>
    <row r="2" spans="1:3" x14ac:dyDescent="0.25">
      <c r="A2" s="48" t="s">
        <v>3859</v>
      </c>
      <c r="B2" s="47" t="s">
        <v>3858</v>
      </c>
      <c r="C2" s="47" t="s">
        <v>3239</v>
      </c>
    </row>
    <row r="3" spans="1:3" x14ac:dyDescent="0.25">
      <c r="A3" s="47" t="s">
        <v>3248</v>
      </c>
      <c r="B3" s="47" t="s">
        <v>3199</v>
      </c>
      <c r="C3" s="47" t="s">
        <v>3239</v>
      </c>
    </row>
    <row r="4" spans="1:3" x14ac:dyDescent="0.25">
      <c r="A4" s="47" t="s">
        <v>3198</v>
      </c>
      <c r="B4" s="47" t="s">
        <v>3204</v>
      </c>
      <c r="C4" s="47" t="s">
        <v>1637</v>
      </c>
    </row>
    <row r="5" spans="1:3" x14ac:dyDescent="0.25">
      <c r="A5" s="48" t="s">
        <v>3740</v>
      </c>
      <c r="B5" s="47" t="s">
        <v>3395</v>
      </c>
      <c r="C5" s="47" t="s">
        <v>1637</v>
      </c>
    </row>
    <row r="6" spans="1:3" x14ac:dyDescent="0.25">
      <c r="A6" s="48" t="s">
        <v>3301</v>
      </c>
      <c r="B6" s="47" t="s">
        <v>3300</v>
      </c>
      <c r="C6" s="47" t="s">
        <v>1637</v>
      </c>
    </row>
    <row r="7" spans="1:3" x14ac:dyDescent="0.25">
      <c r="A7" s="47" t="s">
        <v>2355</v>
      </c>
      <c r="B7" s="47" t="s">
        <v>3211</v>
      </c>
      <c r="C7" s="47" t="s">
        <v>3239</v>
      </c>
    </row>
    <row r="8" spans="1:3" x14ac:dyDescent="0.25">
      <c r="A8" s="47" t="s">
        <v>3681</v>
      </c>
      <c r="B8" s="47" t="s">
        <v>3640</v>
      </c>
      <c r="C8" s="47" t="s">
        <v>3239</v>
      </c>
    </row>
    <row r="9" spans="1:3" x14ac:dyDescent="0.25">
      <c r="A9" s="47" t="s">
        <v>3694</v>
      </c>
      <c r="B9" s="47" t="s">
        <v>3680</v>
      </c>
      <c r="C9" s="47" t="s">
        <v>3239</v>
      </c>
    </row>
    <row r="10" spans="1:3" x14ac:dyDescent="0.25">
      <c r="A10" s="47" t="s">
        <v>3245</v>
      </c>
      <c r="B10" s="47" t="s">
        <v>3231</v>
      </c>
      <c r="C10" s="47" t="s">
        <v>1637</v>
      </c>
    </row>
    <row r="11" spans="1:3" x14ac:dyDescent="0.25">
      <c r="A11" s="47" t="s">
        <v>3197</v>
      </c>
      <c r="B11" s="47" t="s">
        <v>3212</v>
      </c>
      <c r="C11" s="47" t="s">
        <v>1637</v>
      </c>
    </row>
    <row r="12" spans="1:3" x14ac:dyDescent="0.25">
      <c r="A12" s="47" t="s">
        <v>2635</v>
      </c>
      <c r="B12" s="47" t="s">
        <v>3219</v>
      </c>
      <c r="C12" s="47" t="s">
        <v>1637</v>
      </c>
    </row>
    <row r="13" spans="1:3" x14ac:dyDescent="0.25">
      <c r="A13" s="48" t="s">
        <v>3413</v>
      </c>
      <c r="B13" s="47" t="s">
        <v>3414</v>
      </c>
      <c r="C13" s="47" t="s">
        <v>1637</v>
      </c>
    </row>
    <row r="14" spans="1:3" x14ac:dyDescent="0.25">
      <c r="A14" s="47" t="s">
        <v>3196</v>
      </c>
      <c r="B14" s="47" t="s">
        <v>3218</v>
      </c>
      <c r="C14" s="47" t="s">
        <v>1637</v>
      </c>
    </row>
    <row r="15" spans="1:3" x14ac:dyDescent="0.25">
      <c r="A15" s="47" t="s">
        <v>3195</v>
      </c>
      <c r="B15" s="47" t="s">
        <v>3217</v>
      </c>
      <c r="C15" s="47" t="s">
        <v>1637</v>
      </c>
    </row>
    <row r="16" spans="1:3" x14ac:dyDescent="0.25">
      <c r="A16" s="47" t="s">
        <v>3194</v>
      </c>
      <c r="B16" s="47" t="s">
        <v>3229</v>
      </c>
      <c r="C16" s="47" t="s">
        <v>1637</v>
      </c>
    </row>
    <row r="17" spans="1:3" x14ac:dyDescent="0.25">
      <c r="A17" s="47" t="s">
        <v>3193</v>
      </c>
      <c r="B17" s="47" t="s">
        <v>3228</v>
      </c>
      <c r="C17" s="47" t="s">
        <v>1637</v>
      </c>
    </row>
    <row r="18" spans="1:3" x14ac:dyDescent="0.25">
      <c r="A18" s="47" t="s">
        <v>3192</v>
      </c>
      <c r="B18" s="47" t="s">
        <v>3227</v>
      </c>
      <c r="C18" s="47" t="s">
        <v>1637</v>
      </c>
    </row>
    <row r="19" spans="1:3" x14ac:dyDescent="0.25">
      <c r="A19" s="47" t="s">
        <v>2401</v>
      </c>
      <c r="B19" s="47" t="s">
        <v>3226</v>
      </c>
      <c r="C19" s="47" t="s">
        <v>1637</v>
      </c>
    </row>
    <row r="20" spans="1:3" x14ac:dyDescent="0.25">
      <c r="A20" s="48" t="s">
        <v>3244</v>
      </c>
      <c r="B20" s="47" t="s">
        <v>3230</v>
      </c>
      <c r="C20" s="47" t="s">
        <v>1637</v>
      </c>
    </row>
    <row r="21" spans="1:3" x14ac:dyDescent="0.25">
      <c r="A21" s="47" t="s">
        <v>3247</v>
      </c>
      <c r="B21" s="47" t="s">
        <v>3221</v>
      </c>
      <c r="C21" s="47" t="s">
        <v>1637</v>
      </c>
    </row>
    <row r="22" spans="1:3" x14ac:dyDescent="0.25">
      <c r="A22" s="47" t="s">
        <v>3191</v>
      </c>
      <c r="B22" s="47" t="s">
        <v>3225</v>
      </c>
      <c r="C22" s="47" t="s">
        <v>1637</v>
      </c>
    </row>
    <row r="23" spans="1:3" x14ac:dyDescent="0.25">
      <c r="A23" s="47" t="s">
        <v>3190</v>
      </c>
      <c r="B23" s="47" t="s">
        <v>3224</v>
      </c>
      <c r="C23" s="47" t="s">
        <v>1637</v>
      </c>
    </row>
    <row r="24" spans="1:3" x14ac:dyDescent="0.25">
      <c r="A24" s="47" t="s">
        <v>3189</v>
      </c>
      <c r="B24" s="47" t="s">
        <v>3223</v>
      </c>
      <c r="C24" s="47" t="s">
        <v>1637</v>
      </c>
    </row>
    <row r="25" spans="1:3" x14ac:dyDescent="0.25">
      <c r="A25" s="47" t="s">
        <v>3741</v>
      </c>
      <c r="B25" s="47" t="s">
        <v>3222</v>
      </c>
      <c r="C25" s="47" t="s">
        <v>1637</v>
      </c>
    </row>
    <row r="26" spans="1:3" x14ac:dyDescent="0.25">
      <c r="A26" s="47" t="s">
        <v>3188</v>
      </c>
      <c r="B26" s="47" t="s">
        <v>3205</v>
      </c>
      <c r="C26" s="47" t="s">
        <v>1637</v>
      </c>
    </row>
    <row r="27" spans="1:3" x14ac:dyDescent="0.25">
      <c r="A27" s="47" t="s">
        <v>3187</v>
      </c>
      <c r="B27" s="47" t="s">
        <v>3206</v>
      </c>
      <c r="C27" s="47" t="s">
        <v>3239</v>
      </c>
    </row>
    <row r="28" spans="1:3" x14ac:dyDescent="0.25">
      <c r="A28" s="47" t="s">
        <v>3679</v>
      </c>
      <c r="B28" s="47" t="s">
        <v>3857</v>
      </c>
      <c r="C28" s="47" t="s">
        <v>1637</v>
      </c>
    </row>
    <row r="29" spans="1:3" x14ac:dyDescent="0.25">
      <c r="A29" s="47" t="s">
        <v>3186</v>
      </c>
      <c r="B29" s="47" t="s">
        <v>3233</v>
      </c>
      <c r="C29" s="47" t="s">
        <v>1637</v>
      </c>
    </row>
    <row r="30" spans="1:3" x14ac:dyDescent="0.25">
      <c r="A30" s="47" t="s">
        <v>3185</v>
      </c>
      <c r="B30" s="47" t="s">
        <v>3203</v>
      </c>
      <c r="C30" s="47" t="s">
        <v>1637</v>
      </c>
    </row>
    <row r="31" spans="1:3" x14ac:dyDescent="0.25">
      <c r="A31" s="47" t="s">
        <v>3246</v>
      </c>
      <c r="B31" s="47" t="s">
        <v>3202</v>
      </c>
      <c r="C31" s="47" t="s">
        <v>1637</v>
      </c>
    </row>
    <row r="32" spans="1:3" x14ac:dyDescent="0.25">
      <c r="A32" s="47" t="s">
        <v>4274</v>
      </c>
      <c r="B32" s="47" t="s">
        <v>3215</v>
      </c>
      <c r="C32" s="47" t="s">
        <v>1637</v>
      </c>
    </row>
    <row r="33" spans="1:3" x14ac:dyDescent="0.25">
      <c r="A33" s="47" t="s">
        <v>3315</v>
      </c>
      <c r="B33" s="47" t="s">
        <v>3316</v>
      </c>
      <c r="C33" s="47" t="s">
        <v>1637</v>
      </c>
    </row>
    <row r="34" spans="1:3" x14ac:dyDescent="0.25">
      <c r="A34" s="47" t="s">
        <v>3250</v>
      </c>
      <c r="B34" s="47" t="s">
        <v>3210</v>
      </c>
      <c r="C34" s="47" t="s">
        <v>1637</v>
      </c>
    </row>
    <row r="35" spans="1:3" x14ac:dyDescent="0.25">
      <c r="A35" s="47" t="s">
        <v>3249</v>
      </c>
      <c r="B35" s="47" t="s">
        <v>3201</v>
      </c>
      <c r="C35" s="47" t="s">
        <v>1637</v>
      </c>
    </row>
    <row r="36" spans="1:3" x14ac:dyDescent="0.25">
      <c r="A36" s="47" t="s">
        <v>3183</v>
      </c>
      <c r="B36" s="47" t="s">
        <v>3216</v>
      </c>
      <c r="C36" s="47" t="s">
        <v>1637</v>
      </c>
    </row>
    <row r="37" spans="1:3" x14ac:dyDescent="0.25">
      <c r="A37" s="48" t="s">
        <v>3306</v>
      </c>
      <c r="B37" s="47" t="s">
        <v>3307</v>
      </c>
      <c r="C37" s="47" t="s">
        <v>1637</v>
      </c>
    </row>
    <row r="38" spans="1:3" x14ac:dyDescent="0.25">
      <c r="A38" s="47" t="s">
        <v>3182</v>
      </c>
      <c r="B38" s="47" t="s">
        <v>3209</v>
      </c>
      <c r="C38" s="47" t="s">
        <v>1637</v>
      </c>
    </row>
    <row r="39" spans="1:3" x14ac:dyDescent="0.25">
      <c r="A39" s="47" t="s">
        <v>3180</v>
      </c>
      <c r="B39" s="47" t="s">
        <v>3207</v>
      </c>
      <c r="C39" s="47" t="s">
        <v>3239</v>
      </c>
    </row>
    <row r="40" spans="1:3" x14ac:dyDescent="0.25">
      <c r="A40" s="47" t="s">
        <v>3181</v>
      </c>
      <c r="B40" s="47" t="s">
        <v>3208</v>
      </c>
      <c r="C40" s="47" t="s">
        <v>3239</v>
      </c>
    </row>
    <row r="41" spans="1:3" x14ac:dyDescent="0.25">
      <c r="A41" s="47" t="s">
        <v>4143</v>
      </c>
      <c r="B41" s="47" t="s">
        <v>4144</v>
      </c>
      <c r="C41" s="47" t="s">
        <v>1637</v>
      </c>
    </row>
    <row r="42" spans="1:3" x14ac:dyDescent="0.25">
      <c r="A42" s="47" t="s">
        <v>3179</v>
      </c>
      <c r="B42" s="47" t="s">
        <v>3235</v>
      </c>
      <c r="C42" s="47" t="s">
        <v>1637</v>
      </c>
    </row>
    <row r="43" spans="1:3" x14ac:dyDescent="0.25">
      <c r="A43" s="47" t="s">
        <v>3178</v>
      </c>
      <c r="B43" s="47" t="s">
        <v>3214</v>
      </c>
      <c r="C43" s="47" t="s">
        <v>1637</v>
      </c>
    </row>
    <row r="44" spans="1:3" x14ac:dyDescent="0.25">
      <c r="A44" s="47" t="s">
        <v>3177</v>
      </c>
      <c r="B44" s="47" t="s">
        <v>3213</v>
      </c>
      <c r="C44" s="47" t="s">
        <v>1637</v>
      </c>
    </row>
    <row r="45" spans="1:3" x14ac:dyDescent="0.25">
      <c r="A45" s="47" t="s">
        <v>3176</v>
      </c>
      <c r="B45" s="47" t="s">
        <v>3234</v>
      </c>
      <c r="C45" s="47" t="s">
        <v>1637</v>
      </c>
    </row>
    <row r="46" spans="1:3" x14ac:dyDescent="0.25">
      <c r="A46" s="47" t="s">
        <v>3175</v>
      </c>
      <c r="B46" s="47" t="s">
        <v>3220</v>
      </c>
      <c r="C46" s="47" t="s">
        <v>1637</v>
      </c>
    </row>
    <row r="47" spans="1:3" x14ac:dyDescent="0.25">
      <c r="A47" s="47" t="s">
        <v>3174</v>
      </c>
      <c r="B47" s="47" t="s">
        <v>3200</v>
      </c>
      <c r="C47" s="47" t="s">
        <v>1637</v>
      </c>
    </row>
    <row r="48" spans="1:3" x14ac:dyDescent="0.25">
      <c r="A48" s="47" t="s">
        <v>3173</v>
      </c>
      <c r="B48" s="47" t="s">
        <v>3232</v>
      </c>
      <c r="C48" s="47" t="s">
        <v>1637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D27"/>
  <sheetViews>
    <sheetView showGridLines="0" workbookViewId="0">
      <pane ySplit="1" topLeftCell="A2" activePane="bottomLeft" state="frozen"/>
      <selection pane="bottomLeft" activeCell="A13" sqref="A13"/>
    </sheetView>
  </sheetViews>
  <sheetFormatPr baseColWidth="10" defaultRowHeight="15" x14ac:dyDescent="0.25"/>
  <cols>
    <col min="1" max="1" width="29.140625" bestFit="1" customWidth="1"/>
  </cols>
  <sheetData>
    <row r="1" spans="1:4" x14ac:dyDescent="0.25">
      <c r="A1" t="s">
        <v>326</v>
      </c>
      <c r="D1" s="46">
        <v>1</v>
      </c>
    </row>
    <row r="2" spans="1:4" x14ac:dyDescent="0.25">
      <c r="A2" t="s">
        <v>438</v>
      </c>
    </row>
    <row r="3" spans="1:4" x14ac:dyDescent="0.25">
      <c r="A3" t="s">
        <v>2393</v>
      </c>
    </row>
    <row r="4" spans="1:4" x14ac:dyDescent="0.25">
      <c r="A4" t="s">
        <v>516</v>
      </c>
    </row>
    <row r="5" spans="1:4" x14ac:dyDescent="0.25">
      <c r="A5" t="s">
        <v>550</v>
      </c>
    </row>
    <row r="6" spans="1:4" x14ac:dyDescent="0.25">
      <c r="A6" t="s">
        <v>1741</v>
      </c>
    </row>
    <row r="7" spans="1:4" x14ac:dyDescent="0.25">
      <c r="A7" t="s">
        <v>528</v>
      </c>
    </row>
    <row r="8" spans="1:4" x14ac:dyDescent="0.25">
      <c r="A8" t="s">
        <v>470</v>
      </c>
    </row>
    <row r="9" spans="1:4" x14ac:dyDescent="0.25">
      <c r="A9" t="s">
        <v>343</v>
      </c>
    </row>
    <row r="10" spans="1:4" x14ac:dyDescent="0.25">
      <c r="A10" t="s">
        <v>2391</v>
      </c>
    </row>
    <row r="11" spans="1:4" x14ac:dyDescent="0.25">
      <c r="A11" t="s">
        <v>2395</v>
      </c>
    </row>
    <row r="12" spans="1:4" x14ac:dyDescent="0.25">
      <c r="A12" t="s">
        <v>2394</v>
      </c>
    </row>
    <row r="13" spans="1:4" x14ac:dyDescent="0.25">
      <c r="A13" t="s">
        <v>484</v>
      </c>
    </row>
    <row r="14" spans="1:4" x14ac:dyDescent="0.25">
      <c r="A14" t="s">
        <v>406</v>
      </c>
    </row>
    <row r="15" spans="1:4" x14ac:dyDescent="0.25">
      <c r="A15" t="s">
        <v>352</v>
      </c>
    </row>
    <row r="16" spans="1:4" x14ac:dyDescent="0.25">
      <c r="A16" t="s">
        <v>2392</v>
      </c>
    </row>
    <row r="17" spans="1:1" x14ac:dyDescent="0.25">
      <c r="A17" t="s">
        <v>441</v>
      </c>
    </row>
    <row r="18" spans="1:1" x14ac:dyDescent="0.25">
      <c r="A18" t="s">
        <v>388</v>
      </c>
    </row>
    <row r="19" spans="1:1" x14ac:dyDescent="0.25">
      <c r="A19" t="s">
        <v>2396</v>
      </c>
    </row>
    <row r="20" spans="1:1" x14ac:dyDescent="0.25">
      <c r="A20" t="s">
        <v>387</v>
      </c>
    </row>
    <row r="21" spans="1:1" x14ac:dyDescent="0.25">
      <c r="A21" t="s">
        <v>439</v>
      </c>
    </row>
    <row r="22" spans="1:1" x14ac:dyDescent="0.25">
      <c r="A22" t="s">
        <v>486</v>
      </c>
    </row>
    <row r="23" spans="1:1" x14ac:dyDescent="0.25">
      <c r="A23" t="s">
        <v>334</v>
      </c>
    </row>
    <row r="24" spans="1:1" x14ac:dyDescent="0.25">
      <c r="A24" t="s">
        <v>542</v>
      </c>
    </row>
    <row r="25" spans="1:1" x14ac:dyDescent="0.25">
      <c r="A25" t="s">
        <v>2576</v>
      </c>
    </row>
    <row r="26" spans="1:1" x14ac:dyDescent="0.25">
      <c r="A26" t="s">
        <v>628</v>
      </c>
    </row>
    <row r="27" spans="1:1" x14ac:dyDescent="0.25">
      <c r="A27" t="s">
        <v>413</v>
      </c>
    </row>
  </sheetData>
  <sortState ref="A2:A29">
    <sortCondition ref="A2"/>
  </sortState>
  <pageMargins left="0.7" right="0.7" top="0.75" bottom="0.75" header="0.3" footer="0.3"/>
  <drawing r:id="rId1"/>
  <legacyDrawing r:id="rId2"/>
  <controls>
    <mc:AlternateContent xmlns:mc="http://schemas.openxmlformats.org/markup-compatibility/2006">
      <mc:Choice Requires="x14">
        <control shapeId="4100" r:id="rId3" name="CommandButton3">
          <controlPr defaultSize="0" autoLine="0" autoPict="0" r:id="rId4">
            <anchor>
              <from>
                <xdr:col>4</xdr:col>
                <xdr:colOff>219075</xdr:colOff>
                <xdr:row>2</xdr:row>
                <xdr:rowOff>161925</xdr:rowOff>
              </from>
              <to>
                <xdr:col>7</xdr:col>
                <xdr:colOff>142875</xdr:colOff>
                <xdr:row>5</xdr:row>
                <xdr:rowOff>57150</xdr:rowOff>
              </to>
            </anchor>
          </controlPr>
        </control>
      </mc:Choice>
      <mc:Fallback>
        <control shapeId="4100" r:id="rId3" name="CommandButton3"/>
      </mc:Fallback>
    </mc:AlternateContent>
    <mc:AlternateContent xmlns:mc="http://schemas.openxmlformats.org/markup-compatibility/2006">
      <mc:Choice Requires="x14">
        <control shapeId="4099" r:id="rId5" name="CommandButton2">
          <controlPr defaultSize="0" autoLine="0" autoPict="0" r:id="rId6">
            <anchor>
              <from>
                <xdr:col>2</xdr:col>
                <xdr:colOff>66675</xdr:colOff>
                <xdr:row>5</xdr:row>
                <xdr:rowOff>123825</xdr:rowOff>
              </from>
              <to>
                <xdr:col>7</xdr:col>
                <xdr:colOff>133350</xdr:colOff>
                <xdr:row>8</xdr:row>
                <xdr:rowOff>19050</xdr:rowOff>
              </to>
            </anchor>
          </controlPr>
        </control>
      </mc:Choice>
      <mc:Fallback>
        <control shapeId="4099" r:id="rId5" name="CommandButton2"/>
      </mc:Fallback>
    </mc:AlternateContent>
    <mc:AlternateContent xmlns:mc="http://schemas.openxmlformats.org/markup-compatibility/2006">
      <mc:Choice Requires="x14">
        <control shapeId="4098" r:id="rId7" name="CommandButton1">
          <controlPr defaultSize="0" autoLine="0" r:id="rId8">
            <anchor>
              <from>
                <xdr:col>2</xdr:col>
                <xdr:colOff>66675</xdr:colOff>
                <xdr:row>2</xdr:row>
                <xdr:rowOff>161925</xdr:rowOff>
              </from>
              <to>
                <xdr:col>4</xdr:col>
                <xdr:colOff>200025</xdr:colOff>
                <xdr:row>5</xdr:row>
                <xdr:rowOff>57150</xdr:rowOff>
              </to>
            </anchor>
          </controlPr>
        </control>
      </mc:Choice>
      <mc:Fallback>
        <control shapeId="4098" r:id="rId7" name="CommandButton1"/>
      </mc:Fallback>
    </mc:AlternateContent>
  </controls>
  <tableParts count="1">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2017</vt:lpstr>
      <vt:lpstr>2018 y 2019</vt:lpstr>
      <vt:lpstr>Conceptos Medicos</vt:lpstr>
      <vt:lpstr>Fincas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Camilo Noreña</dc:creator>
  <cp:lastModifiedBy>Juan Pablo Saldarriaga</cp:lastModifiedBy>
  <cp:lastPrinted>2017-03-31T16:30:31Z</cp:lastPrinted>
  <dcterms:created xsi:type="dcterms:W3CDTF">2017-03-30T19:36:05Z</dcterms:created>
  <dcterms:modified xsi:type="dcterms:W3CDTF">2019-08-21T22:12:23Z</dcterms:modified>
</cp:coreProperties>
</file>